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mc:AlternateContent xmlns:mc="http://schemas.openxmlformats.org/markup-compatibility/2006">
    <mc:Choice Requires="x15">
      <x15ac:absPath xmlns:x15ac="http://schemas.microsoft.com/office/spreadsheetml/2010/11/ac" url="C:\Users\Sowmya\Downloads\"/>
    </mc:Choice>
  </mc:AlternateContent>
  <xr:revisionPtr revIDLastSave="0" documentId="8_{86F5C0E1-C23D-42B3-B319-546CB31ED4D4}" xr6:coauthVersionLast="47" xr6:coauthVersionMax="47" xr10:uidLastSave="{00000000-0000-0000-0000-000000000000}"/>
  <bookViews>
    <workbookView xWindow="-108" yWindow="-108" windowWidth="23256" windowHeight="12456" activeTab="1" xr2:uid="{346724B3-1C49-40AE-AA36-C77CF5D6DD09}"/>
  </bookViews>
  <sheets>
    <sheet name="Data" sheetId="1" r:id="rId1"/>
    <sheet name=" Dashboard Visual" sheetId="6" r:id="rId2"/>
    <sheet name="PT1" sheetId="5" r:id="rId3"/>
    <sheet name="PT2" sheetId="8" r:id="rId4"/>
    <sheet name="PT3" sheetId="11" r:id="rId5"/>
    <sheet name="PT4" sheetId="14" r:id="rId6"/>
    <sheet name="PT5" sheetId="15" r:id="rId7"/>
    <sheet name="PT6,7" sheetId="16" r:id="rId8"/>
    <sheet name="Questions &amp; KPIs" sheetId="2" r:id="rId9"/>
  </sheets>
  <definedNames>
    <definedName name="_xlnm._FilterDatabase" localSheetId="6" hidden="1">'PT5'!$A$3:$C$120</definedName>
    <definedName name="_xlchart.v5.0" hidden="1">'PT5'!$F$4:$G$4</definedName>
    <definedName name="_xlchart.v5.1" hidden="1">'PT5'!$F$5:$G$62</definedName>
    <definedName name="_xlchart.v5.10" hidden="1">'PT5'!$H$4</definedName>
    <definedName name="_xlchart.v5.11" hidden="1">'PT5'!$H$5:$H$62</definedName>
    <definedName name="_xlchart.v5.12" hidden="1">'PT5'!$J$4:$K$4</definedName>
    <definedName name="_xlchart.v5.13" hidden="1">'PT5'!$J$5:$K$62</definedName>
    <definedName name="_xlchart.v5.14" hidden="1">'PT5'!$L$3</definedName>
    <definedName name="_xlchart.v5.15" hidden="1">'PT5'!$L$4</definedName>
    <definedName name="_xlchart.v5.16" hidden="1">'PT5'!$L$5:$L$62</definedName>
    <definedName name="_xlchart.v5.17" hidden="1">'PT5'!$F$4:$G$4</definedName>
    <definedName name="_xlchart.v5.18" hidden="1">'PT5'!$F$5:$G$62</definedName>
    <definedName name="_xlchart.v5.19" hidden="1">'PT5'!$H$3</definedName>
    <definedName name="_xlchart.v5.2" hidden="1">'PT5'!$H$4</definedName>
    <definedName name="_xlchart.v5.20" hidden="1">'PT5'!$H$4</definedName>
    <definedName name="_xlchart.v5.21" hidden="1">'PT5'!$H$5:$H$62</definedName>
    <definedName name="_xlchart.v5.3" hidden="1">'PT5'!$H$5:$H$62</definedName>
    <definedName name="_xlchart.v5.4" hidden="1">'PT5'!$J$4:$K$4</definedName>
    <definedName name="_xlchart.v5.5" hidden="1">'PT5'!$J$5:$K$62</definedName>
    <definedName name="_xlchart.v5.6" hidden="1">'PT5'!$L$4</definedName>
    <definedName name="_xlchart.v5.7" hidden="1">'PT5'!$L$5:$L$62</definedName>
    <definedName name="_xlchart.v5.8" hidden="1">'PT5'!$F$4:$G$4</definedName>
    <definedName name="_xlchart.v5.9" hidden="1">'PT5'!$F$5:$G$62</definedName>
    <definedName name="Slicer_Gender_Value">#N/A</definedName>
    <definedName name="Slicer_Order_Mode">#N/A</definedName>
  </definedNames>
  <calcPr calcId="191029"/>
  <pivotCaches>
    <pivotCache cacheId="32"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2401" i="1" l="1" a="1"/>
  <c r="O2401" i="1" s="1"/>
  <c r="N2401" i="1"/>
  <c r="M2401" i="1"/>
  <c r="O2400" i="1" a="1"/>
  <c r="O2400" i="1" s="1"/>
  <c r="N2400" i="1"/>
  <c r="M2400" i="1"/>
  <c r="O2399" i="1" a="1"/>
  <c r="O2399" i="1" s="1"/>
  <c r="N2399" i="1"/>
  <c r="M2399" i="1"/>
  <c r="O2398" i="1"/>
  <c r="O2398" i="1" a="1"/>
  <c r="N2398" i="1"/>
  <c r="M2398" i="1"/>
  <c r="O2397" i="1"/>
  <c r="O2397" i="1" a="1"/>
  <c r="N2397" i="1"/>
  <c r="M2397" i="1"/>
  <c r="O2396" i="1" a="1"/>
  <c r="O2396" i="1" s="1"/>
  <c r="N2396" i="1"/>
  <c r="M2396" i="1"/>
  <c r="O2395" i="1" a="1"/>
  <c r="O2395" i="1" s="1"/>
  <c r="N2395" i="1"/>
  <c r="M2395" i="1"/>
  <c r="O2394" i="1" a="1"/>
  <c r="O2394" i="1" s="1"/>
  <c r="N2394" i="1"/>
  <c r="M2394" i="1"/>
  <c r="O2393" i="1" a="1"/>
  <c r="O2393" i="1" s="1"/>
  <c r="N2393" i="1"/>
  <c r="M2393" i="1"/>
  <c r="O2392" i="1"/>
  <c r="O2392" i="1" a="1"/>
  <c r="N2392" i="1"/>
  <c r="M2392" i="1"/>
  <c r="O2391" i="1" a="1"/>
  <c r="O2391" i="1" s="1"/>
  <c r="N2391" i="1"/>
  <c r="M2391" i="1"/>
  <c r="O2390" i="1"/>
  <c r="O2390" i="1" a="1"/>
  <c r="N2390" i="1"/>
  <c r="M2390" i="1"/>
  <c r="O2389" i="1" a="1"/>
  <c r="O2389" i="1" s="1"/>
  <c r="N2389" i="1"/>
  <c r="M2389" i="1"/>
  <c r="O2388" i="1"/>
  <c r="O2388" i="1" a="1"/>
  <c r="N2388" i="1"/>
  <c r="M2388" i="1"/>
  <c r="O2387" i="1" a="1"/>
  <c r="O2387" i="1" s="1"/>
  <c r="N2387" i="1"/>
  <c r="M2387" i="1"/>
  <c r="O2386" i="1" a="1"/>
  <c r="O2386" i="1" s="1"/>
  <c r="N2386" i="1"/>
  <c r="M2386" i="1"/>
  <c r="O2385" i="1"/>
  <c r="O2385" i="1" a="1"/>
  <c r="N2385" i="1"/>
  <c r="M2385" i="1"/>
  <c r="O2384" i="1"/>
  <c r="O2384" i="1" a="1"/>
  <c r="N2384" i="1"/>
  <c r="M2384" i="1"/>
  <c r="O2383" i="1" a="1"/>
  <c r="O2383" i="1" s="1"/>
  <c r="N2383" i="1"/>
  <c r="M2383" i="1"/>
  <c r="O2382" i="1" a="1"/>
  <c r="O2382" i="1" s="1"/>
  <c r="N2382" i="1"/>
  <c r="M2382" i="1"/>
  <c r="O2381" i="1" a="1"/>
  <c r="O2381" i="1" s="1"/>
  <c r="N2381" i="1"/>
  <c r="M2381" i="1"/>
  <c r="O2380" i="1" a="1"/>
  <c r="O2380" i="1" s="1"/>
  <c r="N2380" i="1"/>
  <c r="M2380" i="1"/>
  <c r="O2379" i="1" a="1"/>
  <c r="O2379" i="1" s="1"/>
  <c r="N2379" i="1"/>
  <c r="M2379" i="1"/>
  <c r="O2378" i="1" a="1"/>
  <c r="O2378" i="1" s="1"/>
  <c r="N2378" i="1"/>
  <c r="M2378" i="1"/>
  <c r="O2377" i="1"/>
  <c r="O2377" i="1" a="1"/>
  <c r="N2377" i="1"/>
  <c r="M2377" i="1"/>
  <c r="O2376" i="1" a="1"/>
  <c r="O2376" i="1" s="1"/>
  <c r="N2376" i="1"/>
  <c r="M2376" i="1"/>
  <c r="O2375" i="1"/>
  <c r="O2375" i="1" a="1"/>
  <c r="N2375" i="1"/>
  <c r="M2375" i="1"/>
  <c r="O2374" i="1" a="1"/>
  <c r="O2374" i="1" s="1"/>
  <c r="N2374" i="1"/>
  <c r="M2374" i="1"/>
  <c r="O2373" i="1" a="1"/>
  <c r="O2373" i="1" s="1"/>
  <c r="N2373" i="1"/>
  <c r="M2373" i="1"/>
  <c r="O2372" i="1"/>
  <c r="O2372" i="1" a="1"/>
  <c r="N2372" i="1"/>
  <c r="M2372" i="1"/>
  <c r="O2371" i="1" a="1"/>
  <c r="O2371" i="1" s="1"/>
  <c r="N2371" i="1"/>
  <c r="M2371" i="1"/>
  <c r="O2370" i="1" a="1"/>
  <c r="O2370" i="1" s="1"/>
  <c r="N2370" i="1"/>
  <c r="M2370" i="1"/>
  <c r="O2369" i="1" a="1"/>
  <c r="O2369" i="1" s="1"/>
  <c r="N2369" i="1"/>
  <c r="M2369" i="1"/>
  <c r="O2368" i="1"/>
  <c r="O2368" i="1" a="1"/>
  <c r="N2368" i="1"/>
  <c r="M2368" i="1"/>
  <c r="O2367" i="1"/>
  <c r="O2367" i="1" a="1"/>
  <c r="N2367" i="1"/>
  <c r="M2367" i="1"/>
  <c r="O2366" i="1" a="1"/>
  <c r="O2366" i="1" s="1"/>
  <c r="N2366" i="1"/>
  <c r="M2366" i="1"/>
  <c r="O2365" i="1" a="1"/>
  <c r="O2365" i="1" s="1"/>
  <c r="N2365" i="1"/>
  <c r="M2365" i="1"/>
  <c r="O2364" i="1"/>
  <c r="O2364" i="1" a="1"/>
  <c r="N2364" i="1"/>
  <c r="M2364" i="1"/>
  <c r="O2363" i="1" a="1"/>
  <c r="O2363" i="1" s="1"/>
  <c r="N2363" i="1"/>
  <c r="M2363" i="1"/>
  <c r="O2362" i="1" a="1"/>
  <c r="O2362" i="1" s="1"/>
  <c r="N2362" i="1"/>
  <c r="M2362" i="1"/>
  <c r="O2361" i="1" a="1"/>
  <c r="O2361" i="1" s="1"/>
  <c r="N2361" i="1"/>
  <c r="M2361" i="1"/>
  <c r="O2360" i="1" a="1"/>
  <c r="O2360" i="1" s="1"/>
  <c r="N2360" i="1"/>
  <c r="M2360" i="1"/>
  <c r="O2359" i="1" a="1"/>
  <c r="O2359" i="1" s="1"/>
  <c r="N2359" i="1"/>
  <c r="M2359" i="1"/>
  <c r="O2358" i="1"/>
  <c r="O2358" i="1" a="1"/>
  <c r="N2358" i="1"/>
  <c r="M2358" i="1"/>
  <c r="O2357" i="1" a="1"/>
  <c r="O2357" i="1" s="1"/>
  <c r="N2357" i="1"/>
  <c r="M2357" i="1"/>
  <c r="O2356" i="1"/>
  <c r="O2356" i="1" a="1"/>
  <c r="N2356" i="1"/>
  <c r="M2356" i="1"/>
  <c r="O2355" i="1"/>
  <c r="O2355" i="1" a="1"/>
  <c r="N2355" i="1"/>
  <c r="M2355" i="1"/>
  <c r="O2354" i="1" a="1"/>
  <c r="O2354" i="1" s="1"/>
  <c r="N2354" i="1"/>
  <c r="M2354" i="1"/>
  <c r="O2353" i="1" a="1"/>
  <c r="O2353" i="1" s="1"/>
  <c r="N2353" i="1"/>
  <c r="M2353" i="1"/>
  <c r="O2352" i="1" a="1"/>
  <c r="O2352" i="1" s="1"/>
  <c r="N2352" i="1"/>
  <c r="M2352" i="1"/>
  <c r="O2351" i="1" a="1"/>
  <c r="O2351" i="1" s="1"/>
  <c r="N2351" i="1"/>
  <c r="M2351" i="1"/>
  <c r="O2350" i="1"/>
  <c r="O2350" i="1" a="1"/>
  <c r="N2350" i="1"/>
  <c r="M2350" i="1"/>
  <c r="O2349" i="1"/>
  <c r="O2349" i="1" a="1"/>
  <c r="N2349" i="1"/>
  <c r="M2349" i="1"/>
  <c r="O2348" i="1" a="1"/>
  <c r="O2348" i="1" s="1"/>
  <c r="N2348" i="1"/>
  <c r="M2348" i="1"/>
  <c r="O2347" i="1" a="1"/>
  <c r="O2347" i="1" s="1"/>
  <c r="N2347" i="1"/>
  <c r="M2347" i="1"/>
  <c r="O2346" i="1"/>
  <c r="O2346" i="1" a="1"/>
  <c r="N2346" i="1"/>
  <c r="M2346" i="1"/>
  <c r="O2345" i="1" a="1"/>
  <c r="O2345" i="1" s="1"/>
  <c r="N2345" i="1"/>
  <c r="M2345" i="1"/>
  <c r="O2344" i="1" a="1"/>
  <c r="O2344" i="1" s="1"/>
  <c r="N2344" i="1"/>
  <c r="M2344" i="1"/>
  <c r="O2343" i="1"/>
  <c r="O2343" i="1" a="1"/>
  <c r="N2343" i="1"/>
  <c r="M2343" i="1"/>
  <c r="O2342" i="1" a="1"/>
  <c r="O2342" i="1" s="1"/>
  <c r="N2342" i="1"/>
  <c r="M2342" i="1"/>
  <c r="O2341" i="1" a="1"/>
  <c r="O2341" i="1" s="1"/>
  <c r="N2341" i="1"/>
  <c r="M2341" i="1"/>
  <c r="O2340" i="1" a="1"/>
  <c r="O2340" i="1" s="1"/>
  <c r="N2340" i="1"/>
  <c r="M2340" i="1"/>
  <c r="O2339" i="1"/>
  <c r="O2339" i="1" a="1"/>
  <c r="N2339" i="1"/>
  <c r="M2339" i="1"/>
  <c r="O2338" i="1" a="1"/>
  <c r="O2338" i="1" s="1"/>
  <c r="N2338" i="1"/>
  <c r="M2338" i="1"/>
  <c r="O2337" i="1" a="1"/>
  <c r="O2337" i="1" s="1"/>
  <c r="N2337" i="1"/>
  <c r="M2337" i="1"/>
  <c r="O2336" i="1" a="1"/>
  <c r="O2336" i="1" s="1"/>
  <c r="N2336" i="1"/>
  <c r="M2336" i="1"/>
  <c r="O2335" i="1"/>
  <c r="O2335" i="1" a="1"/>
  <c r="N2335" i="1"/>
  <c r="M2335" i="1"/>
  <c r="O2334" i="1" a="1"/>
  <c r="O2334" i="1" s="1"/>
  <c r="N2334" i="1"/>
  <c r="M2334" i="1"/>
  <c r="O2333" i="1" a="1"/>
  <c r="O2333" i="1" s="1"/>
  <c r="N2333" i="1"/>
  <c r="M2333" i="1"/>
  <c r="O2332" i="1"/>
  <c r="O2332" i="1" a="1"/>
  <c r="N2332" i="1"/>
  <c r="M2332" i="1"/>
  <c r="O2331" i="1" a="1"/>
  <c r="O2331" i="1" s="1"/>
  <c r="N2331" i="1"/>
  <c r="M2331" i="1"/>
  <c r="O2330" i="1" a="1"/>
  <c r="O2330" i="1" s="1"/>
  <c r="N2330" i="1"/>
  <c r="M2330" i="1"/>
  <c r="O2329" i="1"/>
  <c r="O2329" i="1" a="1"/>
  <c r="N2329" i="1"/>
  <c r="M2329" i="1"/>
  <c r="O2328" i="1" a="1"/>
  <c r="O2328" i="1" s="1"/>
  <c r="N2328" i="1"/>
  <c r="M2328" i="1"/>
  <c r="O2327" i="1"/>
  <c r="O2327" i="1" a="1"/>
  <c r="N2327" i="1"/>
  <c r="M2327" i="1"/>
  <c r="O2326" i="1"/>
  <c r="O2326" i="1" a="1"/>
  <c r="N2326" i="1"/>
  <c r="M2326" i="1"/>
  <c r="O2325" i="1" a="1"/>
  <c r="O2325" i="1" s="1"/>
  <c r="N2325" i="1"/>
  <c r="M2325" i="1"/>
  <c r="O2324" i="1" a="1"/>
  <c r="O2324" i="1" s="1"/>
  <c r="N2324" i="1"/>
  <c r="M2324" i="1"/>
  <c r="O2323" i="1"/>
  <c r="O2323" i="1" a="1"/>
  <c r="N2323" i="1"/>
  <c r="M2323" i="1"/>
  <c r="O2322" i="1" a="1"/>
  <c r="O2322" i="1" s="1"/>
  <c r="N2322" i="1"/>
  <c r="M2322" i="1"/>
  <c r="O2321" i="1"/>
  <c r="O2321" i="1" a="1"/>
  <c r="N2321" i="1"/>
  <c r="M2321" i="1"/>
  <c r="O2320" i="1" a="1"/>
  <c r="O2320" i="1" s="1"/>
  <c r="N2320" i="1"/>
  <c r="M2320" i="1"/>
  <c r="O2319" i="1"/>
  <c r="O2319" i="1" a="1"/>
  <c r="N2319" i="1"/>
  <c r="M2319" i="1"/>
  <c r="O2318" i="1" a="1"/>
  <c r="O2318" i="1" s="1"/>
  <c r="N2318" i="1"/>
  <c r="M2318" i="1"/>
  <c r="O2317" i="1" a="1"/>
  <c r="O2317" i="1" s="1"/>
  <c r="N2317" i="1"/>
  <c r="M2317" i="1"/>
  <c r="O2316" i="1"/>
  <c r="O2316" i="1" a="1"/>
  <c r="N2316" i="1"/>
  <c r="M2316" i="1"/>
  <c r="O2315" i="1" a="1"/>
  <c r="O2315" i="1" s="1"/>
  <c r="N2315" i="1"/>
  <c r="M2315" i="1"/>
  <c r="O2314" i="1"/>
  <c r="O2314" i="1" a="1"/>
  <c r="N2314" i="1"/>
  <c r="M2314" i="1"/>
  <c r="O2313" i="1" a="1"/>
  <c r="O2313" i="1" s="1"/>
  <c r="N2313" i="1"/>
  <c r="M2313" i="1"/>
  <c r="O2312" i="1" a="1"/>
  <c r="O2312" i="1" s="1"/>
  <c r="N2312" i="1"/>
  <c r="M2312" i="1"/>
  <c r="O2311" i="1" a="1"/>
  <c r="O2311" i="1" s="1"/>
  <c r="N2311" i="1"/>
  <c r="M2311" i="1"/>
  <c r="O2310" i="1" a="1"/>
  <c r="O2310" i="1" s="1"/>
  <c r="N2310" i="1"/>
  <c r="M2310" i="1"/>
  <c r="O2309" i="1" a="1"/>
  <c r="O2309" i="1" s="1"/>
  <c r="N2309" i="1"/>
  <c r="M2309" i="1"/>
  <c r="O2308" i="1"/>
  <c r="O2308" i="1" a="1"/>
  <c r="N2308" i="1"/>
  <c r="M2308" i="1"/>
  <c r="O2307" i="1" a="1"/>
  <c r="O2307" i="1" s="1"/>
  <c r="N2307" i="1"/>
  <c r="M2307" i="1"/>
  <c r="O2306" i="1"/>
  <c r="O2306" i="1" a="1"/>
  <c r="N2306" i="1"/>
  <c r="M2306" i="1"/>
  <c r="O2305" i="1" a="1"/>
  <c r="O2305" i="1" s="1"/>
  <c r="N2305" i="1"/>
  <c r="M2305" i="1"/>
  <c r="O2304" i="1" a="1"/>
  <c r="O2304" i="1" s="1"/>
  <c r="N2304" i="1"/>
  <c r="M2304" i="1"/>
  <c r="O2303" i="1" a="1"/>
  <c r="O2303" i="1" s="1"/>
  <c r="N2303" i="1"/>
  <c r="M2303" i="1"/>
  <c r="O2302" i="1" a="1"/>
  <c r="O2302" i="1" s="1"/>
  <c r="N2302" i="1"/>
  <c r="M2302" i="1"/>
  <c r="O2301" i="1" a="1"/>
  <c r="O2301" i="1" s="1"/>
  <c r="N2301" i="1"/>
  <c r="M2301" i="1"/>
  <c r="O2300" i="1"/>
  <c r="O2300" i="1" a="1"/>
  <c r="N2300" i="1"/>
  <c r="M2300" i="1"/>
  <c r="O2299" i="1" a="1"/>
  <c r="O2299" i="1" s="1"/>
  <c r="N2299" i="1"/>
  <c r="M2299" i="1"/>
  <c r="O2298" i="1"/>
  <c r="O2298" i="1" a="1"/>
  <c r="N2298" i="1"/>
  <c r="M2298" i="1"/>
  <c r="O2297" i="1"/>
  <c r="O2297" i="1" a="1"/>
  <c r="N2297" i="1"/>
  <c r="M2297" i="1"/>
  <c r="O2296" i="1" a="1"/>
  <c r="O2296" i="1" s="1"/>
  <c r="N2296" i="1"/>
  <c r="M2296" i="1"/>
  <c r="O2295" i="1"/>
  <c r="O2295" i="1" a="1"/>
  <c r="N2295" i="1"/>
  <c r="M2295" i="1"/>
  <c r="O2294" i="1"/>
  <c r="O2294" i="1" a="1"/>
  <c r="N2294" i="1"/>
  <c r="M2294" i="1"/>
  <c r="O2293" i="1" a="1"/>
  <c r="O2293" i="1" s="1"/>
  <c r="N2293" i="1"/>
  <c r="M2293" i="1"/>
  <c r="O2292" i="1"/>
  <c r="O2292" i="1" a="1"/>
  <c r="N2292" i="1"/>
  <c r="M2292" i="1"/>
  <c r="O2291" i="1"/>
  <c r="O2291" i="1" a="1"/>
  <c r="N2291" i="1"/>
  <c r="M2291" i="1"/>
  <c r="O2290" i="1"/>
  <c r="O2290" i="1" a="1"/>
  <c r="N2290" i="1"/>
  <c r="M2290" i="1"/>
  <c r="O2289" i="1" a="1"/>
  <c r="O2289" i="1" s="1"/>
  <c r="N2289" i="1"/>
  <c r="M2289" i="1"/>
  <c r="O2288" i="1"/>
  <c r="O2288" i="1" a="1"/>
  <c r="N2288" i="1"/>
  <c r="M2288" i="1"/>
  <c r="O2287" i="1"/>
  <c r="O2287" i="1" a="1"/>
  <c r="N2287" i="1"/>
  <c r="M2287" i="1"/>
  <c r="O2286" i="1"/>
  <c r="O2286" i="1" a="1"/>
  <c r="N2286" i="1"/>
  <c r="M2286" i="1"/>
  <c r="O2285" i="1"/>
  <c r="O2285" i="1" a="1"/>
  <c r="N2285" i="1"/>
  <c r="M2285" i="1"/>
  <c r="O2284" i="1" a="1"/>
  <c r="O2284" i="1" s="1"/>
  <c r="N2284" i="1"/>
  <c r="M2284" i="1"/>
  <c r="O2283" i="1" a="1"/>
  <c r="O2283" i="1" s="1"/>
  <c r="N2283" i="1"/>
  <c r="M2283" i="1"/>
  <c r="O2282" i="1" a="1"/>
  <c r="O2282" i="1" s="1"/>
  <c r="N2282" i="1"/>
  <c r="M2282" i="1"/>
  <c r="O2281" i="1" a="1"/>
  <c r="O2281" i="1" s="1"/>
  <c r="N2281" i="1"/>
  <c r="M2281" i="1"/>
  <c r="O2280" i="1" a="1"/>
  <c r="O2280" i="1" s="1"/>
  <c r="N2280" i="1"/>
  <c r="M2280" i="1"/>
  <c r="O2279" i="1"/>
  <c r="O2279" i="1" a="1"/>
  <c r="N2279" i="1"/>
  <c r="M2279" i="1"/>
  <c r="O2278" i="1" a="1"/>
  <c r="O2278" i="1" s="1"/>
  <c r="N2278" i="1"/>
  <c r="M2278" i="1"/>
  <c r="O2277" i="1"/>
  <c r="O2277" i="1" a="1"/>
  <c r="N2277" i="1"/>
  <c r="M2277" i="1"/>
  <c r="O2276" i="1" a="1"/>
  <c r="O2276" i="1" s="1"/>
  <c r="N2276" i="1"/>
  <c r="M2276" i="1"/>
  <c r="O2275" i="1" a="1"/>
  <c r="O2275" i="1" s="1"/>
  <c r="N2275" i="1"/>
  <c r="M2275" i="1"/>
  <c r="O2274" i="1" a="1"/>
  <c r="O2274" i="1" s="1"/>
  <c r="N2274" i="1"/>
  <c r="M2274" i="1"/>
  <c r="O2273" i="1" a="1"/>
  <c r="O2273" i="1" s="1"/>
  <c r="N2273" i="1"/>
  <c r="M2273" i="1"/>
  <c r="O2272" i="1" a="1"/>
  <c r="O2272" i="1" s="1"/>
  <c r="N2272" i="1"/>
  <c r="M2272" i="1"/>
  <c r="O2271" i="1"/>
  <c r="O2271" i="1" a="1"/>
  <c r="N2271" i="1"/>
  <c r="M2271" i="1"/>
  <c r="O2270" i="1" a="1"/>
  <c r="O2270" i="1" s="1"/>
  <c r="N2270" i="1"/>
  <c r="M2270" i="1"/>
  <c r="O2269" i="1"/>
  <c r="O2269" i="1" a="1"/>
  <c r="N2269" i="1"/>
  <c r="M2269" i="1"/>
  <c r="O2268" i="1" a="1"/>
  <c r="O2268" i="1" s="1"/>
  <c r="N2268" i="1"/>
  <c r="M2268" i="1"/>
  <c r="O2267" i="1" a="1"/>
  <c r="O2267" i="1" s="1"/>
  <c r="N2267" i="1"/>
  <c r="M2267" i="1"/>
  <c r="O2266" i="1"/>
  <c r="O2266" i="1" a="1"/>
  <c r="N2266" i="1"/>
  <c r="M2266" i="1"/>
  <c r="O2265" i="1"/>
  <c r="O2265" i="1" a="1"/>
  <c r="N2265" i="1"/>
  <c r="M2265" i="1"/>
  <c r="O2264" i="1" a="1"/>
  <c r="O2264" i="1" s="1"/>
  <c r="N2264" i="1"/>
  <c r="M2264" i="1"/>
  <c r="O2263" i="1"/>
  <c r="O2263" i="1" a="1"/>
  <c r="N2263" i="1"/>
  <c r="M2263" i="1"/>
  <c r="O2262" i="1" a="1"/>
  <c r="O2262" i="1" s="1"/>
  <c r="N2262" i="1"/>
  <c r="M2262" i="1"/>
  <c r="O2261" i="1" a="1"/>
  <c r="O2261" i="1" s="1"/>
  <c r="N2261" i="1"/>
  <c r="M2261" i="1"/>
  <c r="O2260" i="1" a="1"/>
  <c r="O2260" i="1" s="1"/>
  <c r="N2260" i="1"/>
  <c r="M2260" i="1"/>
  <c r="O2259" i="1" a="1"/>
  <c r="O2259" i="1" s="1"/>
  <c r="N2259" i="1"/>
  <c r="M2259" i="1"/>
  <c r="O2258" i="1"/>
  <c r="O2258" i="1" a="1"/>
  <c r="N2258" i="1"/>
  <c r="M2258" i="1"/>
  <c r="O2257" i="1" a="1"/>
  <c r="O2257" i="1" s="1"/>
  <c r="N2257" i="1"/>
  <c r="M2257" i="1"/>
  <c r="O2256" i="1"/>
  <c r="O2256" i="1" a="1"/>
  <c r="N2256" i="1"/>
  <c r="M2256" i="1"/>
  <c r="O2255" i="1" a="1"/>
  <c r="O2255" i="1" s="1"/>
  <c r="N2255" i="1"/>
  <c r="M2255" i="1"/>
  <c r="O2254" i="1" a="1"/>
  <c r="O2254" i="1" s="1"/>
  <c r="N2254" i="1"/>
  <c r="M2254" i="1"/>
  <c r="O2253" i="1" a="1"/>
  <c r="O2253" i="1" s="1"/>
  <c r="N2253" i="1"/>
  <c r="M2253" i="1"/>
  <c r="O2252" i="1"/>
  <c r="O2252" i="1" a="1"/>
  <c r="N2252" i="1"/>
  <c r="M2252" i="1"/>
  <c r="O2251" i="1" a="1"/>
  <c r="O2251" i="1" s="1"/>
  <c r="N2251" i="1"/>
  <c r="M2251" i="1"/>
  <c r="O2250" i="1"/>
  <c r="O2250" i="1" a="1"/>
  <c r="N2250" i="1"/>
  <c r="M2250" i="1"/>
  <c r="O2249" i="1" a="1"/>
  <c r="O2249" i="1" s="1"/>
  <c r="N2249" i="1"/>
  <c r="M2249" i="1"/>
  <c r="O2248" i="1"/>
  <c r="O2248" i="1" a="1"/>
  <c r="N2248" i="1"/>
  <c r="M2248" i="1"/>
  <c r="O2247" i="1" a="1"/>
  <c r="O2247" i="1" s="1"/>
  <c r="N2247" i="1"/>
  <c r="M2247" i="1"/>
  <c r="O2246" i="1"/>
  <c r="O2246" i="1" a="1"/>
  <c r="N2246" i="1"/>
  <c r="M2246" i="1"/>
  <c r="O2245" i="1" a="1"/>
  <c r="O2245" i="1" s="1"/>
  <c r="N2245" i="1"/>
  <c r="M2245" i="1"/>
  <c r="O2244" i="1" a="1"/>
  <c r="O2244" i="1" s="1"/>
  <c r="N2244" i="1"/>
  <c r="M2244" i="1"/>
  <c r="O2243" i="1" a="1"/>
  <c r="O2243" i="1" s="1"/>
  <c r="N2243" i="1"/>
  <c r="M2243" i="1"/>
  <c r="O2242" i="1" a="1"/>
  <c r="O2242" i="1" s="1"/>
  <c r="N2242" i="1"/>
  <c r="M2242" i="1"/>
  <c r="O2241" i="1" a="1"/>
  <c r="O2241" i="1" s="1"/>
  <c r="N2241" i="1"/>
  <c r="M2241" i="1"/>
  <c r="O2240" i="1" a="1"/>
  <c r="O2240" i="1" s="1"/>
  <c r="N2240" i="1"/>
  <c r="M2240" i="1"/>
  <c r="O2239" i="1"/>
  <c r="O2239" i="1" a="1"/>
  <c r="N2239" i="1"/>
  <c r="M2239" i="1"/>
  <c r="O2238" i="1" a="1"/>
  <c r="O2238" i="1" s="1"/>
  <c r="N2238" i="1"/>
  <c r="M2238" i="1"/>
  <c r="O2237" i="1"/>
  <c r="O2237" i="1" a="1"/>
  <c r="N2237" i="1"/>
  <c r="M2237" i="1"/>
  <c r="O2236" i="1" a="1"/>
  <c r="O2236" i="1" s="1"/>
  <c r="N2236" i="1"/>
  <c r="M2236" i="1"/>
  <c r="O2235" i="1"/>
  <c r="O2235" i="1" a="1"/>
  <c r="N2235" i="1"/>
  <c r="M2235" i="1"/>
  <c r="O2234" i="1"/>
  <c r="O2234" i="1" a="1"/>
  <c r="N2234" i="1"/>
  <c r="M2234" i="1"/>
  <c r="O2233" i="1" a="1"/>
  <c r="O2233" i="1" s="1"/>
  <c r="N2233" i="1"/>
  <c r="M2233" i="1"/>
  <c r="O2232" i="1"/>
  <c r="O2232" i="1" a="1"/>
  <c r="N2232" i="1"/>
  <c r="M2232" i="1"/>
  <c r="O2231" i="1" a="1"/>
  <c r="O2231" i="1" s="1"/>
  <c r="N2231" i="1"/>
  <c r="M2231" i="1"/>
  <c r="O2230" i="1" a="1"/>
  <c r="O2230" i="1" s="1"/>
  <c r="N2230" i="1"/>
  <c r="M2230" i="1"/>
  <c r="O2229" i="1" a="1"/>
  <c r="O2229" i="1" s="1"/>
  <c r="N2229" i="1"/>
  <c r="M2229" i="1"/>
  <c r="O2228" i="1" a="1"/>
  <c r="O2228" i="1" s="1"/>
  <c r="N2228" i="1"/>
  <c r="M2228" i="1"/>
  <c r="O2227" i="1"/>
  <c r="O2227" i="1" a="1"/>
  <c r="N2227" i="1"/>
  <c r="M2227" i="1"/>
  <c r="O2226" i="1" a="1"/>
  <c r="O2226" i="1" s="1"/>
  <c r="N2226" i="1"/>
  <c r="M2226" i="1"/>
  <c r="O2225" i="1" a="1"/>
  <c r="O2225" i="1" s="1"/>
  <c r="N2225" i="1"/>
  <c r="M2225" i="1"/>
  <c r="O2224" i="1" a="1"/>
  <c r="O2224" i="1" s="1"/>
  <c r="N2224" i="1"/>
  <c r="M2224" i="1"/>
  <c r="O2223" i="1" a="1"/>
  <c r="O2223" i="1" s="1"/>
  <c r="N2223" i="1"/>
  <c r="M2223" i="1"/>
  <c r="O2222" i="1" a="1"/>
  <c r="O2222" i="1" s="1"/>
  <c r="N2222" i="1"/>
  <c r="M2222" i="1"/>
  <c r="O2221" i="1" a="1"/>
  <c r="O2221" i="1" s="1"/>
  <c r="N2221" i="1"/>
  <c r="M2221" i="1"/>
  <c r="O2220" i="1"/>
  <c r="O2220" i="1" a="1"/>
  <c r="N2220" i="1"/>
  <c r="M2220" i="1"/>
  <c r="O2219" i="1" a="1"/>
  <c r="O2219" i="1" s="1"/>
  <c r="N2219" i="1"/>
  <c r="M2219" i="1"/>
  <c r="O2218" i="1"/>
  <c r="O2218" i="1" a="1"/>
  <c r="N2218" i="1"/>
  <c r="M2218" i="1"/>
  <c r="O2217" i="1"/>
  <c r="O2217" i="1" a="1"/>
  <c r="N2217" i="1"/>
  <c r="M2217" i="1"/>
  <c r="O2216" i="1" a="1"/>
  <c r="O2216" i="1" s="1"/>
  <c r="N2216" i="1"/>
  <c r="M2216" i="1"/>
  <c r="O2215" i="1" a="1"/>
  <c r="O2215" i="1" s="1"/>
  <c r="N2215" i="1"/>
  <c r="M2215" i="1"/>
  <c r="O2214" i="1" a="1"/>
  <c r="O2214" i="1" s="1"/>
  <c r="N2214" i="1"/>
  <c r="M2214" i="1"/>
  <c r="O2213" i="1"/>
  <c r="O2213" i="1" a="1"/>
  <c r="N2213" i="1"/>
  <c r="M2213" i="1"/>
  <c r="O2212" i="1" a="1"/>
  <c r="O2212" i="1" s="1"/>
  <c r="N2212" i="1"/>
  <c r="M2212" i="1"/>
  <c r="O2211" i="1" a="1"/>
  <c r="O2211" i="1" s="1"/>
  <c r="N2211" i="1"/>
  <c r="M2211" i="1"/>
  <c r="O2210" i="1" a="1"/>
  <c r="O2210" i="1" s="1"/>
  <c r="N2210" i="1"/>
  <c r="M2210" i="1"/>
  <c r="O2209" i="1"/>
  <c r="O2209" i="1" a="1"/>
  <c r="N2209" i="1"/>
  <c r="M2209" i="1"/>
  <c r="O2208" i="1"/>
  <c r="O2208" i="1" a="1"/>
  <c r="N2208" i="1"/>
  <c r="M2208" i="1"/>
  <c r="O2207" i="1" a="1"/>
  <c r="O2207" i="1" s="1"/>
  <c r="N2207" i="1"/>
  <c r="M2207" i="1"/>
  <c r="O2206" i="1" a="1"/>
  <c r="O2206" i="1" s="1"/>
  <c r="N2206" i="1"/>
  <c r="M2206" i="1"/>
  <c r="O2205" i="1" a="1"/>
  <c r="O2205" i="1" s="1"/>
  <c r="N2205" i="1"/>
  <c r="M2205" i="1"/>
  <c r="O2204" i="1" a="1"/>
  <c r="O2204" i="1" s="1"/>
  <c r="N2204" i="1"/>
  <c r="M2204" i="1"/>
  <c r="O2203" i="1" a="1"/>
  <c r="O2203" i="1" s="1"/>
  <c r="N2203" i="1"/>
  <c r="M2203" i="1"/>
  <c r="O2202" i="1" a="1"/>
  <c r="O2202" i="1" s="1"/>
  <c r="N2202" i="1"/>
  <c r="M2202" i="1"/>
  <c r="O2201" i="1" a="1"/>
  <c r="O2201" i="1" s="1"/>
  <c r="N2201" i="1"/>
  <c r="M2201" i="1"/>
  <c r="O2200" i="1"/>
  <c r="O2200" i="1" a="1"/>
  <c r="N2200" i="1"/>
  <c r="M2200" i="1"/>
  <c r="O2199" i="1"/>
  <c r="O2199" i="1" a="1"/>
  <c r="N2199" i="1"/>
  <c r="M2199" i="1"/>
  <c r="O2198" i="1" a="1"/>
  <c r="O2198" i="1" s="1"/>
  <c r="N2198" i="1"/>
  <c r="M2198" i="1"/>
  <c r="O2197" i="1"/>
  <c r="O2197" i="1" a="1"/>
  <c r="N2197" i="1"/>
  <c r="M2197" i="1"/>
  <c r="O2196" i="1" a="1"/>
  <c r="O2196" i="1" s="1"/>
  <c r="N2196" i="1"/>
  <c r="M2196" i="1"/>
  <c r="O2195" i="1" a="1"/>
  <c r="O2195" i="1" s="1"/>
  <c r="N2195" i="1"/>
  <c r="M2195" i="1"/>
  <c r="O2194" i="1"/>
  <c r="O2194" i="1" a="1"/>
  <c r="N2194" i="1"/>
  <c r="M2194" i="1"/>
  <c r="O2193" i="1" a="1"/>
  <c r="O2193" i="1" s="1"/>
  <c r="N2193" i="1"/>
  <c r="M2193" i="1"/>
  <c r="O2192" i="1"/>
  <c r="O2192" i="1" a="1"/>
  <c r="N2192" i="1"/>
  <c r="M2192" i="1"/>
  <c r="O2191" i="1" a="1"/>
  <c r="O2191" i="1" s="1"/>
  <c r="N2191" i="1"/>
  <c r="M2191" i="1"/>
  <c r="O2190" i="1" a="1"/>
  <c r="O2190" i="1" s="1"/>
  <c r="N2190" i="1"/>
  <c r="M2190" i="1"/>
  <c r="O2189" i="1"/>
  <c r="O2189" i="1" a="1"/>
  <c r="N2189" i="1"/>
  <c r="M2189" i="1"/>
  <c r="O2188" i="1"/>
  <c r="O2188" i="1" a="1"/>
  <c r="N2188" i="1"/>
  <c r="M2188" i="1"/>
  <c r="O2187" i="1" a="1"/>
  <c r="O2187" i="1" s="1"/>
  <c r="N2187" i="1"/>
  <c r="M2187" i="1"/>
  <c r="O2186" i="1" a="1"/>
  <c r="O2186" i="1" s="1"/>
  <c r="N2186" i="1"/>
  <c r="M2186" i="1"/>
  <c r="O2185" i="1" a="1"/>
  <c r="O2185" i="1" s="1"/>
  <c r="N2185" i="1"/>
  <c r="M2185" i="1"/>
  <c r="O2184" i="1" a="1"/>
  <c r="O2184" i="1" s="1"/>
  <c r="N2184" i="1"/>
  <c r="M2184" i="1"/>
  <c r="O2183" i="1"/>
  <c r="O2183" i="1" a="1"/>
  <c r="N2183" i="1"/>
  <c r="M2183" i="1"/>
  <c r="O2182" i="1" a="1"/>
  <c r="O2182" i="1" s="1"/>
  <c r="N2182" i="1"/>
  <c r="M2182" i="1"/>
  <c r="O2181" i="1" a="1"/>
  <c r="O2181" i="1" s="1"/>
  <c r="N2181" i="1"/>
  <c r="M2181" i="1"/>
  <c r="O2180" i="1" a="1"/>
  <c r="O2180" i="1" s="1"/>
  <c r="N2180" i="1"/>
  <c r="M2180" i="1"/>
  <c r="O2179" i="1"/>
  <c r="O2179" i="1" a="1"/>
  <c r="N2179" i="1"/>
  <c r="M2179" i="1"/>
  <c r="O2178" i="1" a="1"/>
  <c r="O2178" i="1" s="1"/>
  <c r="N2178" i="1"/>
  <c r="M2178" i="1"/>
  <c r="O2177" i="1" a="1"/>
  <c r="O2177" i="1" s="1"/>
  <c r="N2177" i="1"/>
  <c r="M2177" i="1"/>
  <c r="O2176" i="1"/>
  <c r="O2176" i="1" a="1"/>
  <c r="N2176" i="1"/>
  <c r="M2176" i="1"/>
  <c r="O2175" i="1" a="1"/>
  <c r="O2175" i="1" s="1"/>
  <c r="N2175" i="1"/>
  <c r="M2175" i="1"/>
  <c r="O2174" i="1"/>
  <c r="O2174" i="1" a="1"/>
  <c r="N2174" i="1"/>
  <c r="M2174" i="1"/>
  <c r="O2173" i="1" a="1"/>
  <c r="O2173" i="1" s="1"/>
  <c r="N2173" i="1"/>
  <c r="M2173" i="1"/>
  <c r="O2172" i="1" a="1"/>
  <c r="O2172" i="1" s="1"/>
  <c r="N2172" i="1"/>
  <c r="M2172" i="1"/>
  <c r="O2171" i="1"/>
  <c r="O2171" i="1" a="1"/>
  <c r="N2171" i="1"/>
  <c r="M2171" i="1"/>
  <c r="O2170" i="1" a="1"/>
  <c r="O2170" i="1" s="1"/>
  <c r="N2170" i="1"/>
  <c r="M2170" i="1"/>
  <c r="O2169" i="1" a="1"/>
  <c r="O2169" i="1" s="1"/>
  <c r="N2169" i="1"/>
  <c r="M2169" i="1"/>
  <c r="O2168" i="1"/>
  <c r="O2168" i="1" a="1"/>
  <c r="N2168" i="1"/>
  <c r="M2168" i="1"/>
  <c r="O2167" i="1" a="1"/>
  <c r="O2167" i="1" s="1"/>
  <c r="N2167" i="1"/>
  <c r="M2167" i="1"/>
  <c r="O2166" i="1" a="1"/>
  <c r="O2166" i="1" s="1"/>
  <c r="N2166" i="1"/>
  <c r="M2166" i="1"/>
  <c r="O2165" i="1" a="1"/>
  <c r="O2165" i="1" s="1"/>
  <c r="N2165" i="1"/>
  <c r="M2165" i="1"/>
  <c r="O2164" i="1" a="1"/>
  <c r="O2164" i="1" s="1"/>
  <c r="N2164" i="1"/>
  <c r="M2164" i="1"/>
  <c r="O2163" i="1" a="1"/>
  <c r="O2163" i="1" s="1"/>
  <c r="N2163" i="1"/>
  <c r="M2163" i="1"/>
  <c r="O2162" i="1" a="1"/>
  <c r="O2162" i="1" s="1"/>
  <c r="N2162" i="1"/>
  <c r="M2162" i="1"/>
  <c r="O2161" i="1" a="1"/>
  <c r="O2161" i="1" s="1"/>
  <c r="N2161" i="1"/>
  <c r="M2161" i="1"/>
  <c r="O2160" i="1" a="1"/>
  <c r="O2160" i="1" s="1"/>
  <c r="N2160" i="1"/>
  <c r="M2160" i="1"/>
  <c r="O2159" i="1"/>
  <c r="O2159" i="1" a="1"/>
  <c r="N2159" i="1"/>
  <c r="M2159" i="1"/>
  <c r="O2158" i="1" a="1"/>
  <c r="O2158" i="1" s="1"/>
  <c r="N2158" i="1"/>
  <c r="M2158" i="1"/>
  <c r="O2157" i="1" a="1"/>
  <c r="O2157" i="1" s="1"/>
  <c r="N2157" i="1"/>
  <c r="M2157" i="1"/>
  <c r="O2156" i="1" a="1"/>
  <c r="O2156" i="1" s="1"/>
  <c r="N2156" i="1"/>
  <c r="M2156" i="1"/>
  <c r="O2155" i="1"/>
  <c r="O2155" i="1" a="1"/>
  <c r="N2155" i="1"/>
  <c r="M2155" i="1"/>
  <c r="O2154" i="1"/>
  <c r="O2154" i="1" a="1"/>
  <c r="N2154" i="1"/>
  <c r="M2154" i="1"/>
  <c r="O2153" i="1" a="1"/>
  <c r="O2153" i="1" s="1"/>
  <c r="N2153" i="1"/>
  <c r="M2153" i="1"/>
  <c r="O2152" i="1"/>
  <c r="O2152" i="1" a="1"/>
  <c r="N2152" i="1"/>
  <c r="M2152" i="1"/>
  <c r="O2151" i="1"/>
  <c r="O2151" i="1" a="1"/>
  <c r="N2151" i="1"/>
  <c r="M2151" i="1"/>
  <c r="O2150" i="1"/>
  <c r="O2150" i="1" a="1"/>
  <c r="N2150" i="1"/>
  <c r="M2150" i="1"/>
  <c r="O2149" i="1" a="1"/>
  <c r="O2149" i="1" s="1"/>
  <c r="N2149" i="1"/>
  <c r="M2149" i="1"/>
  <c r="O2148" i="1"/>
  <c r="O2148" i="1" a="1"/>
  <c r="N2148" i="1"/>
  <c r="M2148" i="1"/>
  <c r="O2147" i="1"/>
  <c r="O2147" i="1" a="1"/>
  <c r="N2147" i="1"/>
  <c r="M2147" i="1"/>
  <c r="O2146" i="1" a="1"/>
  <c r="O2146" i="1" s="1"/>
  <c r="N2146" i="1"/>
  <c r="M2146" i="1"/>
  <c r="O2145" i="1" a="1"/>
  <c r="O2145" i="1" s="1"/>
  <c r="N2145" i="1"/>
  <c r="M2145" i="1"/>
  <c r="O2144" i="1"/>
  <c r="O2144" i="1" a="1"/>
  <c r="N2144" i="1"/>
  <c r="M2144" i="1"/>
  <c r="O2143" i="1" a="1"/>
  <c r="O2143" i="1" s="1"/>
  <c r="N2143" i="1"/>
  <c r="M2143" i="1"/>
  <c r="O2142" i="1" a="1"/>
  <c r="O2142" i="1" s="1"/>
  <c r="N2142" i="1"/>
  <c r="M2142" i="1"/>
  <c r="O2141" i="1" a="1"/>
  <c r="O2141" i="1" s="1"/>
  <c r="N2141" i="1"/>
  <c r="M2141" i="1"/>
  <c r="O2140" i="1" a="1"/>
  <c r="O2140" i="1" s="1"/>
  <c r="N2140" i="1"/>
  <c r="M2140" i="1"/>
  <c r="O2139" i="1"/>
  <c r="O2139" i="1" a="1"/>
  <c r="N2139" i="1"/>
  <c r="M2139" i="1"/>
  <c r="O2138" i="1"/>
  <c r="O2138" i="1" a="1"/>
  <c r="N2138" i="1"/>
  <c r="M2138" i="1"/>
  <c r="O2137" i="1" a="1"/>
  <c r="O2137" i="1" s="1"/>
  <c r="N2137" i="1"/>
  <c r="M2137" i="1"/>
  <c r="O2136" i="1"/>
  <c r="O2136" i="1" a="1"/>
  <c r="N2136" i="1"/>
  <c r="M2136" i="1"/>
  <c r="O2135" i="1" a="1"/>
  <c r="O2135" i="1" s="1"/>
  <c r="N2135" i="1"/>
  <c r="M2135" i="1"/>
  <c r="O2134" i="1" a="1"/>
  <c r="O2134" i="1" s="1"/>
  <c r="N2134" i="1"/>
  <c r="M2134" i="1"/>
  <c r="O2133" i="1"/>
  <c r="O2133" i="1" a="1"/>
  <c r="N2133" i="1"/>
  <c r="M2133" i="1"/>
  <c r="O2132" i="1" a="1"/>
  <c r="O2132" i="1" s="1"/>
  <c r="N2132" i="1"/>
  <c r="M2132" i="1"/>
  <c r="O2131" i="1" a="1"/>
  <c r="O2131" i="1" s="1"/>
  <c r="N2131" i="1"/>
  <c r="M2131" i="1"/>
  <c r="O2130" i="1"/>
  <c r="O2130" i="1" a="1"/>
  <c r="N2130" i="1"/>
  <c r="M2130" i="1"/>
  <c r="O2129" i="1" a="1"/>
  <c r="O2129" i="1" s="1"/>
  <c r="N2129" i="1"/>
  <c r="M2129" i="1"/>
  <c r="O2128" i="1" a="1"/>
  <c r="O2128" i="1" s="1"/>
  <c r="N2128" i="1"/>
  <c r="M2128" i="1"/>
  <c r="O2127" i="1" a="1"/>
  <c r="O2127" i="1" s="1"/>
  <c r="N2127" i="1"/>
  <c r="M2127" i="1"/>
  <c r="O2126" i="1" a="1"/>
  <c r="O2126" i="1" s="1"/>
  <c r="N2126" i="1"/>
  <c r="M2126" i="1"/>
  <c r="O2125" i="1"/>
  <c r="O2125" i="1" a="1"/>
  <c r="N2125" i="1"/>
  <c r="M2125" i="1"/>
  <c r="O2124" i="1"/>
  <c r="O2124" i="1" a="1"/>
  <c r="N2124" i="1"/>
  <c r="M2124" i="1"/>
  <c r="O2123" i="1"/>
  <c r="O2123" i="1" a="1"/>
  <c r="N2123" i="1"/>
  <c r="M2123" i="1"/>
  <c r="O2122" i="1" a="1"/>
  <c r="O2122" i="1" s="1"/>
  <c r="N2122" i="1"/>
  <c r="M2122" i="1"/>
  <c r="O2121" i="1" a="1"/>
  <c r="O2121" i="1" s="1"/>
  <c r="N2121" i="1"/>
  <c r="M2121" i="1"/>
  <c r="O2120" i="1"/>
  <c r="O2120" i="1" a="1"/>
  <c r="N2120" i="1"/>
  <c r="M2120" i="1"/>
  <c r="O2119" i="1"/>
  <c r="O2119" i="1" a="1"/>
  <c r="N2119" i="1"/>
  <c r="M2119" i="1"/>
  <c r="O2118" i="1"/>
  <c r="O2118" i="1" a="1"/>
  <c r="N2118" i="1"/>
  <c r="M2118" i="1"/>
  <c r="O2117" i="1" a="1"/>
  <c r="O2117" i="1" s="1"/>
  <c r="N2117" i="1"/>
  <c r="M2117" i="1"/>
  <c r="O2116" i="1" a="1"/>
  <c r="O2116" i="1" s="1"/>
  <c r="N2116" i="1"/>
  <c r="M2116" i="1"/>
  <c r="O2115" i="1" a="1"/>
  <c r="O2115" i="1" s="1"/>
  <c r="N2115" i="1"/>
  <c r="M2115" i="1"/>
  <c r="O2114" i="1" a="1"/>
  <c r="O2114" i="1" s="1"/>
  <c r="N2114" i="1"/>
  <c r="M2114" i="1"/>
  <c r="O2113" i="1" a="1"/>
  <c r="O2113" i="1" s="1"/>
  <c r="N2113" i="1"/>
  <c r="M2113" i="1"/>
  <c r="O2112" i="1"/>
  <c r="O2112" i="1" a="1"/>
  <c r="N2112" i="1"/>
  <c r="M2112" i="1"/>
  <c r="O2111" i="1" a="1"/>
  <c r="O2111" i="1" s="1"/>
  <c r="N2111" i="1"/>
  <c r="M2111" i="1"/>
  <c r="O2110" i="1"/>
  <c r="O2110" i="1" a="1"/>
  <c r="N2110" i="1"/>
  <c r="M2110" i="1"/>
  <c r="O2109" i="1"/>
  <c r="O2109" i="1" a="1"/>
  <c r="N2109" i="1"/>
  <c r="M2109" i="1"/>
  <c r="O2108" i="1" a="1"/>
  <c r="O2108" i="1" s="1"/>
  <c r="N2108" i="1"/>
  <c r="M2108" i="1"/>
  <c r="O2107" i="1" a="1"/>
  <c r="O2107" i="1" s="1"/>
  <c r="N2107" i="1"/>
  <c r="M2107" i="1"/>
  <c r="O2106" i="1" a="1"/>
  <c r="O2106" i="1" s="1"/>
  <c r="N2106" i="1"/>
  <c r="M2106" i="1"/>
  <c r="O2105" i="1" a="1"/>
  <c r="O2105" i="1" s="1"/>
  <c r="N2105" i="1"/>
  <c r="M2105" i="1"/>
  <c r="O2104" i="1"/>
  <c r="O2104" i="1" a="1"/>
  <c r="N2104" i="1"/>
  <c r="M2104" i="1"/>
  <c r="O2103" i="1" a="1"/>
  <c r="O2103" i="1" s="1"/>
  <c r="N2103" i="1"/>
  <c r="M2103" i="1"/>
  <c r="O2102" i="1" a="1"/>
  <c r="O2102" i="1" s="1"/>
  <c r="N2102" i="1"/>
  <c r="M2102" i="1"/>
  <c r="O2101" i="1"/>
  <c r="O2101" i="1" a="1"/>
  <c r="N2101" i="1"/>
  <c r="M2101" i="1"/>
  <c r="O2100" i="1" a="1"/>
  <c r="O2100" i="1" s="1"/>
  <c r="N2100" i="1"/>
  <c r="M2100" i="1"/>
  <c r="O2099" i="1"/>
  <c r="O2099" i="1" a="1"/>
  <c r="N2099" i="1"/>
  <c r="M2099" i="1"/>
  <c r="O2098" i="1"/>
  <c r="O2098" i="1" a="1"/>
  <c r="N2098" i="1"/>
  <c r="M2098" i="1"/>
  <c r="O2097" i="1" a="1"/>
  <c r="O2097" i="1" s="1"/>
  <c r="N2097" i="1"/>
  <c r="M2097" i="1"/>
  <c r="O2096" i="1"/>
  <c r="O2096" i="1" a="1"/>
  <c r="N2096" i="1"/>
  <c r="M2096" i="1"/>
  <c r="O2095" i="1"/>
  <c r="O2095" i="1" a="1"/>
  <c r="N2095" i="1"/>
  <c r="M2095" i="1"/>
  <c r="O2094" i="1" a="1"/>
  <c r="O2094" i="1" s="1"/>
  <c r="N2094" i="1"/>
  <c r="M2094" i="1"/>
  <c r="O2093" i="1" a="1"/>
  <c r="O2093" i="1" s="1"/>
  <c r="N2093" i="1"/>
  <c r="M2093" i="1"/>
  <c r="O2092" i="1"/>
  <c r="O2092" i="1" a="1"/>
  <c r="N2092" i="1"/>
  <c r="M2092" i="1"/>
  <c r="O2091" i="1"/>
  <c r="O2091" i="1" a="1"/>
  <c r="N2091" i="1"/>
  <c r="M2091" i="1"/>
  <c r="O2090" i="1"/>
  <c r="O2090" i="1" a="1"/>
  <c r="N2090" i="1"/>
  <c r="M2090" i="1"/>
  <c r="O2089" i="1"/>
  <c r="O2089" i="1" a="1"/>
  <c r="N2089" i="1"/>
  <c r="M2089" i="1"/>
  <c r="O2088" i="1" a="1"/>
  <c r="O2088" i="1" s="1"/>
  <c r="N2088" i="1"/>
  <c r="M2088" i="1"/>
  <c r="O2087" i="1" a="1"/>
  <c r="O2087" i="1" s="1"/>
  <c r="N2087" i="1"/>
  <c r="M2087" i="1"/>
  <c r="O2086" i="1" a="1"/>
  <c r="O2086" i="1" s="1"/>
  <c r="N2086" i="1"/>
  <c r="M2086" i="1"/>
  <c r="O2085" i="1"/>
  <c r="O2085" i="1" a="1"/>
  <c r="N2085" i="1"/>
  <c r="M2085" i="1"/>
  <c r="O2084" i="1" a="1"/>
  <c r="O2084" i="1" s="1"/>
  <c r="N2084" i="1"/>
  <c r="M2084" i="1"/>
  <c r="O2083" i="1"/>
  <c r="O2083" i="1" a="1"/>
  <c r="N2083" i="1"/>
  <c r="M2083" i="1"/>
  <c r="O2082" i="1"/>
  <c r="O2082" i="1" a="1"/>
  <c r="N2082" i="1"/>
  <c r="M2082" i="1"/>
  <c r="O2081" i="1"/>
  <c r="O2081" i="1" a="1"/>
  <c r="N2081" i="1"/>
  <c r="M2081" i="1"/>
  <c r="O2080" i="1"/>
  <c r="O2080" i="1" a="1"/>
  <c r="N2080" i="1"/>
  <c r="M2080" i="1"/>
  <c r="O2079" i="1" a="1"/>
  <c r="O2079" i="1" s="1"/>
  <c r="N2079" i="1"/>
  <c r="M2079" i="1"/>
  <c r="O2078" i="1" a="1"/>
  <c r="O2078" i="1" s="1"/>
  <c r="N2078" i="1"/>
  <c r="M2078" i="1"/>
  <c r="O2077" i="1" a="1"/>
  <c r="O2077" i="1" s="1"/>
  <c r="N2077" i="1"/>
  <c r="M2077" i="1"/>
  <c r="O2076" i="1" a="1"/>
  <c r="O2076" i="1" s="1"/>
  <c r="N2076" i="1"/>
  <c r="M2076" i="1"/>
  <c r="O2075" i="1" a="1"/>
  <c r="O2075" i="1" s="1"/>
  <c r="N2075" i="1"/>
  <c r="M2075" i="1"/>
  <c r="O2074" i="1" a="1"/>
  <c r="O2074" i="1" s="1"/>
  <c r="N2074" i="1"/>
  <c r="M2074" i="1"/>
  <c r="O2073" i="1" a="1"/>
  <c r="O2073" i="1" s="1"/>
  <c r="N2073" i="1"/>
  <c r="M2073" i="1"/>
  <c r="O2072" i="1" a="1"/>
  <c r="O2072" i="1" s="1"/>
  <c r="N2072" i="1"/>
  <c r="M2072" i="1"/>
  <c r="O2071" i="1"/>
  <c r="O2071" i="1" a="1"/>
  <c r="N2071" i="1"/>
  <c r="M2071" i="1"/>
  <c r="O2070" i="1"/>
  <c r="O2070" i="1" a="1"/>
  <c r="N2070" i="1"/>
  <c r="M2070" i="1"/>
  <c r="O2069" i="1"/>
  <c r="O2069" i="1" a="1"/>
  <c r="N2069" i="1"/>
  <c r="M2069" i="1"/>
  <c r="O2068" i="1"/>
  <c r="O2068" i="1" a="1"/>
  <c r="N2068" i="1"/>
  <c r="M2068" i="1"/>
  <c r="O2067" i="1"/>
  <c r="O2067" i="1" a="1"/>
  <c r="N2067" i="1"/>
  <c r="M2067" i="1"/>
  <c r="O2066" i="1"/>
  <c r="O2066" i="1" a="1"/>
  <c r="N2066" i="1"/>
  <c r="M2066" i="1"/>
  <c r="O2065" i="1" a="1"/>
  <c r="O2065" i="1" s="1"/>
  <c r="N2065" i="1"/>
  <c r="M2065" i="1"/>
  <c r="O2064" i="1" a="1"/>
  <c r="O2064" i="1" s="1"/>
  <c r="N2064" i="1"/>
  <c r="M2064" i="1"/>
  <c r="O2063" i="1" a="1"/>
  <c r="O2063" i="1" s="1"/>
  <c r="N2063" i="1"/>
  <c r="M2063" i="1"/>
  <c r="O2062" i="1" a="1"/>
  <c r="O2062" i="1" s="1"/>
  <c r="N2062" i="1"/>
  <c r="M2062" i="1"/>
  <c r="O2061" i="1"/>
  <c r="O2061" i="1" a="1"/>
  <c r="N2061" i="1"/>
  <c r="M2061" i="1"/>
  <c r="O2060" i="1"/>
  <c r="O2060" i="1" a="1"/>
  <c r="N2060" i="1"/>
  <c r="M2060" i="1"/>
  <c r="O2059" i="1" a="1"/>
  <c r="O2059" i="1" s="1"/>
  <c r="N2059" i="1"/>
  <c r="M2059" i="1"/>
  <c r="O2058" i="1" a="1"/>
  <c r="O2058" i="1" s="1"/>
  <c r="N2058" i="1"/>
  <c r="M2058" i="1"/>
  <c r="O2057" i="1" a="1"/>
  <c r="O2057" i="1" s="1"/>
  <c r="N2057" i="1"/>
  <c r="M2057" i="1"/>
  <c r="O2056" i="1" a="1"/>
  <c r="O2056" i="1" s="1"/>
  <c r="N2056" i="1"/>
  <c r="M2056" i="1"/>
  <c r="O2055" i="1" a="1"/>
  <c r="O2055" i="1" s="1"/>
  <c r="N2055" i="1"/>
  <c r="M2055" i="1"/>
  <c r="O2054" i="1" a="1"/>
  <c r="O2054" i="1" s="1"/>
  <c r="N2054" i="1"/>
  <c r="M2054" i="1"/>
  <c r="O2053" i="1"/>
  <c r="O2053" i="1" a="1"/>
  <c r="N2053" i="1"/>
  <c r="M2053" i="1"/>
  <c r="O2052" i="1"/>
  <c r="O2052" i="1" a="1"/>
  <c r="N2052" i="1"/>
  <c r="M2052" i="1"/>
  <c r="O2051" i="1" a="1"/>
  <c r="O2051" i="1" s="1"/>
  <c r="N2051" i="1"/>
  <c r="M2051" i="1"/>
  <c r="O2050" i="1"/>
  <c r="O2050" i="1" a="1"/>
  <c r="N2050" i="1"/>
  <c r="M2050" i="1"/>
  <c r="O2049" i="1" a="1"/>
  <c r="O2049" i="1" s="1"/>
  <c r="N2049" i="1"/>
  <c r="M2049" i="1"/>
  <c r="O2048" i="1" a="1"/>
  <c r="O2048" i="1" s="1"/>
  <c r="N2048" i="1"/>
  <c r="M2048" i="1"/>
  <c r="O2047" i="1"/>
  <c r="O2047" i="1" a="1"/>
  <c r="N2047" i="1"/>
  <c r="M2047" i="1"/>
  <c r="O2046" i="1" a="1"/>
  <c r="O2046" i="1" s="1"/>
  <c r="N2046" i="1"/>
  <c r="M2046" i="1"/>
  <c r="O2045" i="1" a="1"/>
  <c r="O2045" i="1" s="1"/>
  <c r="N2045" i="1"/>
  <c r="M2045" i="1"/>
  <c r="O2044" i="1" a="1"/>
  <c r="O2044" i="1" s="1"/>
  <c r="N2044" i="1"/>
  <c r="M2044" i="1"/>
  <c r="O2043" i="1"/>
  <c r="O2043" i="1" a="1"/>
  <c r="N2043" i="1"/>
  <c r="M2043" i="1"/>
  <c r="O2042" i="1"/>
  <c r="O2042" i="1" a="1"/>
  <c r="N2042" i="1"/>
  <c r="M2042" i="1"/>
  <c r="O2041" i="1"/>
  <c r="O2041" i="1" a="1"/>
  <c r="N2041" i="1"/>
  <c r="M2041" i="1"/>
  <c r="O2040" i="1" a="1"/>
  <c r="O2040" i="1" s="1"/>
  <c r="N2040" i="1"/>
  <c r="M2040" i="1"/>
  <c r="O2039" i="1" a="1"/>
  <c r="O2039" i="1" s="1"/>
  <c r="N2039" i="1"/>
  <c r="M2039" i="1"/>
  <c r="O2038" i="1"/>
  <c r="O2038" i="1" a="1"/>
  <c r="N2038" i="1"/>
  <c r="M2038" i="1"/>
  <c r="O2037" i="1" a="1"/>
  <c r="O2037" i="1" s="1"/>
  <c r="N2037" i="1"/>
  <c r="M2037" i="1"/>
  <c r="O2036" i="1"/>
  <c r="O2036" i="1" a="1"/>
  <c r="N2036" i="1"/>
  <c r="M2036" i="1"/>
  <c r="O2035" i="1" a="1"/>
  <c r="O2035" i="1" s="1"/>
  <c r="N2035" i="1"/>
  <c r="M2035" i="1"/>
  <c r="O2034" i="1" a="1"/>
  <c r="O2034" i="1" s="1"/>
  <c r="N2034" i="1"/>
  <c r="M2034" i="1"/>
  <c r="O2033" i="1" a="1"/>
  <c r="O2033" i="1" s="1"/>
  <c r="N2033" i="1"/>
  <c r="M2033" i="1"/>
  <c r="O2032" i="1" a="1"/>
  <c r="O2032" i="1" s="1"/>
  <c r="N2032" i="1"/>
  <c r="M2032" i="1"/>
  <c r="O2031" i="1"/>
  <c r="O2031" i="1" a="1"/>
  <c r="N2031" i="1"/>
  <c r="M2031" i="1"/>
  <c r="O2030" i="1" a="1"/>
  <c r="O2030" i="1" s="1"/>
  <c r="N2030" i="1"/>
  <c r="M2030" i="1"/>
  <c r="O2029" i="1"/>
  <c r="O2029" i="1" a="1"/>
  <c r="N2029" i="1"/>
  <c r="M2029" i="1"/>
  <c r="O2028" i="1" a="1"/>
  <c r="O2028" i="1" s="1"/>
  <c r="N2028" i="1"/>
  <c r="M2028" i="1"/>
  <c r="O2027" i="1"/>
  <c r="O2027" i="1" a="1"/>
  <c r="N2027" i="1"/>
  <c r="M2027" i="1"/>
  <c r="O2026" i="1" a="1"/>
  <c r="O2026" i="1" s="1"/>
  <c r="N2026" i="1"/>
  <c r="M2026" i="1"/>
  <c r="O2025" i="1" a="1"/>
  <c r="O2025" i="1" s="1"/>
  <c r="N2025" i="1"/>
  <c r="M2025" i="1"/>
  <c r="O2024" i="1" a="1"/>
  <c r="O2024" i="1" s="1"/>
  <c r="N2024" i="1"/>
  <c r="M2024" i="1"/>
  <c r="O2023" i="1" a="1"/>
  <c r="O2023" i="1" s="1"/>
  <c r="N2023" i="1"/>
  <c r="M2023" i="1"/>
  <c r="O2022" i="1" a="1"/>
  <c r="O2022" i="1" s="1"/>
  <c r="N2022" i="1"/>
  <c r="M2022" i="1"/>
  <c r="O2021" i="1"/>
  <c r="O2021" i="1" a="1"/>
  <c r="N2021" i="1"/>
  <c r="M2021" i="1"/>
  <c r="O2020" i="1" a="1"/>
  <c r="O2020" i="1" s="1"/>
  <c r="N2020" i="1"/>
  <c r="M2020" i="1"/>
  <c r="O2019" i="1" a="1"/>
  <c r="O2019" i="1" s="1"/>
  <c r="N2019" i="1"/>
  <c r="M2019" i="1"/>
  <c r="O2018" i="1"/>
  <c r="O2018" i="1" a="1"/>
  <c r="N2018" i="1"/>
  <c r="M2018" i="1"/>
  <c r="O2017" i="1"/>
  <c r="O2017" i="1" a="1"/>
  <c r="N2017" i="1"/>
  <c r="M2017" i="1"/>
  <c r="O2016" i="1" a="1"/>
  <c r="O2016" i="1" s="1"/>
  <c r="N2016" i="1"/>
  <c r="M2016" i="1"/>
  <c r="O2015" i="1"/>
  <c r="O2015" i="1" a="1"/>
  <c r="N2015" i="1"/>
  <c r="M2015" i="1"/>
  <c r="O2014" i="1"/>
  <c r="O2014" i="1" a="1"/>
  <c r="N2014" i="1"/>
  <c r="M2014" i="1"/>
  <c r="O2013" i="1"/>
  <c r="O2013" i="1" a="1"/>
  <c r="N2013" i="1"/>
  <c r="M2013" i="1"/>
  <c r="O2012" i="1"/>
  <c r="O2012" i="1" a="1"/>
  <c r="N2012" i="1"/>
  <c r="M2012" i="1"/>
  <c r="O2011" i="1" a="1"/>
  <c r="O2011" i="1" s="1"/>
  <c r="N2011" i="1"/>
  <c r="M2011" i="1"/>
  <c r="O2010" i="1" a="1"/>
  <c r="O2010" i="1" s="1"/>
  <c r="N2010" i="1"/>
  <c r="M2010" i="1"/>
  <c r="O2009" i="1" a="1"/>
  <c r="O2009" i="1" s="1"/>
  <c r="N2009" i="1"/>
  <c r="M2009" i="1"/>
  <c r="O2008" i="1" a="1"/>
  <c r="O2008" i="1" s="1"/>
  <c r="N2008" i="1"/>
  <c r="M2008" i="1"/>
  <c r="O2007" i="1" a="1"/>
  <c r="O2007" i="1" s="1"/>
  <c r="N2007" i="1"/>
  <c r="M2007" i="1"/>
  <c r="O2006" i="1" a="1"/>
  <c r="O2006" i="1" s="1"/>
  <c r="N2006" i="1"/>
  <c r="M2006" i="1"/>
  <c r="O2005" i="1"/>
  <c r="O2005" i="1" a="1"/>
  <c r="N2005" i="1"/>
  <c r="M2005" i="1"/>
  <c r="O2004" i="1" a="1"/>
  <c r="O2004" i="1" s="1"/>
  <c r="N2004" i="1"/>
  <c r="M2004" i="1"/>
  <c r="O2003" i="1" a="1"/>
  <c r="O2003" i="1" s="1"/>
  <c r="N2003" i="1"/>
  <c r="M2003" i="1"/>
  <c r="O2002" i="1" a="1"/>
  <c r="O2002" i="1" s="1"/>
  <c r="N2002" i="1"/>
  <c r="M2002" i="1"/>
  <c r="O2001" i="1"/>
  <c r="O2001" i="1" a="1"/>
  <c r="N2001" i="1"/>
  <c r="M2001" i="1"/>
  <c r="O2000" i="1"/>
  <c r="O2000" i="1" a="1"/>
  <c r="N2000" i="1"/>
  <c r="M2000" i="1"/>
  <c r="O1999" i="1" a="1"/>
  <c r="O1999" i="1" s="1"/>
  <c r="N1999" i="1"/>
  <c r="M1999" i="1"/>
  <c r="O1998" i="1"/>
  <c r="O1998" i="1" a="1"/>
  <c r="N1998" i="1"/>
  <c r="M1998" i="1"/>
  <c r="O1997" i="1" a="1"/>
  <c r="O1997" i="1" s="1"/>
  <c r="N1997" i="1"/>
  <c r="M1997" i="1"/>
  <c r="O1996" i="1" a="1"/>
  <c r="O1996" i="1" s="1"/>
  <c r="N1996" i="1"/>
  <c r="M1996" i="1"/>
  <c r="O1995" i="1" a="1"/>
  <c r="O1995" i="1" s="1"/>
  <c r="N1995" i="1"/>
  <c r="M1995" i="1"/>
  <c r="O1994" i="1" a="1"/>
  <c r="O1994" i="1" s="1"/>
  <c r="N1994" i="1"/>
  <c r="M1994" i="1"/>
  <c r="O1993" i="1" a="1"/>
  <c r="O1993" i="1" s="1"/>
  <c r="N1993" i="1"/>
  <c r="M1993" i="1"/>
  <c r="O1992" i="1"/>
  <c r="O1992" i="1" a="1"/>
  <c r="N1992" i="1"/>
  <c r="M1992" i="1"/>
  <c r="O1991" i="1"/>
  <c r="O1991" i="1" a="1"/>
  <c r="N1991" i="1"/>
  <c r="M1991" i="1"/>
  <c r="O1990" i="1" a="1"/>
  <c r="O1990" i="1" s="1"/>
  <c r="N1990" i="1"/>
  <c r="M1990" i="1"/>
  <c r="O1989" i="1" a="1"/>
  <c r="O1989" i="1" s="1"/>
  <c r="N1989" i="1"/>
  <c r="M1989" i="1"/>
  <c r="O1988" i="1" a="1"/>
  <c r="O1988" i="1" s="1"/>
  <c r="N1988" i="1"/>
  <c r="M1988" i="1"/>
  <c r="O1987" i="1"/>
  <c r="O1987" i="1" a="1"/>
  <c r="N1987" i="1"/>
  <c r="M1987" i="1"/>
  <c r="O1986" i="1"/>
  <c r="O1986" i="1" a="1"/>
  <c r="N1986" i="1"/>
  <c r="M1986" i="1"/>
  <c r="O1985" i="1"/>
  <c r="O1985" i="1" a="1"/>
  <c r="N1985" i="1"/>
  <c r="M1985" i="1"/>
  <c r="O1984" i="1" a="1"/>
  <c r="O1984" i="1" s="1"/>
  <c r="N1984" i="1"/>
  <c r="M1984" i="1"/>
  <c r="O1983" i="1"/>
  <c r="O1983" i="1" a="1"/>
  <c r="N1983" i="1"/>
  <c r="M1983" i="1"/>
  <c r="O1982" i="1"/>
  <c r="O1982" i="1" a="1"/>
  <c r="N1982" i="1"/>
  <c r="M1982" i="1"/>
  <c r="O1981" i="1" a="1"/>
  <c r="O1981" i="1" s="1"/>
  <c r="N1981" i="1"/>
  <c r="M1981" i="1"/>
  <c r="O1980" i="1"/>
  <c r="O1980" i="1" a="1"/>
  <c r="N1980" i="1"/>
  <c r="M1980" i="1"/>
  <c r="O1979" i="1" a="1"/>
  <c r="O1979" i="1" s="1"/>
  <c r="N1979" i="1"/>
  <c r="M1979" i="1"/>
  <c r="O1978" i="1" a="1"/>
  <c r="O1978" i="1" s="1"/>
  <c r="N1978" i="1"/>
  <c r="M1978" i="1"/>
  <c r="O1977" i="1" a="1"/>
  <c r="O1977" i="1" s="1"/>
  <c r="N1977" i="1"/>
  <c r="M1977" i="1"/>
  <c r="O1976" i="1" a="1"/>
  <c r="O1976" i="1" s="1"/>
  <c r="N1976" i="1"/>
  <c r="M1976" i="1"/>
  <c r="O1975" i="1" a="1"/>
  <c r="O1975" i="1" s="1"/>
  <c r="N1975" i="1"/>
  <c r="M1975" i="1"/>
  <c r="O1974" i="1" a="1"/>
  <c r="O1974" i="1" s="1"/>
  <c r="N1974" i="1"/>
  <c r="M1974" i="1"/>
  <c r="O1973" i="1"/>
  <c r="O1973" i="1" a="1"/>
  <c r="N1973" i="1"/>
  <c r="M1973" i="1"/>
  <c r="O1972" i="1"/>
  <c r="O1972" i="1" a="1"/>
  <c r="N1972" i="1"/>
  <c r="M1972" i="1"/>
  <c r="O1971" i="1"/>
  <c r="O1971" i="1" a="1"/>
  <c r="N1971" i="1"/>
  <c r="M1971" i="1"/>
  <c r="O1970" i="1" a="1"/>
  <c r="O1970" i="1" s="1"/>
  <c r="N1970" i="1"/>
  <c r="M1970" i="1"/>
  <c r="O1969" i="1"/>
  <c r="O1969" i="1" a="1"/>
  <c r="N1969" i="1"/>
  <c r="M1969" i="1"/>
  <c r="O1968" i="1" a="1"/>
  <c r="O1968" i="1" s="1"/>
  <c r="N1968" i="1"/>
  <c r="M1968" i="1"/>
  <c r="O1967" i="1" a="1"/>
  <c r="O1967" i="1" s="1"/>
  <c r="N1967" i="1"/>
  <c r="M1967" i="1"/>
  <c r="O1966" i="1" a="1"/>
  <c r="O1966" i="1" s="1"/>
  <c r="N1966" i="1"/>
  <c r="M1966" i="1"/>
  <c r="O1965" i="1" a="1"/>
  <c r="O1965" i="1" s="1"/>
  <c r="N1965" i="1"/>
  <c r="M1965" i="1"/>
  <c r="O1964" i="1"/>
  <c r="O1964" i="1" a="1"/>
  <c r="N1964" i="1"/>
  <c r="M1964" i="1"/>
  <c r="O1963" i="1"/>
  <c r="O1963" i="1" a="1"/>
  <c r="N1963" i="1"/>
  <c r="M1963" i="1"/>
  <c r="O1962" i="1"/>
  <c r="O1962" i="1" a="1"/>
  <c r="N1962" i="1"/>
  <c r="M1962" i="1"/>
  <c r="O1961" i="1" a="1"/>
  <c r="O1961" i="1" s="1"/>
  <c r="N1961" i="1"/>
  <c r="M1961" i="1"/>
  <c r="O1960" i="1" a="1"/>
  <c r="O1960" i="1" s="1"/>
  <c r="N1960" i="1"/>
  <c r="M1960" i="1"/>
  <c r="O1959" i="1" a="1"/>
  <c r="O1959" i="1" s="1"/>
  <c r="N1959" i="1"/>
  <c r="M1959" i="1"/>
  <c r="O1958" i="1" a="1"/>
  <c r="O1958" i="1" s="1"/>
  <c r="N1958" i="1"/>
  <c r="M1958" i="1"/>
  <c r="O1957" i="1"/>
  <c r="O1957" i="1" a="1"/>
  <c r="N1957" i="1"/>
  <c r="M1957" i="1"/>
  <c r="O1956" i="1"/>
  <c r="O1956" i="1" a="1"/>
  <c r="N1956" i="1"/>
  <c r="M1956" i="1"/>
  <c r="O1955" i="1" a="1"/>
  <c r="O1955" i="1" s="1"/>
  <c r="N1955" i="1"/>
  <c r="M1955" i="1"/>
  <c r="O1954" i="1"/>
  <c r="O1954" i="1" a="1"/>
  <c r="N1954" i="1"/>
  <c r="M1954" i="1"/>
  <c r="O1953" i="1" a="1"/>
  <c r="O1953" i="1" s="1"/>
  <c r="N1953" i="1"/>
  <c r="M1953" i="1"/>
  <c r="O1952" i="1"/>
  <c r="O1952" i="1" a="1"/>
  <c r="N1952" i="1"/>
  <c r="M1952" i="1"/>
  <c r="O1951" i="1"/>
  <c r="O1951" i="1" a="1"/>
  <c r="N1951" i="1"/>
  <c r="M1951" i="1"/>
  <c r="O1950" i="1" a="1"/>
  <c r="O1950" i="1" s="1"/>
  <c r="N1950" i="1"/>
  <c r="M1950" i="1"/>
  <c r="O1949" i="1" a="1"/>
  <c r="O1949" i="1" s="1"/>
  <c r="N1949" i="1"/>
  <c r="M1949" i="1"/>
  <c r="O1948" i="1"/>
  <c r="O1948" i="1" a="1"/>
  <c r="N1948" i="1"/>
  <c r="M1948" i="1"/>
  <c r="O1947" i="1"/>
  <c r="O1947" i="1" a="1"/>
  <c r="N1947" i="1"/>
  <c r="M1947" i="1"/>
  <c r="O1946" i="1" a="1"/>
  <c r="O1946" i="1" s="1"/>
  <c r="N1946" i="1"/>
  <c r="M1946" i="1"/>
  <c r="O1945" i="1"/>
  <c r="O1945" i="1" a="1"/>
  <c r="N1945" i="1"/>
  <c r="M1945" i="1"/>
  <c r="O1944" i="1"/>
  <c r="O1944" i="1" a="1"/>
  <c r="N1944" i="1"/>
  <c r="M1944" i="1"/>
  <c r="O1943" i="1"/>
  <c r="O1943" i="1" a="1"/>
  <c r="N1943" i="1"/>
  <c r="M1943" i="1"/>
  <c r="O1942" i="1" a="1"/>
  <c r="O1942" i="1" s="1"/>
  <c r="N1942" i="1"/>
  <c r="M1942" i="1"/>
  <c r="O1941" i="1" a="1"/>
  <c r="O1941" i="1" s="1"/>
  <c r="N1941" i="1"/>
  <c r="M1941" i="1"/>
  <c r="O1940" i="1" a="1"/>
  <c r="O1940" i="1" s="1"/>
  <c r="N1940" i="1"/>
  <c r="M1940" i="1"/>
  <c r="O1939" i="1" a="1"/>
  <c r="O1939" i="1" s="1"/>
  <c r="N1939" i="1"/>
  <c r="M1939" i="1"/>
  <c r="O1938" i="1"/>
  <c r="O1938" i="1" a="1"/>
  <c r="N1938" i="1"/>
  <c r="M1938" i="1"/>
  <c r="O1937" i="1"/>
  <c r="O1937" i="1" a="1"/>
  <c r="N1937" i="1"/>
  <c r="M1937" i="1"/>
  <c r="O1936" i="1" a="1"/>
  <c r="O1936" i="1" s="1"/>
  <c r="N1936" i="1"/>
  <c r="M1936" i="1"/>
  <c r="O1935" i="1" a="1"/>
  <c r="O1935" i="1" s="1"/>
  <c r="N1935" i="1"/>
  <c r="M1935" i="1"/>
  <c r="O1934" i="1"/>
  <c r="O1934" i="1" a="1"/>
  <c r="N1934" i="1"/>
  <c r="M1934" i="1"/>
  <c r="O1933" i="1" a="1"/>
  <c r="O1933" i="1" s="1"/>
  <c r="N1933" i="1"/>
  <c r="M1933" i="1"/>
  <c r="O1932" i="1" a="1"/>
  <c r="O1932" i="1" s="1"/>
  <c r="N1932" i="1"/>
  <c r="M1932" i="1"/>
  <c r="O1931" i="1" a="1"/>
  <c r="O1931" i="1" s="1"/>
  <c r="N1931" i="1"/>
  <c r="M1931" i="1"/>
  <c r="O1930" i="1"/>
  <c r="O1930" i="1" a="1"/>
  <c r="N1930" i="1"/>
  <c r="M1930" i="1"/>
  <c r="O1929" i="1"/>
  <c r="O1929" i="1" a="1"/>
  <c r="N1929" i="1"/>
  <c r="M1929" i="1"/>
  <c r="O1928" i="1" a="1"/>
  <c r="O1928" i="1" s="1"/>
  <c r="N1928" i="1"/>
  <c r="M1928" i="1"/>
  <c r="O1927" i="1" a="1"/>
  <c r="O1927" i="1" s="1"/>
  <c r="N1927" i="1"/>
  <c r="M1927" i="1"/>
  <c r="O1926" i="1" a="1"/>
  <c r="O1926" i="1" s="1"/>
  <c r="N1926" i="1"/>
  <c r="M1926" i="1"/>
  <c r="O1925" i="1" a="1"/>
  <c r="O1925" i="1" s="1"/>
  <c r="N1925" i="1"/>
  <c r="M1925" i="1"/>
  <c r="O1924" i="1" a="1"/>
  <c r="O1924" i="1" s="1"/>
  <c r="N1924" i="1"/>
  <c r="M1924" i="1"/>
  <c r="O1923" i="1" a="1"/>
  <c r="O1923" i="1" s="1"/>
  <c r="N1923" i="1"/>
  <c r="M1923" i="1"/>
  <c r="O1922" i="1"/>
  <c r="O1922" i="1" a="1"/>
  <c r="N1922" i="1"/>
  <c r="M1922" i="1"/>
  <c r="O1921" i="1" a="1"/>
  <c r="O1921" i="1" s="1"/>
  <c r="N1921" i="1"/>
  <c r="M1921" i="1"/>
  <c r="O1920" i="1" a="1"/>
  <c r="O1920" i="1" s="1"/>
  <c r="N1920" i="1"/>
  <c r="M1920" i="1"/>
  <c r="O1919" i="1" a="1"/>
  <c r="O1919" i="1" s="1"/>
  <c r="N1919" i="1"/>
  <c r="M1919" i="1"/>
  <c r="O1918" i="1" a="1"/>
  <c r="O1918" i="1" s="1"/>
  <c r="N1918" i="1"/>
  <c r="M1918" i="1"/>
  <c r="O1917" i="1" a="1"/>
  <c r="O1917" i="1" s="1"/>
  <c r="N1917" i="1"/>
  <c r="M1917" i="1"/>
  <c r="O1916" i="1" a="1"/>
  <c r="O1916" i="1" s="1"/>
  <c r="N1916" i="1"/>
  <c r="M1916" i="1"/>
  <c r="O1915" i="1" a="1"/>
  <c r="O1915" i="1" s="1"/>
  <c r="N1915" i="1"/>
  <c r="M1915" i="1"/>
  <c r="O1914" i="1"/>
  <c r="O1914" i="1" a="1"/>
  <c r="N1914" i="1"/>
  <c r="M1914" i="1"/>
  <c r="O1913" i="1" a="1"/>
  <c r="O1913" i="1" s="1"/>
  <c r="N1913" i="1"/>
  <c r="M1913" i="1"/>
  <c r="O1912" i="1" a="1"/>
  <c r="O1912" i="1" s="1"/>
  <c r="N1912" i="1"/>
  <c r="M1912" i="1"/>
  <c r="O1911" i="1" a="1"/>
  <c r="O1911" i="1" s="1"/>
  <c r="N1911" i="1"/>
  <c r="M1911" i="1"/>
  <c r="O1910" i="1" a="1"/>
  <c r="O1910" i="1" s="1"/>
  <c r="N1910" i="1"/>
  <c r="M1910" i="1"/>
  <c r="O1909" i="1"/>
  <c r="O1909" i="1" a="1"/>
  <c r="N1909" i="1"/>
  <c r="M1909" i="1"/>
  <c r="O1908" i="1"/>
  <c r="O1908" i="1" a="1"/>
  <c r="N1908" i="1"/>
  <c r="M1908" i="1"/>
  <c r="O1907" i="1" a="1"/>
  <c r="O1907" i="1" s="1"/>
  <c r="N1907" i="1"/>
  <c r="M1907" i="1"/>
  <c r="O1906" i="1" a="1"/>
  <c r="O1906" i="1" s="1"/>
  <c r="N1906" i="1"/>
  <c r="M1906" i="1"/>
  <c r="O1905" i="1"/>
  <c r="O1905" i="1" a="1"/>
  <c r="N1905" i="1"/>
  <c r="M1905" i="1"/>
  <c r="O1904" i="1" a="1"/>
  <c r="O1904" i="1" s="1"/>
  <c r="N1904" i="1"/>
  <c r="M1904" i="1"/>
  <c r="O1903" i="1"/>
  <c r="O1903" i="1" a="1"/>
  <c r="N1903" i="1"/>
  <c r="M1903" i="1"/>
  <c r="O1902" i="1"/>
  <c r="O1902" i="1" a="1"/>
  <c r="N1902" i="1"/>
  <c r="M1902" i="1"/>
  <c r="O1901" i="1" a="1"/>
  <c r="O1901" i="1" s="1"/>
  <c r="N1901" i="1"/>
  <c r="M1901" i="1"/>
  <c r="O1900" i="1" a="1"/>
  <c r="O1900" i="1" s="1"/>
  <c r="N1900" i="1"/>
  <c r="M1900" i="1"/>
  <c r="O1899" i="1"/>
  <c r="O1899" i="1" a="1"/>
  <c r="N1899" i="1"/>
  <c r="M1899" i="1"/>
  <c r="O1898" i="1" a="1"/>
  <c r="O1898" i="1" s="1"/>
  <c r="N1898" i="1"/>
  <c r="M1898" i="1"/>
  <c r="O1897" i="1" a="1"/>
  <c r="O1897" i="1" s="1"/>
  <c r="N1897" i="1"/>
  <c r="M1897" i="1"/>
  <c r="O1896" i="1" a="1"/>
  <c r="O1896" i="1" s="1"/>
  <c r="N1896" i="1"/>
  <c r="M1896" i="1"/>
  <c r="O1895" i="1" a="1"/>
  <c r="O1895" i="1" s="1"/>
  <c r="N1895" i="1"/>
  <c r="M1895" i="1"/>
  <c r="O1894" i="1"/>
  <c r="O1894" i="1" a="1"/>
  <c r="N1894" i="1"/>
  <c r="M1894" i="1"/>
  <c r="O1893" i="1"/>
  <c r="O1893" i="1" a="1"/>
  <c r="N1893" i="1"/>
  <c r="M1893" i="1"/>
  <c r="O1892" i="1" a="1"/>
  <c r="O1892" i="1" s="1"/>
  <c r="N1892" i="1"/>
  <c r="M1892" i="1"/>
  <c r="O1891" i="1" a="1"/>
  <c r="O1891" i="1" s="1"/>
  <c r="N1891" i="1"/>
  <c r="M1891" i="1"/>
  <c r="O1890" i="1" a="1"/>
  <c r="O1890" i="1" s="1"/>
  <c r="N1890" i="1"/>
  <c r="M1890" i="1"/>
  <c r="O1889" i="1"/>
  <c r="O1889" i="1" a="1"/>
  <c r="N1889" i="1"/>
  <c r="M1889" i="1"/>
  <c r="O1888" i="1" a="1"/>
  <c r="O1888" i="1" s="1"/>
  <c r="N1888" i="1"/>
  <c r="M1888" i="1"/>
  <c r="O1887" i="1" a="1"/>
  <c r="O1887" i="1" s="1"/>
  <c r="N1887" i="1"/>
  <c r="M1887" i="1"/>
  <c r="O1886" i="1"/>
  <c r="O1886" i="1" a="1"/>
  <c r="N1886" i="1"/>
  <c r="M1886" i="1"/>
  <c r="O1885" i="1"/>
  <c r="O1885" i="1" a="1"/>
  <c r="N1885" i="1"/>
  <c r="M1885" i="1"/>
  <c r="O1884" i="1"/>
  <c r="O1884" i="1" a="1"/>
  <c r="N1884" i="1"/>
  <c r="M1884" i="1"/>
  <c r="O1883" i="1" a="1"/>
  <c r="O1883" i="1" s="1"/>
  <c r="N1883" i="1"/>
  <c r="M1883" i="1"/>
  <c r="O1882" i="1" a="1"/>
  <c r="O1882" i="1" s="1"/>
  <c r="N1882" i="1"/>
  <c r="M1882" i="1"/>
  <c r="O1881" i="1" a="1"/>
  <c r="O1881" i="1" s="1"/>
  <c r="N1881" i="1"/>
  <c r="M1881" i="1"/>
  <c r="O1880" i="1" a="1"/>
  <c r="O1880" i="1" s="1"/>
  <c r="N1880" i="1"/>
  <c r="M1880" i="1"/>
  <c r="O1879" i="1" a="1"/>
  <c r="O1879" i="1" s="1"/>
  <c r="N1879" i="1"/>
  <c r="M1879" i="1"/>
  <c r="O1878" i="1" a="1"/>
  <c r="O1878" i="1" s="1"/>
  <c r="N1878" i="1"/>
  <c r="M1878" i="1"/>
  <c r="O1877" i="1"/>
  <c r="O1877" i="1" a="1"/>
  <c r="N1877" i="1"/>
  <c r="M1877" i="1"/>
  <c r="O1876" i="1" a="1"/>
  <c r="O1876" i="1" s="1"/>
  <c r="N1876" i="1"/>
  <c r="M1876" i="1"/>
  <c r="O1875" i="1" a="1"/>
  <c r="O1875" i="1" s="1"/>
  <c r="N1875" i="1"/>
  <c r="M1875" i="1"/>
  <c r="O1874" i="1"/>
  <c r="O1874" i="1" a="1"/>
  <c r="N1874" i="1"/>
  <c r="M1874" i="1"/>
  <c r="O1873" i="1"/>
  <c r="O1873" i="1" a="1"/>
  <c r="N1873" i="1"/>
  <c r="M1873" i="1"/>
  <c r="O1872" i="1" a="1"/>
  <c r="O1872" i="1" s="1"/>
  <c r="N1872" i="1"/>
  <c r="M1872" i="1"/>
  <c r="O1871" i="1" a="1"/>
  <c r="O1871" i="1" s="1"/>
  <c r="N1871" i="1"/>
  <c r="M1871" i="1"/>
  <c r="O1870" i="1" a="1"/>
  <c r="O1870" i="1" s="1"/>
  <c r="N1870" i="1"/>
  <c r="M1870" i="1"/>
  <c r="O1869" i="1" a="1"/>
  <c r="O1869" i="1" s="1"/>
  <c r="N1869" i="1"/>
  <c r="M1869" i="1"/>
  <c r="O1868" i="1"/>
  <c r="O1868" i="1" a="1"/>
  <c r="N1868" i="1"/>
  <c r="M1868" i="1"/>
  <c r="O1867" i="1" a="1"/>
  <c r="O1867" i="1" s="1"/>
  <c r="N1867" i="1"/>
  <c r="M1867" i="1"/>
  <c r="O1866" i="1" a="1"/>
  <c r="O1866" i="1" s="1"/>
  <c r="N1866" i="1"/>
  <c r="M1866" i="1"/>
  <c r="O1865" i="1" a="1"/>
  <c r="O1865" i="1" s="1"/>
  <c r="N1865" i="1"/>
  <c r="M1865" i="1"/>
  <c r="O1864" i="1"/>
  <c r="O1864" i="1" a="1"/>
  <c r="N1864" i="1"/>
  <c r="M1864" i="1"/>
  <c r="O1863" i="1" a="1"/>
  <c r="O1863" i="1" s="1"/>
  <c r="N1863" i="1"/>
  <c r="M1863" i="1"/>
  <c r="O1862" i="1" a="1"/>
  <c r="O1862" i="1" s="1"/>
  <c r="N1862" i="1"/>
  <c r="M1862" i="1"/>
  <c r="O1861" i="1" a="1"/>
  <c r="O1861" i="1" s="1"/>
  <c r="N1861" i="1"/>
  <c r="M1861" i="1"/>
  <c r="O1860" i="1"/>
  <c r="O1860" i="1" a="1"/>
  <c r="N1860" i="1"/>
  <c r="M1860" i="1"/>
  <c r="O1859" i="1" a="1"/>
  <c r="O1859" i="1" s="1"/>
  <c r="N1859" i="1"/>
  <c r="M1859" i="1"/>
  <c r="O1858" i="1" a="1"/>
  <c r="O1858" i="1" s="1"/>
  <c r="N1858" i="1"/>
  <c r="M1858" i="1"/>
  <c r="O1857" i="1" a="1"/>
  <c r="O1857" i="1" s="1"/>
  <c r="N1857" i="1"/>
  <c r="M1857" i="1"/>
  <c r="O1856" i="1"/>
  <c r="O1856" i="1" a="1"/>
  <c r="N1856" i="1"/>
  <c r="M1856" i="1"/>
  <c r="O1855" i="1" a="1"/>
  <c r="O1855" i="1" s="1"/>
  <c r="N1855" i="1"/>
  <c r="M1855" i="1"/>
  <c r="O1854" i="1"/>
  <c r="O1854" i="1" a="1"/>
  <c r="N1854" i="1"/>
  <c r="M1854" i="1"/>
  <c r="O1853" i="1" a="1"/>
  <c r="O1853" i="1" s="1"/>
  <c r="N1853" i="1"/>
  <c r="M1853" i="1"/>
  <c r="O1852" i="1" a="1"/>
  <c r="O1852" i="1" s="1"/>
  <c r="N1852" i="1"/>
  <c r="M1852" i="1"/>
  <c r="O1851" i="1"/>
  <c r="O1851" i="1" a="1"/>
  <c r="N1851" i="1"/>
  <c r="M1851" i="1"/>
  <c r="O1850" i="1" a="1"/>
  <c r="O1850" i="1" s="1"/>
  <c r="N1850" i="1"/>
  <c r="M1850" i="1"/>
  <c r="O1849" i="1" a="1"/>
  <c r="O1849" i="1" s="1"/>
  <c r="N1849" i="1"/>
  <c r="M1849" i="1"/>
  <c r="O1848" i="1" a="1"/>
  <c r="O1848" i="1" s="1"/>
  <c r="N1848" i="1"/>
  <c r="M1848" i="1"/>
  <c r="O1847" i="1" a="1"/>
  <c r="O1847" i="1" s="1"/>
  <c r="N1847" i="1"/>
  <c r="M1847" i="1"/>
  <c r="O1846" i="1"/>
  <c r="O1846" i="1" a="1"/>
  <c r="N1846" i="1"/>
  <c r="M1846" i="1"/>
  <c r="O1845" i="1"/>
  <c r="O1845" i="1" a="1"/>
  <c r="N1845" i="1"/>
  <c r="M1845" i="1"/>
  <c r="O1844" i="1" a="1"/>
  <c r="O1844" i="1" s="1"/>
  <c r="N1844" i="1"/>
  <c r="M1844" i="1"/>
  <c r="O1843" i="1" a="1"/>
  <c r="O1843" i="1" s="1"/>
  <c r="N1843" i="1"/>
  <c r="M1843" i="1"/>
  <c r="O1842" i="1"/>
  <c r="O1842" i="1" a="1"/>
  <c r="N1842" i="1"/>
  <c r="M1842" i="1"/>
  <c r="O1841" i="1" a="1"/>
  <c r="O1841" i="1" s="1"/>
  <c r="N1841" i="1"/>
  <c r="M1841" i="1"/>
  <c r="O1840" i="1" a="1"/>
  <c r="O1840" i="1" s="1"/>
  <c r="N1840" i="1"/>
  <c r="M1840" i="1"/>
  <c r="O1839" i="1" a="1"/>
  <c r="O1839" i="1" s="1"/>
  <c r="N1839" i="1"/>
  <c r="M1839" i="1"/>
  <c r="O1838" i="1" a="1"/>
  <c r="O1838" i="1" s="1"/>
  <c r="N1838" i="1"/>
  <c r="M1838" i="1"/>
  <c r="O1837" i="1" a="1"/>
  <c r="O1837" i="1" s="1"/>
  <c r="N1837" i="1"/>
  <c r="M1837" i="1"/>
  <c r="O1836" i="1"/>
  <c r="O1836" i="1" a="1"/>
  <c r="N1836" i="1"/>
  <c r="M1836" i="1"/>
  <c r="O1835" i="1"/>
  <c r="O1835" i="1" a="1"/>
  <c r="N1835" i="1"/>
  <c r="M1835" i="1"/>
  <c r="O1834" i="1" a="1"/>
  <c r="O1834" i="1" s="1"/>
  <c r="N1834" i="1"/>
  <c r="M1834" i="1"/>
  <c r="O1833" i="1"/>
  <c r="O1833" i="1" a="1"/>
  <c r="N1833" i="1"/>
  <c r="M1833" i="1"/>
  <c r="O1832" i="1" a="1"/>
  <c r="O1832" i="1" s="1"/>
  <c r="N1832" i="1"/>
  <c r="M1832" i="1"/>
  <c r="O1831" i="1" a="1"/>
  <c r="O1831" i="1" s="1"/>
  <c r="N1831" i="1"/>
  <c r="M1831" i="1"/>
  <c r="O1830" i="1" a="1"/>
  <c r="O1830" i="1" s="1"/>
  <c r="N1830" i="1"/>
  <c r="M1830" i="1"/>
  <c r="O1829" i="1" a="1"/>
  <c r="O1829" i="1" s="1"/>
  <c r="N1829" i="1"/>
  <c r="M1829" i="1"/>
  <c r="O1828" i="1" a="1"/>
  <c r="O1828" i="1" s="1"/>
  <c r="N1828" i="1"/>
  <c r="M1828" i="1"/>
  <c r="O1827" i="1" a="1"/>
  <c r="O1827" i="1" s="1"/>
  <c r="N1827" i="1"/>
  <c r="M1827" i="1"/>
  <c r="O1826" i="1" a="1"/>
  <c r="O1826" i="1" s="1"/>
  <c r="N1826" i="1"/>
  <c r="M1826" i="1"/>
  <c r="O1825" i="1"/>
  <c r="O1825" i="1" a="1"/>
  <c r="N1825" i="1"/>
  <c r="M1825" i="1"/>
  <c r="O1824" i="1" a="1"/>
  <c r="O1824" i="1" s="1"/>
  <c r="N1824" i="1"/>
  <c r="M1824" i="1"/>
  <c r="O1823" i="1" a="1"/>
  <c r="O1823" i="1" s="1"/>
  <c r="N1823" i="1"/>
  <c r="M1823" i="1"/>
  <c r="O1822" i="1" a="1"/>
  <c r="O1822" i="1" s="1"/>
  <c r="N1822" i="1"/>
  <c r="M1822" i="1"/>
  <c r="O1821" i="1"/>
  <c r="O1821" i="1" a="1"/>
  <c r="N1821" i="1"/>
  <c r="M1821" i="1"/>
  <c r="O1820" i="1" a="1"/>
  <c r="O1820" i="1" s="1"/>
  <c r="N1820" i="1"/>
  <c r="M1820" i="1"/>
  <c r="O1819" i="1" a="1"/>
  <c r="O1819" i="1" s="1"/>
  <c r="N1819" i="1"/>
  <c r="M1819" i="1"/>
  <c r="O1818" i="1"/>
  <c r="O1818" i="1" a="1"/>
  <c r="N1818" i="1"/>
  <c r="M1818" i="1"/>
  <c r="O1817" i="1"/>
  <c r="O1817" i="1" a="1"/>
  <c r="N1817" i="1"/>
  <c r="M1817" i="1"/>
  <c r="O1816" i="1"/>
  <c r="O1816" i="1" a="1"/>
  <c r="N1816" i="1"/>
  <c r="M1816" i="1"/>
  <c r="O1815" i="1"/>
  <c r="O1815" i="1" a="1"/>
  <c r="N1815" i="1"/>
  <c r="M1815" i="1"/>
  <c r="O1814" i="1" a="1"/>
  <c r="O1814" i="1" s="1"/>
  <c r="N1814" i="1"/>
  <c r="M1814" i="1"/>
  <c r="O1813" i="1" a="1"/>
  <c r="O1813" i="1" s="1"/>
  <c r="N1813" i="1"/>
  <c r="M1813" i="1"/>
  <c r="O1812" i="1" a="1"/>
  <c r="O1812" i="1" s="1"/>
  <c r="N1812" i="1"/>
  <c r="M1812" i="1"/>
  <c r="O1811" i="1" a="1"/>
  <c r="O1811" i="1" s="1"/>
  <c r="N1811" i="1"/>
  <c r="M1811" i="1"/>
  <c r="O1810" i="1" a="1"/>
  <c r="O1810" i="1" s="1"/>
  <c r="N1810" i="1"/>
  <c r="M1810" i="1"/>
  <c r="O1809" i="1"/>
  <c r="O1809" i="1" a="1"/>
  <c r="N1809" i="1"/>
  <c r="M1809" i="1"/>
  <c r="O1808" i="1" a="1"/>
  <c r="O1808" i="1" s="1"/>
  <c r="N1808" i="1"/>
  <c r="M1808" i="1"/>
  <c r="O1807" i="1" a="1"/>
  <c r="O1807" i="1" s="1"/>
  <c r="N1807" i="1"/>
  <c r="M1807" i="1"/>
  <c r="O1806" i="1"/>
  <c r="O1806" i="1" a="1"/>
  <c r="N1806" i="1"/>
  <c r="M1806" i="1"/>
  <c r="O1805" i="1" a="1"/>
  <c r="O1805" i="1" s="1"/>
  <c r="N1805" i="1"/>
  <c r="M1805" i="1"/>
  <c r="O1804" i="1"/>
  <c r="O1804" i="1" a="1"/>
  <c r="N1804" i="1"/>
  <c r="M1804" i="1"/>
  <c r="O1803" i="1"/>
  <c r="O1803" i="1" a="1"/>
  <c r="N1803" i="1"/>
  <c r="M1803" i="1"/>
  <c r="O1802" i="1" a="1"/>
  <c r="O1802" i="1" s="1"/>
  <c r="N1802" i="1"/>
  <c r="M1802" i="1"/>
  <c r="O1801" i="1"/>
  <c r="O1801" i="1" a="1"/>
  <c r="N1801" i="1"/>
  <c r="M1801" i="1"/>
  <c r="O1800" i="1" a="1"/>
  <c r="O1800" i="1" s="1"/>
  <c r="N1800" i="1"/>
  <c r="M1800" i="1"/>
  <c r="O1799" i="1"/>
  <c r="O1799" i="1" a="1"/>
  <c r="N1799" i="1"/>
  <c r="M1799" i="1"/>
  <c r="O1798" i="1" a="1"/>
  <c r="O1798" i="1" s="1"/>
  <c r="N1798" i="1"/>
  <c r="M1798" i="1"/>
  <c r="O1797" i="1"/>
  <c r="O1797" i="1" a="1"/>
  <c r="N1797" i="1"/>
  <c r="M1797" i="1"/>
  <c r="O1796" i="1"/>
  <c r="O1796" i="1" a="1"/>
  <c r="N1796" i="1"/>
  <c r="M1796" i="1"/>
  <c r="O1795" i="1"/>
  <c r="O1795" i="1" a="1"/>
  <c r="N1795" i="1"/>
  <c r="M1795" i="1"/>
  <c r="O1794" i="1" a="1"/>
  <c r="O1794" i="1" s="1"/>
  <c r="N1794" i="1"/>
  <c r="M1794" i="1"/>
  <c r="O1793" i="1"/>
  <c r="O1793" i="1" a="1"/>
  <c r="N1793" i="1"/>
  <c r="M1793" i="1"/>
  <c r="O1792" i="1"/>
  <c r="O1792" i="1" a="1"/>
  <c r="N1792" i="1"/>
  <c r="M1792" i="1"/>
  <c r="O1791" i="1" a="1"/>
  <c r="O1791" i="1" s="1"/>
  <c r="N1791" i="1"/>
  <c r="M1791" i="1"/>
  <c r="O1790" i="1" a="1"/>
  <c r="O1790" i="1" s="1"/>
  <c r="N1790" i="1"/>
  <c r="M1790" i="1"/>
  <c r="O1789" i="1"/>
  <c r="O1789" i="1" a="1"/>
  <c r="N1789" i="1"/>
  <c r="M1789" i="1"/>
  <c r="O1788" i="1" a="1"/>
  <c r="O1788" i="1" s="1"/>
  <c r="N1788" i="1"/>
  <c r="M1788" i="1"/>
  <c r="O1787" i="1" a="1"/>
  <c r="O1787" i="1" s="1"/>
  <c r="N1787" i="1"/>
  <c r="M1787" i="1"/>
  <c r="O1786" i="1" a="1"/>
  <c r="O1786" i="1" s="1"/>
  <c r="N1786" i="1"/>
  <c r="M1786" i="1"/>
  <c r="O1785" i="1"/>
  <c r="O1785" i="1" a="1"/>
  <c r="N1785" i="1"/>
  <c r="M1785" i="1"/>
  <c r="O1784" i="1" a="1"/>
  <c r="O1784" i="1" s="1"/>
  <c r="N1784" i="1"/>
  <c r="M1784" i="1"/>
  <c r="O1783" i="1"/>
  <c r="O1783" i="1" a="1"/>
  <c r="N1783" i="1"/>
  <c r="M1783" i="1"/>
  <c r="O1782" i="1" a="1"/>
  <c r="O1782" i="1" s="1"/>
  <c r="N1782" i="1"/>
  <c r="M1782" i="1"/>
  <c r="O1781" i="1" a="1"/>
  <c r="O1781" i="1" s="1"/>
  <c r="N1781" i="1"/>
  <c r="M1781" i="1"/>
  <c r="O1780" i="1" a="1"/>
  <c r="O1780" i="1" s="1"/>
  <c r="N1780" i="1"/>
  <c r="M1780" i="1"/>
  <c r="O1779" i="1" a="1"/>
  <c r="O1779" i="1" s="1"/>
  <c r="N1779" i="1"/>
  <c r="M1779" i="1"/>
  <c r="O1778" i="1"/>
  <c r="O1778" i="1" a="1"/>
  <c r="N1778" i="1"/>
  <c r="M1778" i="1"/>
  <c r="O1777" i="1" a="1"/>
  <c r="O1777" i="1" s="1"/>
  <c r="N1777" i="1"/>
  <c r="M1777" i="1"/>
  <c r="O1776" i="1" a="1"/>
  <c r="O1776" i="1" s="1"/>
  <c r="N1776" i="1"/>
  <c r="M1776" i="1"/>
  <c r="O1775" i="1" a="1"/>
  <c r="O1775" i="1" s="1"/>
  <c r="N1775" i="1"/>
  <c r="M1775" i="1"/>
  <c r="O1774" i="1"/>
  <c r="O1774" i="1" a="1"/>
  <c r="N1774" i="1"/>
  <c r="M1774" i="1"/>
  <c r="O1773" i="1" a="1"/>
  <c r="O1773" i="1" s="1"/>
  <c r="N1773" i="1"/>
  <c r="M1773" i="1"/>
  <c r="O1772" i="1" a="1"/>
  <c r="O1772" i="1" s="1"/>
  <c r="N1772" i="1"/>
  <c r="M1772" i="1"/>
  <c r="O1771" i="1"/>
  <c r="O1771" i="1" a="1"/>
  <c r="N1771" i="1"/>
  <c r="M1771" i="1"/>
  <c r="O1770" i="1" a="1"/>
  <c r="O1770" i="1" s="1"/>
  <c r="N1770" i="1"/>
  <c r="M1770" i="1"/>
  <c r="O1769" i="1" a="1"/>
  <c r="O1769" i="1" s="1"/>
  <c r="N1769" i="1"/>
  <c r="M1769" i="1"/>
  <c r="O1768" i="1"/>
  <c r="O1768" i="1" a="1"/>
  <c r="N1768" i="1"/>
  <c r="M1768" i="1"/>
  <c r="O1767" i="1"/>
  <c r="O1767" i="1" a="1"/>
  <c r="N1767" i="1"/>
  <c r="M1767" i="1"/>
  <c r="O1766" i="1" a="1"/>
  <c r="O1766" i="1" s="1"/>
  <c r="N1766" i="1"/>
  <c r="M1766" i="1"/>
  <c r="O1765" i="1"/>
  <c r="O1765" i="1" a="1"/>
  <c r="N1765" i="1"/>
  <c r="M1765" i="1"/>
  <c r="O1764" i="1"/>
  <c r="O1764" i="1" a="1"/>
  <c r="N1764" i="1"/>
  <c r="M1764" i="1"/>
  <c r="O1763" i="1" a="1"/>
  <c r="O1763" i="1" s="1"/>
  <c r="N1763" i="1"/>
  <c r="M1763" i="1"/>
  <c r="O1762" i="1" a="1"/>
  <c r="O1762" i="1" s="1"/>
  <c r="N1762" i="1"/>
  <c r="M1762" i="1"/>
  <c r="O1761" i="1" a="1"/>
  <c r="O1761" i="1" s="1"/>
  <c r="N1761" i="1"/>
  <c r="M1761" i="1"/>
  <c r="O1760" i="1"/>
  <c r="O1760" i="1" a="1"/>
  <c r="N1760" i="1"/>
  <c r="M1760" i="1"/>
  <c r="O1759" i="1" a="1"/>
  <c r="O1759" i="1" s="1"/>
  <c r="N1759" i="1"/>
  <c r="M1759" i="1"/>
  <c r="O1758" i="1" a="1"/>
  <c r="O1758" i="1" s="1"/>
  <c r="N1758" i="1"/>
  <c r="M1758" i="1"/>
  <c r="O1757" i="1"/>
  <c r="O1757" i="1" a="1"/>
  <c r="N1757" i="1"/>
  <c r="M1757" i="1"/>
  <c r="O1756" i="1" a="1"/>
  <c r="O1756" i="1" s="1"/>
  <c r="N1756" i="1"/>
  <c r="M1756" i="1"/>
  <c r="O1755" i="1"/>
  <c r="O1755" i="1" a="1"/>
  <c r="N1755" i="1"/>
  <c r="M1755" i="1"/>
  <c r="O1754" i="1"/>
  <c r="O1754" i="1" a="1"/>
  <c r="N1754" i="1"/>
  <c r="M1754" i="1"/>
  <c r="O1753" i="1" a="1"/>
  <c r="O1753" i="1" s="1"/>
  <c r="N1753" i="1"/>
  <c r="M1753" i="1"/>
  <c r="O1752" i="1" a="1"/>
  <c r="O1752" i="1" s="1"/>
  <c r="N1752" i="1"/>
  <c r="M1752" i="1"/>
  <c r="O1751" i="1"/>
  <c r="O1751" i="1" a="1"/>
  <c r="N1751" i="1"/>
  <c r="M1751" i="1"/>
  <c r="O1750" i="1"/>
  <c r="O1750" i="1" a="1"/>
  <c r="N1750" i="1"/>
  <c r="M1750" i="1"/>
  <c r="O1749" i="1" a="1"/>
  <c r="O1749" i="1" s="1"/>
  <c r="N1749" i="1"/>
  <c r="M1749" i="1"/>
  <c r="O1748" i="1" a="1"/>
  <c r="O1748" i="1" s="1"/>
  <c r="N1748" i="1"/>
  <c r="M1748" i="1"/>
  <c r="O1747" i="1"/>
  <c r="O1747" i="1" a="1"/>
  <c r="N1747" i="1"/>
  <c r="M1747" i="1"/>
  <c r="O1746" i="1"/>
  <c r="O1746" i="1" a="1"/>
  <c r="N1746" i="1"/>
  <c r="M1746" i="1"/>
  <c r="O1745" i="1"/>
  <c r="O1745" i="1" a="1"/>
  <c r="N1745" i="1"/>
  <c r="M1745" i="1"/>
  <c r="O1744" i="1"/>
  <c r="O1744" i="1" a="1"/>
  <c r="N1744" i="1"/>
  <c r="M1744" i="1"/>
  <c r="O1743" i="1"/>
  <c r="O1743" i="1" a="1"/>
  <c r="N1743" i="1"/>
  <c r="M1743" i="1"/>
  <c r="O1742" i="1" a="1"/>
  <c r="O1742" i="1" s="1"/>
  <c r="N1742" i="1"/>
  <c r="M1742" i="1"/>
  <c r="O1741" i="1" a="1"/>
  <c r="O1741" i="1" s="1"/>
  <c r="N1741" i="1"/>
  <c r="M1741" i="1"/>
  <c r="O1740" i="1" a="1"/>
  <c r="O1740" i="1" s="1"/>
  <c r="N1740" i="1"/>
  <c r="M1740" i="1"/>
  <c r="O1739" i="1"/>
  <c r="O1739" i="1" a="1"/>
  <c r="N1739" i="1"/>
  <c r="M1739" i="1"/>
  <c r="O1738" i="1" a="1"/>
  <c r="O1738" i="1" s="1"/>
  <c r="N1738" i="1"/>
  <c r="M1738" i="1"/>
  <c r="O1737" i="1" a="1"/>
  <c r="O1737" i="1" s="1"/>
  <c r="N1737" i="1"/>
  <c r="M1737" i="1"/>
  <c r="O1736" i="1"/>
  <c r="O1736" i="1" a="1"/>
  <c r="N1736" i="1"/>
  <c r="M1736" i="1"/>
  <c r="O1735" i="1" a="1"/>
  <c r="O1735" i="1" s="1"/>
  <c r="N1735" i="1"/>
  <c r="M1735" i="1"/>
  <c r="O1734" i="1" a="1"/>
  <c r="O1734" i="1" s="1"/>
  <c r="N1734" i="1"/>
  <c r="M1734" i="1"/>
  <c r="O1733" i="1" a="1"/>
  <c r="O1733" i="1" s="1"/>
  <c r="N1733" i="1"/>
  <c r="M1733" i="1"/>
  <c r="O1732" i="1" a="1"/>
  <c r="O1732" i="1" s="1"/>
  <c r="N1732" i="1"/>
  <c r="M1732" i="1"/>
  <c r="O1731" i="1"/>
  <c r="O1731" i="1" a="1"/>
  <c r="N1731" i="1"/>
  <c r="M1731" i="1"/>
  <c r="O1730" i="1" a="1"/>
  <c r="O1730" i="1" s="1"/>
  <c r="N1730" i="1"/>
  <c r="M1730" i="1"/>
  <c r="O1729" i="1"/>
  <c r="O1729" i="1" a="1"/>
  <c r="N1729" i="1"/>
  <c r="M1729" i="1"/>
  <c r="O1728" i="1" a="1"/>
  <c r="O1728" i="1" s="1"/>
  <c r="N1728" i="1"/>
  <c r="M1728" i="1"/>
  <c r="O1727" i="1" a="1"/>
  <c r="O1727" i="1" s="1"/>
  <c r="N1727" i="1"/>
  <c r="M1727" i="1"/>
  <c r="O1726" i="1"/>
  <c r="O1726" i="1" a="1"/>
  <c r="N1726" i="1"/>
  <c r="M1726" i="1"/>
  <c r="O1725" i="1"/>
  <c r="O1725" i="1" a="1"/>
  <c r="N1725" i="1"/>
  <c r="M1725" i="1"/>
  <c r="O1724" i="1" a="1"/>
  <c r="O1724" i="1" s="1"/>
  <c r="N1724" i="1"/>
  <c r="M1724" i="1"/>
  <c r="O1723" i="1" a="1"/>
  <c r="O1723" i="1" s="1"/>
  <c r="N1723" i="1"/>
  <c r="M1723" i="1"/>
  <c r="O1722" i="1"/>
  <c r="O1722" i="1" a="1"/>
  <c r="N1722" i="1"/>
  <c r="M1722" i="1"/>
  <c r="O1721" i="1" a="1"/>
  <c r="O1721" i="1" s="1"/>
  <c r="N1721" i="1"/>
  <c r="M1721" i="1"/>
  <c r="O1720" i="1" a="1"/>
  <c r="O1720" i="1" s="1"/>
  <c r="N1720" i="1"/>
  <c r="M1720" i="1"/>
  <c r="O1719" i="1" a="1"/>
  <c r="O1719" i="1" s="1"/>
  <c r="N1719" i="1"/>
  <c r="M1719" i="1"/>
  <c r="O1718" i="1"/>
  <c r="O1718" i="1" a="1"/>
  <c r="N1718" i="1"/>
  <c r="M1718" i="1"/>
  <c r="O1717" i="1"/>
  <c r="O1717" i="1" a="1"/>
  <c r="N1717" i="1"/>
  <c r="M1717" i="1"/>
  <c r="O1716" i="1"/>
  <c r="O1716" i="1" a="1"/>
  <c r="N1716" i="1"/>
  <c r="M1716" i="1"/>
  <c r="O1715" i="1"/>
  <c r="O1715" i="1" a="1"/>
  <c r="N1715" i="1"/>
  <c r="M1715" i="1"/>
  <c r="O1714" i="1" a="1"/>
  <c r="O1714" i="1" s="1"/>
  <c r="N1714" i="1"/>
  <c r="M1714" i="1"/>
  <c r="O1713" i="1"/>
  <c r="O1713" i="1" a="1"/>
  <c r="N1713" i="1"/>
  <c r="M1713" i="1"/>
  <c r="O1712" i="1" a="1"/>
  <c r="O1712" i="1" s="1"/>
  <c r="N1712" i="1"/>
  <c r="M1712" i="1"/>
  <c r="O1711" i="1" a="1"/>
  <c r="O1711" i="1" s="1"/>
  <c r="N1711" i="1"/>
  <c r="M1711" i="1"/>
  <c r="O1710" i="1" a="1"/>
  <c r="O1710" i="1" s="1"/>
  <c r="N1710" i="1"/>
  <c r="M1710" i="1"/>
  <c r="O1709" i="1"/>
  <c r="O1709" i="1" a="1"/>
  <c r="N1709" i="1"/>
  <c r="M1709" i="1"/>
  <c r="O1708" i="1"/>
  <c r="O1708" i="1" a="1"/>
  <c r="N1708" i="1"/>
  <c r="M1708" i="1"/>
  <c r="O1707" i="1" a="1"/>
  <c r="O1707" i="1" s="1"/>
  <c r="N1707" i="1"/>
  <c r="M1707" i="1"/>
  <c r="O1706" i="1"/>
  <c r="O1706" i="1" a="1"/>
  <c r="N1706" i="1"/>
  <c r="M1706" i="1"/>
  <c r="O1705" i="1" a="1"/>
  <c r="O1705" i="1" s="1"/>
  <c r="N1705" i="1"/>
  <c r="M1705" i="1"/>
  <c r="O1704" i="1" a="1"/>
  <c r="O1704" i="1" s="1"/>
  <c r="N1704" i="1"/>
  <c r="M1704" i="1"/>
  <c r="O1703" i="1" a="1"/>
  <c r="O1703" i="1" s="1"/>
  <c r="N1703" i="1"/>
  <c r="M1703" i="1"/>
  <c r="O1702" i="1" a="1"/>
  <c r="O1702" i="1" s="1"/>
  <c r="N1702" i="1"/>
  <c r="M1702" i="1"/>
  <c r="O1701" i="1"/>
  <c r="O1701" i="1" a="1"/>
  <c r="N1701" i="1"/>
  <c r="M1701" i="1"/>
  <c r="O1700" i="1" a="1"/>
  <c r="O1700" i="1" s="1"/>
  <c r="N1700" i="1"/>
  <c r="M1700" i="1"/>
  <c r="O1699" i="1" a="1"/>
  <c r="O1699" i="1" s="1"/>
  <c r="N1699" i="1"/>
  <c r="M1699" i="1"/>
  <c r="O1698" i="1" a="1"/>
  <c r="O1698" i="1" s="1"/>
  <c r="N1698" i="1"/>
  <c r="M1698" i="1"/>
  <c r="O1697" i="1"/>
  <c r="O1697" i="1" a="1"/>
  <c r="N1697" i="1"/>
  <c r="M1697" i="1"/>
  <c r="O1696" i="1"/>
  <c r="O1696" i="1" a="1"/>
  <c r="N1696" i="1"/>
  <c r="M1696" i="1"/>
  <c r="O1695" i="1" a="1"/>
  <c r="O1695" i="1" s="1"/>
  <c r="N1695" i="1"/>
  <c r="M1695" i="1"/>
  <c r="O1694" i="1"/>
  <c r="O1694" i="1" a="1"/>
  <c r="N1694" i="1"/>
  <c r="M1694" i="1"/>
  <c r="O1693" i="1" a="1"/>
  <c r="O1693" i="1" s="1"/>
  <c r="N1693" i="1"/>
  <c r="M1693" i="1"/>
  <c r="O1692" i="1"/>
  <c r="O1692" i="1" a="1"/>
  <c r="N1692" i="1"/>
  <c r="M1692" i="1"/>
  <c r="O1691" i="1" a="1"/>
  <c r="O1691" i="1" s="1"/>
  <c r="N1691" i="1"/>
  <c r="M1691" i="1"/>
  <c r="O1690" i="1" a="1"/>
  <c r="O1690" i="1" s="1"/>
  <c r="N1690" i="1"/>
  <c r="M1690" i="1"/>
  <c r="O1689" i="1" a="1"/>
  <c r="O1689" i="1" s="1"/>
  <c r="N1689" i="1"/>
  <c r="M1689" i="1"/>
  <c r="O1688" i="1" a="1"/>
  <c r="O1688" i="1" s="1"/>
  <c r="N1688" i="1"/>
  <c r="M1688" i="1"/>
  <c r="O1687" i="1"/>
  <c r="O1687" i="1" a="1"/>
  <c r="N1687" i="1"/>
  <c r="M1687" i="1"/>
  <c r="O1686" i="1" a="1"/>
  <c r="O1686" i="1" s="1"/>
  <c r="N1686" i="1"/>
  <c r="M1686" i="1"/>
  <c r="O1685" i="1"/>
  <c r="O1685" i="1" a="1"/>
  <c r="N1685" i="1"/>
  <c r="M1685" i="1"/>
  <c r="O1684" i="1"/>
  <c r="O1684" i="1" a="1"/>
  <c r="N1684" i="1"/>
  <c r="M1684" i="1"/>
  <c r="O1683" i="1" a="1"/>
  <c r="O1683" i="1" s="1"/>
  <c r="N1683" i="1"/>
  <c r="M1683" i="1"/>
  <c r="O1682" i="1" a="1"/>
  <c r="O1682" i="1" s="1"/>
  <c r="N1682" i="1"/>
  <c r="M1682" i="1"/>
  <c r="O1681" i="1"/>
  <c r="O1681" i="1" a="1"/>
  <c r="N1681" i="1"/>
  <c r="M1681" i="1"/>
  <c r="O1680" i="1"/>
  <c r="O1680" i="1" a="1"/>
  <c r="N1680" i="1"/>
  <c r="M1680" i="1"/>
  <c r="O1679" i="1" a="1"/>
  <c r="O1679" i="1" s="1"/>
  <c r="N1679" i="1"/>
  <c r="M1679" i="1"/>
  <c r="O1678" i="1" a="1"/>
  <c r="O1678" i="1" s="1"/>
  <c r="N1678" i="1"/>
  <c r="M1678" i="1"/>
  <c r="O1677" i="1"/>
  <c r="O1677" i="1" a="1"/>
  <c r="N1677" i="1"/>
  <c r="M1677" i="1"/>
  <c r="O1676" i="1" a="1"/>
  <c r="O1676" i="1" s="1"/>
  <c r="N1676" i="1"/>
  <c r="M1676" i="1"/>
  <c r="O1675" i="1" a="1"/>
  <c r="O1675" i="1" s="1"/>
  <c r="N1675" i="1"/>
  <c r="M1675" i="1"/>
  <c r="O1674" i="1" a="1"/>
  <c r="O1674" i="1" s="1"/>
  <c r="N1674" i="1"/>
  <c r="M1674" i="1"/>
  <c r="O1673" i="1"/>
  <c r="O1673" i="1" a="1"/>
  <c r="N1673" i="1"/>
  <c r="M1673" i="1"/>
  <c r="O1672" i="1" a="1"/>
  <c r="O1672" i="1" s="1"/>
  <c r="N1672" i="1"/>
  <c r="M1672" i="1"/>
  <c r="O1671" i="1" a="1"/>
  <c r="O1671" i="1" s="1"/>
  <c r="N1671" i="1"/>
  <c r="M1671" i="1"/>
  <c r="O1670" i="1"/>
  <c r="O1670" i="1" a="1"/>
  <c r="N1670" i="1"/>
  <c r="M1670" i="1"/>
  <c r="O1669" i="1" a="1"/>
  <c r="O1669" i="1" s="1"/>
  <c r="N1669" i="1"/>
  <c r="M1669" i="1"/>
  <c r="O1668" i="1"/>
  <c r="O1668" i="1" a="1"/>
  <c r="N1668" i="1"/>
  <c r="M1668" i="1"/>
  <c r="O1667" i="1"/>
  <c r="O1667" i="1" a="1"/>
  <c r="N1667" i="1"/>
  <c r="M1667" i="1"/>
  <c r="O1666" i="1"/>
  <c r="O1666" i="1" a="1"/>
  <c r="N1666" i="1"/>
  <c r="M1666" i="1"/>
  <c r="O1665" i="1" a="1"/>
  <c r="O1665" i="1" s="1"/>
  <c r="N1665" i="1"/>
  <c r="M1665" i="1"/>
  <c r="O1664" i="1" a="1"/>
  <c r="O1664" i="1" s="1"/>
  <c r="N1664" i="1"/>
  <c r="M1664" i="1"/>
  <c r="O1663" i="1" a="1"/>
  <c r="O1663" i="1" s="1"/>
  <c r="N1663" i="1"/>
  <c r="M1663" i="1"/>
  <c r="O1662" i="1" a="1"/>
  <c r="O1662" i="1" s="1"/>
  <c r="N1662" i="1"/>
  <c r="M1662" i="1"/>
  <c r="O1661" i="1"/>
  <c r="O1661" i="1" a="1"/>
  <c r="N1661" i="1"/>
  <c r="M1661" i="1"/>
  <c r="O1660" i="1" a="1"/>
  <c r="O1660" i="1" s="1"/>
  <c r="N1660" i="1"/>
  <c r="M1660" i="1"/>
  <c r="O1659" i="1"/>
  <c r="O1659" i="1" a="1"/>
  <c r="N1659" i="1"/>
  <c r="M1659" i="1"/>
  <c r="O1658" i="1" a="1"/>
  <c r="O1658" i="1" s="1"/>
  <c r="N1658" i="1"/>
  <c r="M1658" i="1"/>
  <c r="O1657" i="1" a="1"/>
  <c r="O1657" i="1" s="1"/>
  <c r="N1657" i="1"/>
  <c r="M1657" i="1"/>
  <c r="O1656" i="1" a="1"/>
  <c r="O1656" i="1" s="1"/>
  <c r="N1656" i="1"/>
  <c r="M1656" i="1"/>
  <c r="O1655" i="1"/>
  <c r="O1655" i="1" a="1"/>
  <c r="N1655" i="1"/>
  <c r="M1655" i="1"/>
  <c r="O1654" i="1" a="1"/>
  <c r="O1654" i="1" s="1"/>
  <c r="N1654" i="1"/>
  <c r="M1654" i="1"/>
  <c r="O1653" i="1" a="1"/>
  <c r="O1653" i="1" s="1"/>
  <c r="N1653" i="1"/>
  <c r="M1653" i="1"/>
  <c r="O1652" i="1"/>
  <c r="O1652" i="1" a="1"/>
  <c r="N1652" i="1"/>
  <c r="M1652" i="1"/>
  <c r="O1651" i="1" a="1"/>
  <c r="O1651" i="1" s="1"/>
  <c r="N1651" i="1"/>
  <c r="M1651" i="1"/>
  <c r="O1650" i="1" a="1"/>
  <c r="O1650" i="1" s="1"/>
  <c r="N1650" i="1"/>
  <c r="M1650" i="1"/>
  <c r="O1649" i="1" a="1"/>
  <c r="O1649" i="1" s="1"/>
  <c r="N1649" i="1"/>
  <c r="M1649" i="1"/>
  <c r="O1648" i="1" a="1"/>
  <c r="O1648" i="1" s="1"/>
  <c r="N1648" i="1"/>
  <c r="M1648" i="1"/>
  <c r="O1647" i="1" a="1"/>
  <c r="O1647" i="1" s="1"/>
  <c r="N1647" i="1"/>
  <c r="M1647" i="1"/>
  <c r="O1646" i="1" a="1"/>
  <c r="O1646" i="1" s="1"/>
  <c r="N1646" i="1"/>
  <c r="M1646" i="1"/>
  <c r="O1645" i="1"/>
  <c r="O1645" i="1" a="1"/>
  <c r="N1645" i="1"/>
  <c r="M1645" i="1"/>
  <c r="O1644" i="1" a="1"/>
  <c r="O1644" i="1" s="1"/>
  <c r="N1644" i="1"/>
  <c r="M1644" i="1"/>
  <c r="O1643" i="1" a="1"/>
  <c r="O1643" i="1" s="1"/>
  <c r="N1643" i="1"/>
  <c r="M1643" i="1"/>
  <c r="O1642" i="1"/>
  <c r="O1642" i="1" a="1"/>
  <c r="N1642" i="1"/>
  <c r="M1642" i="1"/>
  <c r="O1641" i="1" a="1"/>
  <c r="O1641" i="1" s="1"/>
  <c r="N1641" i="1"/>
  <c r="M1641" i="1"/>
  <c r="O1640" i="1" a="1"/>
  <c r="O1640" i="1" s="1"/>
  <c r="N1640" i="1"/>
  <c r="M1640" i="1"/>
  <c r="O1639" i="1"/>
  <c r="O1639" i="1" a="1"/>
  <c r="N1639" i="1"/>
  <c r="M1639" i="1"/>
  <c r="O1638" i="1"/>
  <c r="O1638" i="1" a="1"/>
  <c r="N1638" i="1"/>
  <c r="M1638" i="1"/>
  <c r="O1637" i="1" a="1"/>
  <c r="O1637" i="1" s="1"/>
  <c r="N1637" i="1"/>
  <c r="M1637" i="1"/>
  <c r="O1636" i="1"/>
  <c r="O1636" i="1" a="1"/>
  <c r="N1636" i="1"/>
  <c r="M1636" i="1"/>
  <c r="O1635" i="1" a="1"/>
  <c r="O1635" i="1" s="1"/>
  <c r="N1635" i="1"/>
  <c r="M1635" i="1"/>
  <c r="O1634" i="1" a="1"/>
  <c r="O1634" i="1" s="1"/>
  <c r="N1634" i="1"/>
  <c r="M1634" i="1"/>
  <c r="O1633" i="1"/>
  <c r="O1633" i="1" a="1"/>
  <c r="N1633" i="1"/>
  <c r="M1633" i="1"/>
  <c r="O1632" i="1" a="1"/>
  <c r="O1632" i="1" s="1"/>
  <c r="N1632" i="1"/>
  <c r="M1632" i="1"/>
  <c r="O1631" i="1"/>
  <c r="O1631" i="1" a="1"/>
  <c r="N1631" i="1"/>
  <c r="M1631" i="1"/>
  <c r="O1630" i="1" a="1"/>
  <c r="O1630" i="1" s="1"/>
  <c r="N1630" i="1"/>
  <c r="M1630" i="1"/>
  <c r="O1629" i="1" a="1"/>
  <c r="O1629" i="1" s="1"/>
  <c r="N1629" i="1"/>
  <c r="M1629" i="1"/>
  <c r="O1628" i="1"/>
  <c r="O1628" i="1" a="1"/>
  <c r="N1628" i="1"/>
  <c r="M1628" i="1"/>
  <c r="O1627" i="1"/>
  <c r="O1627" i="1" a="1"/>
  <c r="N1627" i="1"/>
  <c r="M1627" i="1"/>
  <c r="O1626" i="1"/>
  <c r="O1626" i="1" a="1"/>
  <c r="N1626" i="1"/>
  <c r="M1626" i="1"/>
  <c r="O1625" i="1" a="1"/>
  <c r="O1625" i="1" s="1"/>
  <c r="N1625" i="1"/>
  <c r="M1625" i="1"/>
  <c r="O1624" i="1"/>
  <c r="O1624" i="1" a="1"/>
  <c r="N1624" i="1"/>
  <c r="M1624" i="1"/>
  <c r="O1623" i="1" a="1"/>
  <c r="O1623" i="1" s="1"/>
  <c r="N1623" i="1"/>
  <c r="M1623" i="1"/>
  <c r="O1622" i="1" a="1"/>
  <c r="O1622" i="1" s="1"/>
  <c r="N1622" i="1"/>
  <c r="M1622" i="1"/>
  <c r="O1621" i="1" a="1"/>
  <c r="O1621" i="1" s="1"/>
  <c r="N1621" i="1"/>
  <c r="M1621" i="1"/>
  <c r="O1620" i="1"/>
  <c r="O1620" i="1" a="1"/>
  <c r="N1620" i="1"/>
  <c r="M1620" i="1"/>
  <c r="O1619" i="1" a="1"/>
  <c r="O1619" i="1" s="1"/>
  <c r="N1619" i="1"/>
  <c r="M1619" i="1"/>
  <c r="O1618" i="1" a="1"/>
  <c r="O1618" i="1" s="1"/>
  <c r="N1618" i="1"/>
  <c r="M1618" i="1"/>
  <c r="O1617" i="1"/>
  <c r="O1617" i="1" a="1"/>
  <c r="N1617" i="1"/>
  <c r="M1617" i="1"/>
  <c r="O1616" i="1" a="1"/>
  <c r="O1616" i="1" s="1"/>
  <c r="N1616" i="1"/>
  <c r="M1616" i="1"/>
  <c r="O1615" i="1" a="1"/>
  <c r="O1615" i="1" s="1"/>
  <c r="N1615" i="1"/>
  <c r="M1615" i="1"/>
  <c r="O1614" i="1" a="1"/>
  <c r="O1614" i="1" s="1"/>
  <c r="N1614" i="1"/>
  <c r="M1614" i="1"/>
  <c r="O1613" i="1"/>
  <c r="O1613" i="1" a="1"/>
  <c r="N1613" i="1"/>
  <c r="M1613" i="1"/>
  <c r="O1612" i="1"/>
  <c r="O1612" i="1" a="1"/>
  <c r="N1612" i="1"/>
  <c r="M1612" i="1"/>
  <c r="O1611" i="1" a="1"/>
  <c r="O1611" i="1" s="1"/>
  <c r="N1611" i="1"/>
  <c r="M1611" i="1"/>
  <c r="O1610" i="1"/>
  <c r="O1610" i="1" a="1"/>
  <c r="N1610" i="1"/>
  <c r="M1610" i="1"/>
  <c r="O1609" i="1" a="1"/>
  <c r="O1609" i="1" s="1"/>
  <c r="N1609" i="1"/>
  <c r="M1609" i="1"/>
  <c r="O1608" i="1"/>
  <c r="O1608" i="1" a="1"/>
  <c r="N1608" i="1"/>
  <c r="M1608" i="1"/>
  <c r="O1607" i="1"/>
  <c r="O1607" i="1" a="1"/>
  <c r="N1607" i="1"/>
  <c r="M1607" i="1"/>
  <c r="O1606" i="1" a="1"/>
  <c r="O1606" i="1" s="1"/>
  <c r="N1606" i="1"/>
  <c r="M1606" i="1"/>
  <c r="O1605" i="1" a="1"/>
  <c r="O1605" i="1" s="1"/>
  <c r="N1605" i="1"/>
  <c r="M1605" i="1"/>
  <c r="O1604" i="1"/>
  <c r="O1604" i="1" a="1"/>
  <c r="N1604" i="1"/>
  <c r="M1604" i="1"/>
  <c r="O1603" i="1"/>
  <c r="O1603" i="1" a="1"/>
  <c r="N1603" i="1"/>
  <c r="M1603" i="1"/>
  <c r="O1602" i="1" a="1"/>
  <c r="O1602" i="1" s="1"/>
  <c r="N1602" i="1"/>
  <c r="M1602" i="1"/>
  <c r="O1601" i="1"/>
  <c r="O1601" i="1" a="1"/>
  <c r="N1601" i="1"/>
  <c r="M1601" i="1"/>
  <c r="O1600" i="1" a="1"/>
  <c r="O1600" i="1" s="1"/>
  <c r="N1600" i="1"/>
  <c r="M1600" i="1"/>
  <c r="O1599" i="1"/>
  <c r="O1599" i="1" a="1"/>
  <c r="N1599" i="1"/>
  <c r="M1599" i="1"/>
  <c r="O1598" i="1"/>
  <c r="O1598" i="1" a="1"/>
  <c r="N1598" i="1"/>
  <c r="M1598" i="1"/>
  <c r="O1597" i="1"/>
  <c r="O1597" i="1" a="1"/>
  <c r="N1597" i="1"/>
  <c r="M1597" i="1"/>
  <c r="O1596" i="1"/>
  <c r="O1596" i="1" a="1"/>
  <c r="N1596" i="1"/>
  <c r="M1596" i="1"/>
  <c r="O1595" i="1" a="1"/>
  <c r="O1595" i="1" s="1"/>
  <c r="N1595" i="1"/>
  <c r="M1595" i="1"/>
  <c r="O1594" i="1" a="1"/>
  <c r="O1594" i="1" s="1"/>
  <c r="N1594" i="1"/>
  <c r="M1594" i="1"/>
  <c r="O1593" i="1" a="1"/>
  <c r="O1593" i="1" s="1"/>
  <c r="N1593" i="1"/>
  <c r="M1593" i="1"/>
  <c r="O1592" i="1" a="1"/>
  <c r="O1592" i="1" s="1"/>
  <c r="N1592" i="1"/>
  <c r="M1592" i="1"/>
  <c r="O1591" i="1" a="1"/>
  <c r="O1591" i="1" s="1"/>
  <c r="N1591" i="1"/>
  <c r="M1591" i="1"/>
  <c r="O1590" i="1" a="1"/>
  <c r="O1590" i="1" s="1"/>
  <c r="N1590" i="1"/>
  <c r="M1590" i="1"/>
  <c r="O1589" i="1"/>
  <c r="O1589" i="1" a="1"/>
  <c r="N1589" i="1"/>
  <c r="M1589" i="1"/>
  <c r="O1588" i="1" a="1"/>
  <c r="O1588" i="1" s="1"/>
  <c r="N1588" i="1"/>
  <c r="M1588" i="1"/>
  <c r="O1587" i="1"/>
  <c r="O1587" i="1" a="1"/>
  <c r="N1587" i="1"/>
  <c r="M1587" i="1"/>
  <c r="O1586" i="1" a="1"/>
  <c r="O1586" i="1" s="1"/>
  <c r="N1586" i="1"/>
  <c r="M1586" i="1"/>
  <c r="O1585" i="1" a="1"/>
  <c r="O1585" i="1" s="1"/>
  <c r="N1585" i="1"/>
  <c r="M1585" i="1"/>
  <c r="O1584" i="1" a="1"/>
  <c r="O1584" i="1" s="1"/>
  <c r="N1584" i="1"/>
  <c r="M1584" i="1"/>
  <c r="O1583" i="1" a="1"/>
  <c r="O1583" i="1" s="1"/>
  <c r="N1583" i="1"/>
  <c r="M1583" i="1"/>
  <c r="O1582" i="1"/>
  <c r="O1582" i="1" a="1"/>
  <c r="N1582" i="1"/>
  <c r="M1582" i="1"/>
  <c r="O1581" i="1" a="1"/>
  <c r="O1581" i="1" s="1"/>
  <c r="N1581" i="1"/>
  <c r="M1581" i="1"/>
  <c r="O1580" i="1" a="1"/>
  <c r="O1580" i="1" s="1"/>
  <c r="N1580" i="1"/>
  <c r="M1580" i="1"/>
  <c r="O1579" i="1"/>
  <c r="O1579" i="1" a="1"/>
  <c r="N1579" i="1"/>
  <c r="M1579" i="1"/>
  <c r="O1578" i="1"/>
  <c r="O1578" i="1" a="1"/>
  <c r="N1578" i="1"/>
  <c r="M1578" i="1"/>
  <c r="O1577" i="1" a="1"/>
  <c r="O1577" i="1" s="1"/>
  <c r="N1577" i="1"/>
  <c r="M1577" i="1"/>
  <c r="O1576" i="1" a="1"/>
  <c r="O1576" i="1" s="1"/>
  <c r="N1576" i="1"/>
  <c r="M1576" i="1"/>
  <c r="O1575" i="1"/>
  <c r="O1575" i="1" a="1"/>
  <c r="N1575" i="1"/>
  <c r="M1575" i="1"/>
  <c r="O1574" i="1" a="1"/>
  <c r="O1574" i="1" s="1"/>
  <c r="N1574" i="1"/>
  <c r="M1574" i="1"/>
  <c r="O1573" i="1" a="1"/>
  <c r="O1573" i="1" s="1"/>
  <c r="N1573" i="1"/>
  <c r="M1573" i="1"/>
  <c r="O1572" i="1" a="1"/>
  <c r="O1572" i="1" s="1"/>
  <c r="N1572" i="1"/>
  <c r="M1572" i="1"/>
  <c r="O1571" i="1"/>
  <c r="O1571" i="1" a="1"/>
  <c r="N1571" i="1"/>
  <c r="M1571" i="1"/>
  <c r="O1570" i="1" a="1"/>
  <c r="O1570" i="1" s="1"/>
  <c r="N1570" i="1"/>
  <c r="M1570" i="1"/>
  <c r="O1569" i="1" a="1"/>
  <c r="O1569" i="1" s="1"/>
  <c r="N1569" i="1"/>
  <c r="M1569" i="1"/>
  <c r="O1568" i="1"/>
  <c r="O1568" i="1" a="1"/>
  <c r="N1568" i="1"/>
  <c r="M1568" i="1"/>
  <c r="O1567" i="1" a="1"/>
  <c r="O1567" i="1" s="1"/>
  <c r="N1567" i="1"/>
  <c r="M1567" i="1"/>
  <c r="O1566" i="1" a="1"/>
  <c r="O1566" i="1" s="1"/>
  <c r="N1566" i="1"/>
  <c r="M1566" i="1"/>
  <c r="O1565" i="1" a="1"/>
  <c r="O1565" i="1" s="1"/>
  <c r="N1565" i="1"/>
  <c r="M1565" i="1"/>
  <c r="O1564" i="1" a="1"/>
  <c r="O1564" i="1" s="1"/>
  <c r="N1564" i="1"/>
  <c r="M1564" i="1"/>
  <c r="O1563" i="1" a="1"/>
  <c r="O1563" i="1" s="1"/>
  <c r="N1563" i="1"/>
  <c r="M1563" i="1"/>
  <c r="O1562" i="1" a="1"/>
  <c r="O1562" i="1" s="1"/>
  <c r="N1562" i="1"/>
  <c r="M1562" i="1"/>
  <c r="O1561" i="1"/>
  <c r="O1561" i="1" a="1"/>
  <c r="N1561" i="1"/>
  <c r="M1561" i="1"/>
  <c r="O1560" i="1" a="1"/>
  <c r="O1560" i="1" s="1"/>
  <c r="N1560" i="1"/>
  <c r="M1560" i="1"/>
  <c r="O1559" i="1"/>
  <c r="O1559" i="1" a="1"/>
  <c r="N1559" i="1"/>
  <c r="M1559" i="1"/>
  <c r="O1558" i="1"/>
  <c r="O1558" i="1" a="1"/>
  <c r="N1558" i="1"/>
  <c r="M1558" i="1"/>
  <c r="O1557" i="1"/>
  <c r="O1557" i="1" a="1"/>
  <c r="N1557" i="1"/>
  <c r="M1557" i="1"/>
  <c r="O1556" i="1" a="1"/>
  <c r="O1556" i="1" s="1"/>
  <c r="N1556" i="1"/>
  <c r="M1556" i="1"/>
  <c r="O1555" i="1" a="1"/>
  <c r="O1555" i="1" s="1"/>
  <c r="N1555" i="1"/>
  <c r="M1555" i="1"/>
  <c r="O1554" i="1"/>
  <c r="O1554" i="1" a="1"/>
  <c r="N1554" i="1"/>
  <c r="M1554" i="1"/>
  <c r="O1553" i="1" a="1"/>
  <c r="O1553" i="1" s="1"/>
  <c r="N1553" i="1"/>
  <c r="M1553" i="1"/>
  <c r="O1552" i="1" a="1"/>
  <c r="O1552" i="1" s="1"/>
  <c r="N1552" i="1"/>
  <c r="M1552" i="1"/>
  <c r="O1551" i="1"/>
  <c r="O1551" i="1" a="1"/>
  <c r="N1551" i="1"/>
  <c r="M1551" i="1"/>
  <c r="O1550" i="1" a="1"/>
  <c r="O1550" i="1" s="1"/>
  <c r="N1550" i="1"/>
  <c r="M1550" i="1"/>
  <c r="O1549" i="1"/>
  <c r="O1549" i="1" a="1"/>
  <c r="N1549" i="1"/>
  <c r="M1549" i="1"/>
  <c r="O1548" i="1"/>
  <c r="O1548" i="1" a="1"/>
  <c r="N1548" i="1"/>
  <c r="M1548" i="1"/>
  <c r="O1547" i="1"/>
  <c r="O1547" i="1" a="1"/>
  <c r="N1547" i="1"/>
  <c r="M1547" i="1"/>
  <c r="O1546" i="1" a="1"/>
  <c r="O1546" i="1" s="1"/>
  <c r="N1546" i="1"/>
  <c r="M1546" i="1"/>
  <c r="O1545" i="1" a="1"/>
  <c r="O1545" i="1" s="1"/>
  <c r="N1545" i="1"/>
  <c r="M1545" i="1"/>
  <c r="O1544" i="1" a="1"/>
  <c r="O1544" i="1" s="1"/>
  <c r="N1544" i="1"/>
  <c r="M1544" i="1"/>
  <c r="O1543" i="1" a="1"/>
  <c r="O1543" i="1" s="1"/>
  <c r="N1543" i="1"/>
  <c r="M1543" i="1"/>
  <c r="O1542" i="1" a="1"/>
  <c r="O1542" i="1" s="1"/>
  <c r="N1542" i="1"/>
  <c r="M1542" i="1"/>
  <c r="O1541" i="1" a="1"/>
  <c r="O1541" i="1" s="1"/>
  <c r="N1541" i="1"/>
  <c r="M1541" i="1"/>
  <c r="O1540" i="1"/>
  <c r="O1540" i="1" a="1"/>
  <c r="N1540" i="1"/>
  <c r="M1540" i="1"/>
  <c r="O1539" i="1" a="1"/>
  <c r="O1539" i="1" s="1"/>
  <c r="N1539" i="1"/>
  <c r="M1539" i="1"/>
  <c r="O1538" i="1" a="1"/>
  <c r="O1538" i="1" s="1"/>
  <c r="N1538" i="1"/>
  <c r="M1538" i="1"/>
  <c r="O1537" i="1" a="1"/>
  <c r="O1537" i="1" s="1"/>
  <c r="N1537" i="1"/>
  <c r="M1537" i="1"/>
  <c r="O1536" i="1" a="1"/>
  <c r="O1536" i="1" s="1"/>
  <c r="N1536" i="1"/>
  <c r="M1536" i="1"/>
  <c r="O1535" i="1" a="1"/>
  <c r="O1535" i="1" s="1"/>
  <c r="N1535" i="1"/>
  <c r="M1535" i="1"/>
  <c r="O1534" i="1" a="1"/>
  <c r="O1534" i="1" s="1"/>
  <c r="N1534" i="1"/>
  <c r="M1534" i="1"/>
  <c r="O1533" i="1"/>
  <c r="O1533" i="1" a="1"/>
  <c r="N1533" i="1"/>
  <c r="M1533" i="1"/>
  <c r="O1532" i="1" a="1"/>
  <c r="O1532" i="1" s="1"/>
  <c r="N1532" i="1"/>
  <c r="M1532" i="1"/>
  <c r="O1531" i="1" a="1"/>
  <c r="O1531" i="1" s="1"/>
  <c r="N1531" i="1"/>
  <c r="M1531" i="1"/>
  <c r="O1530" i="1"/>
  <c r="O1530" i="1" a="1"/>
  <c r="N1530" i="1"/>
  <c r="M1530" i="1"/>
  <c r="O1529" i="1"/>
  <c r="O1529" i="1" a="1"/>
  <c r="N1529" i="1"/>
  <c r="M1529" i="1"/>
  <c r="O1528" i="1" a="1"/>
  <c r="O1528" i="1" s="1"/>
  <c r="N1528" i="1"/>
  <c r="M1528" i="1"/>
  <c r="O1527" i="1" a="1"/>
  <c r="O1527" i="1" s="1"/>
  <c r="N1527" i="1"/>
  <c r="M1527" i="1"/>
  <c r="O1526" i="1"/>
  <c r="O1526" i="1" a="1"/>
  <c r="N1526" i="1"/>
  <c r="M1526" i="1"/>
  <c r="O1525" i="1" a="1"/>
  <c r="O1525" i="1" s="1"/>
  <c r="N1525" i="1"/>
  <c r="M1525" i="1"/>
  <c r="O1524" i="1"/>
  <c r="O1524" i="1" a="1"/>
  <c r="N1524" i="1"/>
  <c r="M1524" i="1"/>
  <c r="O1523" i="1"/>
  <c r="O1523" i="1" a="1"/>
  <c r="N1523" i="1"/>
  <c r="M1523" i="1"/>
  <c r="O1522" i="1" a="1"/>
  <c r="O1522" i="1" s="1"/>
  <c r="N1522" i="1"/>
  <c r="M1522" i="1"/>
  <c r="O1521" i="1" a="1"/>
  <c r="O1521" i="1" s="1"/>
  <c r="N1521" i="1"/>
  <c r="M1521" i="1"/>
  <c r="O1520" i="1"/>
  <c r="O1520" i="1" a="1"/>
  <c r="N1520" i="1"/>
  <c r="M1520" i="1"/>
  <c r="O1519" i="1"/>
  <c r="O1519" i="1" a="1"/>
  <c r="N1519" i="1"/>
  <c r="M1519" i="1"/>
  <c r="O1518" i="1" a="1"/>
  <c r="O1518" i="1" s="1"/>
  <c r="N1518" i="1"/>
  <c r="M1518" i="1"/>
  <c r="O1517" i="1"/>
  <c r="O1517" i="1" a="1"/>
  <c r="N1517" i="1"/>
  <c r="M1517" i="1"/>
  <c r="O1516" i="1" a="1"/>
  <c r="O1516" i="1" s="1"/>
  <c r="N1516" i="1"/>
  <c r="M1516" i="1"/>
  <c r="O1515" i="1" a="1"/>
  <c r="O1515" i="1" s="1"/>
  <c r="N1515" i="1"/>
  <c r="M1515" i="1"/>
  <c r="O1514" i="1" a="1"/>
  <c r="O1514" i="1" s="1"/>
  <c r="N1514" i="1"/>
  <c r="M1514" i="1"/>
  <c r="O1513" i="1"/>
  <c r="O1513" i="1" a="1"/>
  <c r="N1513" i="1"/>
  <c r="M1513" i="1"/>
  <c r="O1512" i="1"/>
  <c r="O1512" i="1" a="1"/>
  <c r="N1512" i="1"/>
  <c r="M1512" i="1"/>
  <c r="O1511" i="1" a="1"/>
  <c r="O1511" i="1" s="1"/>
  <c r="N1511" i="1"/>
  <c r="M1511" i="1"/>
  <c r="O1510" i="1" a="1"/>
  <c r="O1510" i="1" s="1"/>
  <c r="N1510" i="1"/>
  <c r="M1510" i="1"/>
  <c r="O1509" i="1" a="1"/>
  <c r="O1509" i="1" s="1"/>
  <c r="N1509" i="1"/>
  <c r="M1509" i="1"/>
  <c r="O1508" i="1" a="1"/>
  <c r="O1508" i="1" s="1"/>
  <c r="N1508" i="1"/>
  <c r="M1508" i="1"/>
  <c r="O1507" i="1" a="1"/>
  <c r="O1507" i="1" s="1"/>
  <c r="N1507" i="1"/>
  <c r="M1507" i="1"/>
  <c r="O1506" i="1" a="1"/>
  <c r="O1506" i="1" s="1"/>
  <c r="N1506" i="1"/>
  <c r="M1506" i="1"/>
  <c r="O1505" i="1"/>
  <c r="O1505" i="1" a="1"/>
  <c r="N1505" i="1"/>
  <c r="M1505" i="1"/>
  <c r="O1504" i="1" a="1"/>
  <c r="O1504" i="1" s="1"/>
  <c r="N1504" i="1"/>
  <c r="M1504" i="1"/>
  <c r="O1503" i="1" a="1"/>
  <c r="O1503" i="1" s="1"/>
  <c r="N1503" i="1"/>
  <c r="M1503" i="1"/>
  <c r="O1502" i="1" a="1"/>
  <c r="O1502" i="1" s="1"/>
  <c r="N1502" i="1"/>
  <c r="M1502" i="1"/>
  <c r="O1501" i="1"/>
  <c r="O1501" i="1" a="1"/>
  <c r="N1501" i="1"/>
  <c r="M1501" i="1"/>
  <c r="O1500" i="1"/>
  <c r="O1500" i="1" a="1"/>
  <c r="N1500" i="1"/>
  <c r="M1500" i="1"/>
  <c r="O1499" i="1" a="1"/>
  <c r="O1499" i="1" s="1"/>
  <c r="N1499" i="1"/>
  <c r="M1499" i="1"/>
  <c r="O1498" i="1"/>
  <c r="O1498" i="1" a="1"/>
  <c r="N1498" i="1"/>
  <c r="M1498" i="1"/>
  <c r="O1497" i="1" a="1"/>
  <c r="O1497" i="1" s="1"/>
  <c r="N1497" i="1"/>
  <c r="M1497" i="1"/>
  <c r="O1496" i="1" a="1"/>
  <c r="O1496" i="1" s="1"/>
  <c r="N1496" i="1"/>
  <c r="M1496" i="1"/>
  <c r="O1495" i="1"/>
  <c r="O1495" i="1" a="1"/>
  <c r="N1495" i="1"/>
  <c r="M1495" i="1"/>
  <c r="O1494" i="1" a="1"/>
  <c r="O1494" i="1" s="1"/>
  <c r="N1494" i="1"/>
  <c r="M1494" i="1"/>
  <c r="O1493" i="1" a="1"/>
  <c r="O1493" i="1" s="1"/>
  <c r="N1493" i="1"/>
  <c r="M1493" i="1"/>
  <c r="O1492" i="1" a="1"/>
  <c r="O1492" i="1" s="1"/>
  <c r="N1492" i="1"/>
  <c r="M1492" i="1"/>
  <c r="O1491" i="1"/>
  <c r="O1491" i="1" a="1"/>
  <c r="N1491" i="1"/>
  <c r="M1491" i="1"/>
  <c r="O1490" i="1" a="1"/>
  <c r="O1490" i="1" s="1"/>
  <c r="N1490" i="1"/>
  <c r="M1490" i="1"/>
  <c r="O1489" i="1" a="1"/>
  <c r="O1489" i="1" s="1"/>
  <c r="N1489" i="1"/>
  <c r="M1489" i="1"/>
  <c r="O1488" i="1"/>
  <c r="O1488" i="1" a="1"/>
  <c r="N1488" i="1"/>
  <c r="M1488" i="1"/>
  <c r="O1487" i="1" a="1"/>
  <c r="O1487" i="1" s="1"/>
  <c r="N1487" i="1"/>
  <c r="M1487" i="1"/>
  <c r="O1486" i="1" a="1"/>
  <c r="O1486" i="1" s="1"/>
  <c r="N1486" i="1"/>
  <c r="M1486" i="1"/>
  <c r="O1485" i="1"/>
  <c r="O1485" i="1" a="1"/>
  <c r="N1485" i="1"/>
  <c r="M1485" i="1"/>
  <c r="O1484" i="1"/>
  <c r="O1484" i="1" a="1"/>
  <c r="N1484" i="1"/>
  <c r="M1484" i="1"/>
  <c r="O1483" i="1" a="1"/>
  <c r="O1483" i="1" s="1"/>
  <c r="N1483" i="1"/>
  <c r="M1483" i="1"/>
  <c r="O1482" i="1" a="1"/>
  <c r="O1482" i="1" s="1"/>
  <c r="N1482" i="1"/>
  <c r="M1482" i="1"/>
  <c r="O1481" i="1" a="1"/>
  <c r="O1481" i="1" s="1"/>
  <c r="N1481" i="1"/>
  <c r="M1481" i="1"/>
  <c r="O1480" i="1" a="1"/>
  <c r="O1480" i="1" s="1"/>
  <c r="N1480" i="1"/>
  <c r="M1480" i="1"/>
  <c r="O1479" i="1" a="1"/>
  <c r="O1479" i="1" s="1"/>
  <c r="N1479" i="1"/>
  <c r="M1479" i="1"/>
  <c r="O1478" i="1" a="1"/>
  <c r="O1478" i="1" s="1"/>
  <c r="N1478" i="1"/>
  <c r="M1478" i="1"/>
  <c r="O1477" i="1"/>
  <c r="O1477" i="1" a="1"/>
  <c r="N1477" i="1"/>
  <c r="M1477" i="1"/>
  <c r="O1476" i="1" a="1"/>
  <c r="O1476" i="1" s="1"/>
  <c r="N1476" i="1"/>
  <c r="M1476" i="1"/>
  <c r="O1475" i="1" a="1"/>
  <c r="O1475" i="1" s="1"/>
  <c r="N1475" i="1"/>
  <c r="M1475" i="1"/>
  <c r="O1474" i="1" a="1"/>
  <c r="O1474" i="1" s="1"/>
  <c r="N1474" i="1"/>
  <c r="M1474" i="1"/>
  <c r="O1473" i="1" a="1"/>
  <c r="O1473" i="1" s="1"/>
  <c r="N1473" i="1"/>
  <c r="M1473" i="1"/>
  <c r="O1472" i="1"/>
  <c r="O1472" i="1" a="1"/>
  <c r="N1472" i="1"/>
  <c r="M1472" i="1"/>
  <c r="O1471" i="1"/>
  <c r="O1471" i="1" a="1"/>
  <c r="N1471" i="1"/>
  <c r="M1471" i="1"/>
  <c r="O1470" i="1"/>
  <c r="O1470" i="1" a="1"/>
  <c r="N1470" i="1"/>
  <c r="M1470" i="1"/>
  <c r="O1469" i="1" a="1"/>
  <c r="O1469" i="1" s="1"/>
  <c r="N1469" i="1"/>
  <c r="M1469" i="1"/>
  <c r="O1468" i="1" a="1"/>
  <c r="O1468" i="1" s="1"/>
  <c r="N1468" i="1"/>
  <c r="M1468" i="1"/>
  <c r="O1467" i="1" a="1"/>
  <c r="O1467" i="1" s="1"/>
  <c r="N1467" i="1"/>
  <c r="M1467" i="1"/>
  <c r="O1466" i="1"/>
  <c r="O1466" i="1" a="1"/>
  <c r="N1466" i="1"/>
  <c r="M1466" i="1"/>
  <c r="O1465" i="1" a="1"/>
  <c r="O1465" i="1" s="1"/>
  <c r="N1465" i="1"/>
  <c r="M1465" i="1"/>
  <c r="O1464" i="1" a="1"/>
  <c r="O1464" i="1" s="1"/>
  <c r="N1464" i="1"/>
  <c r="M1464" i="1"/>
  <c r="O1463" i="1"/>
  <c r="O1463" i="1" a="1"/>
  <c r="N1463" i="1"/>
  <c r="M1463" i="1"/>
  <c r="O1462" i="1" a="1"/>
  <c r="O1462" i="1" s="1"/>
  <c r="N1462" i="1"/>
  <c r="M1462" i="1"/>
  <c r="O1461" i="1" a="1"/>
  <c r="O1461" i="1" s="1"/>
  <c r="N1461" i="1"/>
  <c r="M1461" i="1"/>
  <c r="O1460" i="1"/>
  <c r="O1460" i="1" a="1"/>
  <c r="N1460" i="1"/>
  <c r="M1460" i="1"/>
  <c r="O1459" i="1"/>
  <c r="O1459" i="1" a="1"/>
  <c r="N1459" i="1"/>
  <c r="M1459" i="1"/>
  <c r="O1458" i="1" a="1"/>
  <c r="O1458" i="1" s="1"/>
  <c r="N1458" i="1"/>
  <c r="M1458" i="1"/>
  <c r="O1457" i="1" a="1"/>
  <c r="O1457" i="1" s="1"/>
  <c r="N1457" i="1"/>
  <c r="M1457" i="1"/>
  <c r="O1456" i="1"/>
  <c r="O1456" i="1" a="1"/>
  <c r="N1456" i="1"/>
  <c r="M1456" i="1"/>
  <c r="O1455" i="1" a="1"/>
  <c r="O1455" i="1" s="1"/>
  <c r="N1455" i="1"/>
  <c r="M1455" i="1"/>
  <c r="O1454" i="1" a="1"/>
  <c r="O1454" i="1" s="1"/>
  <c r="N1454" i="1"/>
  <c r="M1454" i="1"/>
  <c r="O1453" i="1" a="1"/>
  <c r="O1453" i="1" s="1"/>
  <c r="N1453" i="1"/>
  <c r="M1453" i="1"/>
  <c r="O1452" i="1" a="1"/>
  <c r="O1452" i="1" s="1"/>
  <c r="N1452" i="1"/>
  <c r="M1452" i="1"/>
  <c r="O1451" i="1" a="1"/>
  <c r="O1451" i="1" s="1"/>
  <c r="N1451" i="1"/>
  <c r="M1451" i="1"/>
  <c r="O1450" i="1" a="1"/>
  <c r="O1450" i="1" s="1"/>
  <c r="N1450" i="1"/>
  <c r="M1450" i="1"/>
  <c r="O1449" i="1"/>
  <c r="O1449" i="1" a="1"/>
  <c r="N1449" i="1"/>
  <c r="M1449" i="1"/>
  <c r="O1448" i="1" a="1"/>
  <c r="O1448" i="1" s="1"/>
  <c r="N1448" i="1"/>
  <c r="M1448" i="1"/>
  <c r="O1447" i="1" a="1"/>
  <c r="O1447" i="1" s="1"/>
  <c r="N1447" i="1"/>
  <c r="M1447" i="1"/>
  <c r="O1446" i="1"/>
  <c r="O1446" i="1" a="1"/>
  <c r="N1446" i="1"/>
  <c r="M1446" i="1"/>
  <c r="O1445" i="1" a="1"/>
  <c r="O1445" i="1" s="1"/>
  <c r="N1445" i="1"/>
  <c r="M1445" i="1"/>
  <c r="O1444" i="1" a="1"/>
  <c r="O1444" i="1" s="1"/>
  <c r="N1444" i="1"/>
  <c r="M1444" i="1"/>
  <c r="O1443" i="1"/>
  <c r="O1443" i="1" a="1"/>
  <c r="N1443" i="1"/>
  <c r="M1443" i="1"/>
  <c r="O1442" i="1"/>
  <c r="O1442" i="1" a="1"/>
  <c r="N1442" i="1"/>
  <c r="M1442" i="1"/>
  <c r="O1441" i="1" a="1"/>
  <c r="O1441" i="1" s="1"/>
  <c r="N1441" i="1"/>
  <c r="M1441" i="1"/>
  <c r="O1440" i="1"/>
  <c r="O1440" i="1" a="1"/>
  <c r="N1440" i="1"/>
  <c r="M1440" i="1"/>
  <c r="O1439" i="1" a="1"/>
  <c r="O1439" i="1" s="1"/>
  <c r="N1439" i="1"/>
  <c r="M1439" i="1"/>
  <c r="O1438" i="1" a="1"/>
  <c r="O1438" i="1" s="1"/>
  <c r="N1438" i="1"/>
  <c r="M1438" i="1"/>
  <c r="O1437" i="1"/>
  <c r="O1437" i="1" a="1"/>
  <c r="N1437" i="1"/>
  <c r="M1437" i="1"/>
  <c r="O1436" i="1" a="1"/>
  <c r="O1436" i="1" s="1"/>
  <c r="N1436" i="1"/>
  <c r="M1436" i="1"/>
  <c r="O1435" i="1"/>
  <c r="O1435" i="1" a="1"/>
  <c r="N1435" i="1"/>
  <c r="M1435" i="1"/>
  <c r="O1434" i="1" a="1"/>
  <c r="O1434" i="1" s="1"/>
  <c r="N1434" i="1"/>
  <c r="M1434" i="1"/>
  <c r="O1433" i="1" a="1"/>
  <c r="O1433" i="1" s="1"/>
  <c r="N1433" i="1"/>
  <c r="M1433" i="1"/>
  <c r="O1432" i="1"/>
  <c r="O1432" i="1" a="1"/>
  <c r="N1432" i="1"/>
  <c r="M1432" i="1"/>
  <c r="O1431" i="1"/>
  <c r="O1431" i="1" a="1"/>
  <c r="N1431" i="1"/>
  <c r="M1431" i="1"/>
  <c r="O1430" i="1"/>
  <c r="O1430" i="1" a="1"/>
  <c r="N1430" i="1"/>
  <c r="M1430" i="1"/>
  <c r="O1429" i="1" a="1"/>
  <c r="O1429" i="1" s="1"/>
  <c r="N1429" i="1"/>
  <c r="M1429" i="1"/>
  <c r="O1428" i="1"/>
  <c r="O1428" i="1" a="1"/>
  <c r="N1428" i="1"/>
  <c r="M1428" i="1"/>
  <c r="O1427" i="1" a="1"/>
  <c r="O1427" i="1" s="1"/>
  <c r="N1427" i="1"/>
  <c r="M1427" i="1"/>
  <c r="O1426" i="1"/>
  <c r="O1426" i="1" a="1"/>
  <c r="N1426" i="1"/>
  <c r="M1426" i="1"/>
  <c r="O1425" i="1" a="1"/>
  <c r="O1425" i="1" s="1"/>
  <c r="N1425" i="1"/>
  <c r="M1425" i="1"/>
  <c r="O1424" i="1" a="1"/>
  <c r="O1424" i="1" s="1"/>
  <c r="N1424" i="1"/>
  <c r="M1424" i="1"/>
  <c r="O1423" i="1" a="1"/>
  <c r="O1423" i="1" s="1"/>
  <c r="N1423" i="1"/>
  <c r="M1423" i="1"/>
  <c r="O1422" i="1" a="1"/>
  <c r="O1422" i="1" s="1"/>
  <c r="N1422" i="1"/>
  <c r="M1422" i="1"/>
  <c r="O1421" i="1"/>
  <c r="O1421" i="1" a="1"/>
  <c r="N1421" i="1"/>
  <c r="M1421" i="1"/>
  <c r="O1420" i="1" a="1"/>
  <c r="O1420" i="1" s="1"/>
  <c r="N1420" i="1"/>
  <c r="M1420" i="1"/>
  <c r="O1419" i="1" a="1"/>
  <c r="O1419" i="1" s="1"/>
  <c r="N1419" i="1"/>
  <c r="M1419" i="1"/>
  <c r="O1418" i="1" a="1"/>
  <c r="O1418" i="1" s="1"/>
  <c r="N1418" i="1"/>
  <c r="M1418" i="1"/>
  <c r="O1417" i="1" a="1"/>
  <c r="O1417" i="1" s="1"/>
  <c r="N1417" i="1"/>
  <c r="M1417" i="1"/>
  <c r="O1416" i="1" a="1"/>
  <c r="O1416" i="1" s="1"/>
  <c r="N1416" i="1"/>
  <c r="M1416" i="1"/>
  <c r="O1415" i="1" a="1"/>
  <c r="O1415" i="1" s="1"/>
  <c r="N1415" i="1"/>
  <c r="M1415" i="1"/>
  <c r="O1414" i="1"/>
  <c r="O1414" i="1" a="1"/>
  <c r="N1414" i="1"/>
  <c r="M1414" i="1"/>
  <c r="O1413" i="1" a="1"/>
  <c r="O1413" i="1" s="1"/>
  <c r="N1413" i="1"/>
  <c r="M1413" i="1"/>
  <c r="O1412" i="1"/>
  <c r="O1412" i="1" a="1"/>
  <c r="N1412" i="1"/>
  <c r="M1412" i="1"/>
  <c r="O1411" i="1"/>
  <c r="O1411" i="1" a="1"/>
  <c r="N1411" i="1"/>
  <c r="M1411" i="1"/>
  <c r="O1410" i="1" a="1"/>
  <c r="O1410" i="1" s="1"/>
  <c r="N1410" i="1"/>
  <c r="M1410" i="1"/>
  <c r="O1409" i="1"/>
  <c r="O1409" i="1" a="1"/>
  <c r="N1409" i="1"/>
  <c r="M1409" i="1"/>
  <c r="O1408" i="1"/>
  <c r="O1408" i="1" a="1"/>
  <c r="N1408" i="1"/>
  <c r="M1408" i="1"/>
  <c r="O1407" i="1"/>
  <c r="O1407" i="1" a="1"/>
  <c r="N1407" i="1"/>
  <c r="M1407" i="1"/>
  <c r="O1406" i="1" a="1"/>
  <c r="O1406" i="1" s="1"/>
  <c r="N1406" i="1"/>
  <c r="M1406" i="1"/>
  <c r="O1405" i="1" a="1"/>
  <c r="O1405" i="1" s="1"/>
  <c r="N1405" i="1"/>
  <c r="M1405" i="1"/>
  <c r="O1404" i="1" a="1"/>
  <c r="O1404" i="1" s="1"/>
  <c r="N1404" i="1"/>
  <c r="M1404" i="1"/>
  <c r="O1403" i="1" a="1"/>
  <c r="O1403" i="1" s="1"/>
  <c r="N1403" i="1"/>
  <c r="M1403" i="1"/>
  <c r="O1402" i="1" a="1"/>
  <c r="O1402" i="1" s="1"/>
  <c r="N1402" i="1"/>
  <c r="M1402" i="1"/>
  <c r="O1401" i="1"/>
  <c r="O1401" i="1" a="1"/>
  <c r="N1401" i="1"/>
  <c r="M1401" i="1"/>
  <c r="O1400" i="1"/>
  <c r="O1400" i="1" a="1"/>
  <c r="N1400" i="1"/>
  <c r="M1400" i="1"/>
  <c r="O1399" i="1" a="1"/>
  <c r="O1399" i="1" s="1"/>
  <c r="N1399" i="1"/>
  <c r="M1399" i="1"/>
  <c r="O1398" i="1" a="1"/>
  <c r="O1398" i="1" s="1"/>
  <c r="N1398" i="1"/>
  <c r="M1398" i="1"/>
  <c r="O1397" i="1" a="1"/>
  <c r="O1397" i="1" s="1"/>
  <c r="N1397" i="1"/>
  <c r="M1397" i="1"/>
  <c r="O1396" i="1" a="1"/>
  <c r="O1396" i="1" s="1"/>
  <c r="N1396" i="1"/>
  <c r="M1396" i="1"/>
  <c r="O1395" i="1" a="1"/>
  <c r="O1395" i="1" s="1"/>
  <c r="N1395" i="1"/>
  <c r="M1395" i="1"/>
  <c r="O1394" i="1"/>
  <c r="O1394" i="1" a="1"/>
  <c r="N1394" i="1"/>
  <c r="M1394" i="1"/>
  <c r="O1393" i="1"/>
  <c r="O1393" i="1" a="1"/>
  <c r="N1393" i="1"/>
  <c r="M1393" i="1"/>
  <c r="O1392" i="1" a="1"/>
  <c r="O1392" i="1" s="1"/>
  <c r="N1392" i="1"/>
  <c r="M1392" i="1"/>
  <c r="O1391" i="1"/>
  <c r="O1391" i="1" a="1"/>
  <c r="N1391" i="1"/>
  <c r="M1391" i="1"/>
  <c r="O1390" i="1"/>
  <c r="O1390" i="1" a="1"/>
  <c r="N1390" i="1"/>
  <c r="M1390" i="1"/>
  <c r="O1389" i="1" a="1"/>
  <c r="O1389" i="1" s="1"/>
  <c r="N1389" i="1"/>
  <c r="M1389" i="1"/>
  <c r="O1388" i="1"/>
  <c r="O1388" i="1" a="1"/>
  <c r="N1388" i="1"/>
  <c r="M1388" i="1"/>
  <c r="O1387" i="1"/>
  <c r="O1387" i="1" a="1"/>
  <c r="N1387" i="1"/>
  <c r="M1387" i="1"/>
  <c r="O1386" i="1"/>
  <c r="O1386" i="1" a="1"/>
  <c r="N1386" i="1"/>
  <c r="M1386" i="1"/>
  <c r="O1385" i="1" a="1"/>
  <c r="O1385" i="1" s="1"/>
  <c r="N1385" i="1"/>
  <c r="M1385" i="1"/>
  <c r="O1384" i="1"/>
  <c r="O1384" i="1" a="1"/>
  <c r="N1384" i="1"/>
  <c r="M1384" i="1"/>
  <c r="O1383" i="1" a="1"/>
  <c r="O1383" i="1" s="1"/>
  <c r="N1383" i="1"/>
  <c r="M1383" i="1"/>
  <c r="O1382" i="1"/>
  <c r="O1382" i="1" a="1"/>
  <c r="N1382" i="1"/>
  <c r="M1382" i="1"/>
  <c r="O1381" i="1"/>
  <c r="O1381" i="1" a="1"/>
  <c r="N1381" i="1"/>
  <c r="M1381" i="1"/>
  <c r="O1380" i="1" a="1"/>
  <c r="O1380" i="1" s="1"/>
  <c r="N1380" i="1"/>
  <c r="M1380" i="1"/>
  <c r="O1379" i="1"/>
  <c r="O1379" i="1" a="1"/>
  <c r="N1379" i="1"/>
  <c r="M1379" i="1"/>
  <c r="O1378" i="1" a="1"/>
  <c r="O1378" i="1" s="1"/>
  <c r="N1378" i="1"/>
  <c r="M1378" i="1"/>
  <c r="O1377" i="1" a="1"/>
  <c r="O1377" i="1" s="1"/>
  <c r="N1377" i="1"/>
  <c r="M1377" i="1"/>
  <c r="O1376" i="1" a="1"/>
  <c r="O1376" i="1" s="1"/>
  <c r="N1376" i="1"/>
  <c r="M1376" i="1"/>
  <c r="O1375" i="1"/>
  <c r="O1375" i="1" a="1"/>
  <c r="N1375" i="1"/>
  <c r="M1375" i="1"/>
  <c r="O1374" i="1" a="1"/>
  <c r="O1374" i="1" s="1"/>
  <c r="N1374" i="1"/>
  <c r="M1374" i="1"/>
  <c r="O1373" i="1" a="1"/>
  <c r="O1373" i="1" s="1"/>
  <c r="N1373" i="1"/>
  <c r="M1373" i="1"/>
  <c r="O1372" i="1"/>
  <c r="O1372" i="1" a="1"/>
  <c r="N1372" i="1"/>
  <c r="M1372" i="1"/>
  <c r="O1371" i="1" a="1"/>
  <c r="O1371" i="1" s="1"/>
  <c r="N1371" i="1"/>
  <c r="M1371" i="1"/>
  <c r="O1370" i="1" a="1"/>
  <c r="O1370" i="1" s="1"/>
  <c r="N1370" i="1"/>
  <c r="M1370" i="1"/>
  <c r="O1369" i="1" a="1"/>
  <c r="O1369" i="1" s="1"/>
  <c r="N1369" i="1"/>
  <c r="M1369" i="1"/>
  <c r="O1368" i="1"/>
  <c r="O1368" i="1" a="1"/>
  <c r="N1368" i="1"/>
  <c r="M1368" i="1"/>
  <c r="O1367" i="1" a="1"/>
  <c r="O1367" i="1" s="1"/>
  <c r="N1367" i="1"/>
  <c r="M1367" i="1"/>
  <c r="O1366" i="1" a="1"/>
  <c r="O1366" i="1" s="1"/>
  <c r="N1366" i="1"/>
  <c r="M1366" i="1"/>
  <c r="O1365" i="1"/>
  <c r="O1365" i="1" a="1"/>
  <c r="N1365" i="1"/>
  <c r="M1365" i="1"/>
  <c r="O1364" i="1" a="1"/>
  <c r="O1364" i="1" s="1"/>
  <c r="N1364" i="1"/>
  <c r="M1364" i="1"/>
  <c r="O1363" i="1"/>
  <c r="O1363" i="1" a="1"/>
  <c r="N1363" i="1"/>
  <c r="M1363" i="1"/>
  <c r="O1362" i="1"/>
  <c r="O1362" i="1" a="1"/>
  <c r="N1362" i="1"/>
  <c r="M1362" i="1"/>
  <c r="O1361" i="1" a="1"/>
  <c r="O1361" i="1" s="1"/>
  <c r="N1361" i="1"/>
  <c r="M1361" i="1"/>
  <c r="O1360" i="1" a="1"/>
  <c r="O1360" i="1" s="1"/>
  <c r="N1360" i="1"/>
  <c r="M1360" i="1"/>
  <c r="O1359" i="1" a="1"/>
  <c r="O1359" i="1" s="1"/>
  <c r="N1359" i="1"/>
  <c r="M1359" i="1"/>
  <c r="O1358" i="1"/>
  <c r="O1358" i="1" a="1"/>
  <c r="N1358" i="1"/>
  <c r="M1358" i="1"/>
  <c r="O1357" i="1" a="1"/>
  <c r="O1357" i="1" s="1"/>
  <c r="N1357" i="1"/>
  <c r="M1357" i="1"/>
  <c r="O1356" i="1"/>
  <c r="O1356" i="1" a="1"/>
  <c r="N1356" i="1"/>
  <c r="M1356" i="1"/>
  <c r="O1355" i="1"/>
  <c r="O1355" i="1" a="1"/>
  <c r="N1355" i="1"/>
  <c r="M1355" i="1"/>
  <c r="O1354" i="1" a="1"/>
  <c r="O1354" i="1" s="1"/>
  <c r="N1354" i="1"/>
  <c r="M1354" i="1"/>
  <c r="O1353" i="1"/>
  <c r="O1353" i="1" a="1"/>
  <c r="N1353" i="1"/>
  <c r="M1353" i="1"/>
  <c r="O1352" i="1"/>
  <c r="O1352" i="1" a="1"/>
  <c r="N1352" i="1"/>
  <c r="M1352" i="1"/>
  <c r="O1351" i="1"/>
  <c r="O1351" i="1" a="1"/>
  <c r="N1351" i="1"/>
  <c r="M1351" i="1"/>
  <c r="O1350" i="1" a="1"/>
  <c r="O1350" i="1" s="1"/>
  <c r="N1350" i="1"/>
  <c r="M1350" i="1"/>
  <c r="O1349" i="1" a="1"/>
  <c r="O1349" i="1" s="1"/>
  <c r="N1349" i="1"/>
  <c r="M1349" i="1"/>
  <c r="O1348" i="1" a="1"/>
  <c r="O1348" i="1" s="1"/>
  <c r="N1348" i="1"/>
  <c r="M1348" i="1"/>
  <c r="O1347" i="1" a="1"/>
  <c r="O1347" i="1" s="1"/>
  <c r="N1347" i="1"/>
  <c r="M1347" i="1"/>
  <c r="O1346" i="1" a="1"/>
  <c r="O1346" i="1" s="1"/>
  <c r="N1346" i="1"/>
  <c r="M1346" i="1"/>
  <c r="O1345" i="1" a="1"/>
  <c r="O1345" i="1" s="1"/>
  <c r="N1345" i="1"/>
  <c r="M1345" i="1"/>
  <c r="O1344" i="1"/>
  <c r="O1344" i="1" a="1"/>
  <c r="N1344" i="1"/>
  <c r="M1344" i="1"/>
  <c r="O1343" i="1"/>
  <c r="O1343" i="1" a="1"/>
  <c r="N1343" i="1"/>
  <c r="M1343" i="1"/>
  <c r="O1342" i="1" a="1"/>
  <c r="O1342" i="1" s="1"/>
  <c r="N1342" i="1"/>
  <c r="M1342" i="1"/>
  <c r="O1341" i="1" a="1"/>
  <c r="O1341" i="1" s="1"/>
  <c r="N1341" i="1"/>
  <c r="M1341" i="1"/>
  <c r="O1340" i="1" a="1"/>
  <c r="O1340" i="1" s="1"/>
  <c r="N1340" i="1"/>
  <c r="M1340" i="1"/>
  <c r="O1339" i="1" a="1"/>
  <c r="O1339" i="1" s="1"/>
  <c r="N1339" i="1"/>
  <c r="M1339" i="1"/>
  <c r="O1338" i="1" a="1"/>
  <c r="O1338" i="1" s="1"/>
  <c r="N1338" i="1"/>
  <c r="M1338" i="1"/>
  <c r="O1337" i="1"/>
  <c r="O1337" i="1" a="1"/>
  <c r="N1337" i="1"/>
  <c r="M1337" i="1"/>
  <c r="O1336" i="1"/>
  <c r="O1336" i="1" a="1"/>
  <c r="N1336" i="1"/>
  <c r="M1336" i="1"/>
  <c r="O1335" i="1" a="1"/>
  <c r="O1335" i="1" s="1"/>
  <c r="N1335" i="1"/>
  <c r="M1335" i="1"/>
  <c r="O1334" i="1" a="1"/>
  <c r="O1334" i="1" s="1"/>
  <c r="N1334" i="1"/>
  <c r="M1334" i="1"/>
  <c r="O1333" i="1" a="1"/>
  <c r="O1333" i="1" s="1"/>
  <c r="N1333" i="1"/>
  <c r="M1333" i="1"/>
  <c r="O1332" i="1" a="1"/>
  <c r="O1332" i="1" s="1"/>
  <c r="N1332" i="1"/>
  <c r="M1332" i="1"/>
  <c r="O1331" i="1" a="1"/>
  <c r="O1331" i="1" s="1"/>
  <c r="N1331" i="1"/>
  <c r="M1331" i="1"/>
  <c r="O1330" i="1"/>
  <c r="O1330" i="1" a="1"/>
  <c r="N1330" i="1"/>
  <c r="M1330" i="1"/>
  <c r="O1329" i="1"/>
  <c r="O1329" i="1" a="1"/>
  <c r="N1329" i="1"/>
  <c r="M1329" i="1"/>
  <c r="O1328" i="1" a="1"/>
  <c r="O1328" i="1" s="1"/>
  <c r="N1328" i="1"/>
  <c r="M1328" i="1"/>
  <c r="O1327" i="1" a="1"/>
  <c r="O1327" i="1" s="1"/>
  <c r="N1327" i="1"/>
  <c r="M1327" i="1"/>
  <c r="O1326" i="1" a="1"/>
  <c r="O1326" i="1" s="1"/>
  <c r="N1326" i="1"/>
  <c r="M1326" i="1"/>
  <c r="O1325" i="1" a="1"/>
  <c r="O1325" i="1" s="1"/>
  <c r="N1325" i="1"/>
  <c r="M1325" i="1"/>
  <c r="O1324" i="1" a="1"/>
  <c r="O1324" i="1" s="1"/>
  <c r="N1324" i="1"/>
  <c r="M1324" i="1"/>
  <c r="O1323" i="1"/>
  <c r="O1323" i="1" a="1"/>
  <c r="N1323" i="1"/>
  <c r="M1323" i="1"/>
  <c r="O1322" i="1"/>
  <c r="O1322" i="1" a="1"/>
  <c r="N1322" i="1"/>
  <c r="M1322" i="1"/>
  <c r="O1321" i="1" a="1"/>
  <c r="O1321" i="1" s="1"/>
  <c r="N1321" i="1"/>
  <c r="M1321" i="1"/>
  <c r="O1320" i="1" a="1"/>
  <c r="O1320" i="1" s="1"/>
  <c r="N1320" i="1"/>
  <c r="M1320" i="1"/>
  <c r="O1319" i="1"/>
  <c r="O1319" i="1" a="1"/>
  <c r="N1319" i="1"/>
  <c r="M1319" i="1"/>
  <c r="O1318" i="1" a="1"/>
  <c r="O1318" i="1" s="1"/>
  <c r="N1318" i="1"/>
  <c r="M1318" i="1"/>
  <c r="O1317" i="1" a="1"/>
  <c r="O1317" i="1" s="1"/>
  <c r="N1317" i="1"/>
  <c r="M1317" i="1"/>
  <c r="O1316" i="1"/>
  <c r="O1316" i="1" a="1"/>
  <c r="N1316" i="1"/>
  <c r="M1316" i="1"/>
  <c r="O1315" i="1"/>
  <c r="O1315" i="1" a="1"/>
  <c r="N1315" i="1"/>
  <c r="M1315" i="1"/>
  <c r="O1314" i="1" a="1"/>
  <c r="O1314" i="1" s="1"/>
  <c r="N1314" i="1"/>
  <c r="M1314" i="1"/>
  <c r="O1313" i="1" a="1"/>
  <c r="O1313" i="1" s="1"/>
  <c r="N1313" i="1"/>
  <c r="M1313" i="1"/>
  <c r="O1312" i="1" a="1"/>
  <c r="O1312" i="1" s="1"/>
  <c r="N1312" i="1"/>
  <c r="M1312" i="1"/>
  <c r="O1311" i="1" a="1"/>
  <c r="O1311" i="1" s="1"/>
  <c r="N1311" i="1"/>
  <c r="M1311" i="1"/>
  <c r="O1310" i="1" a="1"/>
  <c r="O1310" i="1" s="1"/>
  <c r="N1310" i="1"/>
  <c r="M1310" i="1"/>
  <c r="O1309" i="1"/>
  <c r="O1309" i="1" a="1"/>
  <c r="N1309" i="1"/>
  <c r="M1309" i="1"/>
  <c r="O1308" i="1"/>
  <c r="O1308" i="1" a="1"/>
  <c r="N1308" i="1"/>
  <c r="M1308" i="1"/>
  <c r="O1307" i="1" a="1"/>
  <c r="O1307" i="1" s="1"/>
  <c r="N1307" i="1"/>
  <c r="M1307" i="1"/>
  <c r="O1306" i="1" a="1"/>
  <c r="O1306" i="1" s="1"/>
  <c r="N1306" i="1"/>
  <c r="M1306" i="1"/>
  <c r="O1305" i="1" a="1"/>
  <c r="O1305" i="1" s="1"/>
  <c r="N1305" i="1"/>
  <c r="M1305" i="1"/>
  <c r="O1304" i="1" a="1"/>
  <c r="O1304" i="1" s="1"/>
  <c r="N1304" i="1"/>
  <c r="M1304" i="1"/>
  <c r="O1303" i="1" a="1"/>
  <c r="O1303" i="1" s="1"/>
  <c r="N1303" i="1"/>
  <c r="M1303" i="1"/>
  <c r="O1302" i="1"/>
  <c r="O1302" i="1" a="1"/>
  <c r="N1302" i="1"/>
  <c r="M1302" i="1"/>
  <c r="O1301" i="1"/>
  <c r="O1301" i="1" a="1"/>
  <c r="N1301" i="1"/>
  <c r="M1301" i="1"/>
  <c r="O1300" i="1" a="1"/>
  <c r="O1300" i="1" s="1"/>
  <c r="N1300" i="1"/>
  <c r="M1300" i="1"/>
  <c r="O1299" i="1" a="1"/>
  <c r="O1299" i="1" s="1"/>
  <c r="N1299" i="1"/>
  <c r="M1299" i="1"/>
  <c r="O1298" i="1" a="1"/>
  <c r="O1298" i="1" s="1"/>
  <c r="N1298" i="1"/>
  <c r="M1298" i="1"/>
  <c r="O1297" i="1" a="1"/>
  <c r="O1297" i="1" s="1"/>
  <c r="N1297" i="1"/>
  <c r="M1297" i="1"/>
  <c r="O1296" i="1" a="1"/>
  <c r="O1296" i="1" s="1"/>
  <c r="N1296" i="1"/>
  <c r="M1296" i="1"/>
  <c r="O1295" i="1"/>
  <c r="O1295" i="1" a="1"/>
  <c r="N1295" i="1"/>
  <c r="M1295" i="1"/>
  <c r="O1294" i="1"/>
  <c r="O1294" i="1" a="1"/>
  <c r="N1294" i="1"/>
  <c r="M1294" i="1"/>
  <c r="O1293" i="1" a="1"/>
  <c r="O1293" i="1" s="1"/>
  <c r="N1293" i="1"/>
  <c r="M1293" i="1"/>
  <c r="O1292" i="1" a="1"/>
  <c r="O1292" i="1" s="1"/>
  <c r="N1292" i="1"/>
  <c r="M1292" i="1"/>
  <c r="O1291" i="1" a="1"/>
  <c r="O1291" i="1" s="1"/>
  <c r="N1291" i="1"/>
  <c r="M1291" i="1"/>
  <c r="O1290" i="1" a="1"/>
  <c r="O1290" i="1" s="1"/>
  <c r="N1290" i="1"/>
  <c r="M1290" i="1"/>
  <c r="O1289" i="1" a="1"/>
  <c r="O1289" i="1" s="1"/>
  <c r="N1289" i="1"/>
  <c r="M1289" i="1"/>
  <c r="O1288" i="1"/>
  <c r="O1288" i="1" a="1"/>
  <c r="N1288" i="1"/>
  <c r="M1288" i="1"/>
  <c r="O1287" i="1"/>
  <c r="O1287" i="1" a="1"/>
  <c r="N1287" i="1"/>
  <c r="M1287" i="1"/>
  <c r="O1286" i="1" a="1"/>
  <c r="O1286" i="1" s="1"/>
  <c r="N1286" i="1"/>
  <c r="M1286" i="1"/>
  <c r="O1285" i="1" a="1"/>
  <c r="O1285" i="1" s="1"/>
  <c r="N1285" i="1"/>
  <c r="M1285" i="1"/>
  <c r="O1284" i="1"/>
  <c r="O1284" i="1" a="1"/>
  <c r="N1284" i="1"/>
  <c r="M1284" i="1"/>
  <c r="O1283" i="1" a="1"/>
  <c r="O1283" i="1" s="1"/>
  <c r="N1283" i="1"/>
  <c r="M1283" i="1"/>
  <c r="O1282" i="1" a="1"/>
  <c r="O1282" i="1" s="1"/>
  <c r="N1282" i="1"/>
  <c r="M1282" i="1"/>
  <c r="O1281" i="1"/>
  <c r="O1281" i="1" a="1"/>
  <c r="N1281" i="1"/>
  <c r="M1281" i="1"/>
  <c r="O1280" i="1"/>
  <c r="O1280" i="1" a="1"/>
  <c r="N1280" i="1"/>
  <c r="M1280" i="1"/>
  <c r="O1279" i="1" a="1"/>
  <c r="O1279" i="1" s="1"/>
  <c r="N1279" i="1"/>
  <c r="M1279" i="1"/>
  <c r="O1278" i="1" a="1"/>
  <c r="O1278" i="1" s="1"/>
  <c r="N1278" i="1"/>
  <c r="M1278" i="1"/>
  <c r="O1277" i="1" a="1"/>
  <c r="O1277" i="1" s="1"/>
  <c r="N1277" i="1"/>
  <c r="M1277" i="1"/>
  <c r="O1276" i="1" a="1"/>
  <c r="O1276" i="1" s="1"/>
  <c r="N1276" i="1"/>
  <c r="M1276" i="1"/>
  <c r="O1275" i="1" a="1"/>
  <c r="O1275" i="1" s="1"/>
  <c r="N1275" i="1"/>
  <c r="M1275" i="1"/>
  <c r="O1274" i="1"/>
  <c r="O1274" i="1" a="1"/>
  <c r="N1274" i="1"/>
  <c r="M1274" i="1"/>
  <c r="O1273" i="1"/>
  <c r="O1273" i="1" a="1"/>
  <c r="N1273" i="1"/>
  <c r="M1273" i="1"/>
  <c r="O1272" i="1" a="1"/>
  <c r="O1272" i="1" s="1"/>
  <c r="N1272" i="1"/>
  <c r="M1272" i="1"/>
  <c r="O1271" i="1" a="1"/>
  <c r="O1271" i="1" s="1"/>
  <c r="N1271" i="1"/>
  <c r="M1271" i="1"/>
  <c r="O1270" i="1" a="1"/>
  <c r="O1270" i="1" s="1"/>
  <c r="N1270" i="1"/>
  <c r="M1270" i="1"/>
  <c r="O1269" i="1" a="1"/>
  <c r="O1269" i="1" s="1"/>
  <c r="N1269" i="1"/>
  <c r="M1269" i="1"/>
  <c r="O1268" i="1" a="1"/>
  <c r="O1268" i="1" s="1"/>
  <c r="N1268" i="1"/>
  <c r="M1268" i="1"/>
  <c r="O1267" i="1"/>
  <c r="O1267" i="1" a="1"/>
  <c r="N1267" i="1"/>
  <c r="M1267" i="1"/>
  <c r="O1266" i="1"/>
  <c r="O1266" i="1" a="1"/>
  <c r="N1266" i="1"/>
  <c r="M1266" i="1"/>
  <c r="O1265" i="1" a="1"/>
  <c r="O1265" i="1" s="1"/>
  <c r="N1265" i="1"/>
  <c r="M1265" i="1"/>
  <c r="O1264" i="1" a="1"/>
  <c r="O1264" i="1" s="1"/>
  <c r="N1264" i="1"/>
  <c r="M1264" i="1"/>
  <c r="O1263" i="1"/>
  <c r="O1263" i="1" a="1"/>
  <c r="N1263" i="1"/>
  <c r="M1263" i="1"/>
  <c r="O1262" i="1" a="1"/>
  <c r="O1262" i="1" s="1"/>
  <c r="N1262" i="1"/>
  <c r="M1262" i="1"/>
  <c r="O1261" i="1" a="1"/>
  <c r="O1261" i="1" s="1"/>
  <c r="N1261" i="1"/>
  <c r="M1261" i="1"/>
  <c r="O1260" i="1"/>
  <c r="O1260" i="1" a="1"/>
  <c r="N1260" i="1"/>
  <c r="M1260" i="1"/>
  <c r="O1259" i="1"/>
  <c r="O1259" i="1" a="1"/>
  <c r="N1259" i="1"/>
  <c r="M1259" i="1"/>
  <c r="O1258" i="1" a="1"/>
  <c r="O1258" i="1" s="1"/>
  <c r="N1258" i="1"/>
  <c r="M1258" i="1"/>
  <c r="O1257" i="1" a="1"/>
  <c r="O1257" i="1" s="1"/>
  <c r="N1257" i="1"/>
  <c r="M1257" i="1"/>
  <c r="O1256" i="1" a="1"/>
  <c r="O1256" i="1" s="1"/>
  <c r="N1256" i="1"/>
  <c r="M1256" i="1"/>
  <c r="O1255" i="1"/>
  <c r="O1255" i="1" a="1"/>
  <c r="N1255" i="1"/>
  <c r="M1255" i="1"/>
  <c r="O1254" i="1" a="1"/>
  <c r="O1254" i="1" s="1"/>
  <c r="N1254" i="1"/>
  <c r="M1254" i="1"/>
  <c r="O1253" i="1"/>
  <c r="O1253" i="1" a="1"/>
  <c r="N1253" i="1"/>
  <c r="M1253" i="1"/>
  <c r="O1252" i="1"/>
  <c r="O1252" i="1" a="1"/>
  <c r="N1252" i="1"/>
  <c r="M1252" i="1"/>
  <c r="O1251" i="1" a="1"/>
  <c r="O1251" i="1" s="1"/>
  <c r="N1251" i="1"/>
  <c r="M1251" i="1"/>
  <c r="O1250" i="1" a="1"/>
  <c r="O1250" i="1" s="1"/>
  <c r="N1250" i="1"/>
  <c r="M1250" i="1"/>
  <c r="O1249" i="1" a="1"/>
  <c r="O1249" i="1" s="1"/>
  <c r="N1249" i="1"/>
  <c r="M1249" i="1"/>
  <c r="O1248" i="1" a="1"/>
  <c r="O1248" i="1" s="1"/>
  <c r="N1248" i="1"/>
  <c r="M1248" i="1"/>
  <c r="O1247" i="1" a="1"/>
  <c r="O1247" i="1" s="1"/>
  <c r="N1247" i="1"/>
  <c r="M1247" i="1"/>
  <c r="O1246" i="1"/>
  <c r="O1246" i="1" a="1"/>
  <c r="N1246" i="1"/>
  <c r="M1246" i="1"/>
  <c r="O1245" i="1"/>
  <c r="O1245" i="1" a="1"/>
  <c r="N1245" i="1"/>
  <c r="M1245" i="1"/>
  <c r="O1244" i="1" a="1"/>
  <c r="O1244" i="1" s="1"/>
  <c r="N1244" i="1"/>
  <c r="M1244" i="1"/>
  <c r="O1243" i="1" a="1"/>
  <c r="O1243" i="1" s="1"/>
  <c r="N1243" i="1"/>
  <c r="M1243" i="1"/>
  <c r="O1242" i="1" a="1"/>
  <c r="O1242" i="1" s="1"/>
  <c r="N1242" i="1"/>
  <c r="M1242" i="1"/>
  <c r="O1241" i="1" a="1"/>
  <c r="O1241" i="1" s="1"/>
  <c r="N1241" i="1"/>
  <c r="M1241" i="1"/>
  <c r="O1240" i="1" a="1"/>
  <c r="O1240" i="1" s="1"/>
  <c r="N1240" i="1"/>
  <c r="M1240" i="1"/>
  <c r="O1239" i="1"/>
  <c r="O1239" i="1" a="1"/>
  <c r="N1239" i="1"/>
  <c r="M1239" i="1"/>
  <c r="O1238" i="1"/>
  <c r="O1238" i="1" a="1"/>
  <c r="N1238" i="1"/>
  <c r="M1238" i="1"/>
  <c r="O1237" i="1" a="1"/>
  <c r="O1237" i="1" s="1"/>
  <c r="N1237" i="1"/>
  <c r="M1237" i="1"/>
  <c r="O1236" i="1" a="1"/>
  <c r="O1236" i="1" s="1"/>
  <c r="N1236" i="1"/>
  <c r="M1236" i="1"/>
  <c r="O1235" i="1" a="1"/>
  <c r="O1235" i="1" s="1"/>
  <c r="N1235" i="1"/>
  <c r="M1235" i="1"/>
  <c r="O1234" i="1" a="1"/>
  <c r="O1234" i="1" s="1"/>
  <c r="N1234" i="1"/>
  <c r="M1234" i="1"/>
  <c r="O1233" i="1"/>
  <c r="O1233" i="1" a="1"/>
  <c r="N1233" i="1"/>
  <c r="M1233" i="1"/>
  <c r="O1232" i="1"/>
  <c r="O1232" i="1" a="1"/>
  <c r="N1232" i="1"/>
  <c r="M1232" i="1"/>
  <c r="O1231" i="1"/>
  <c r="O1231" i="1" a="1"/>
  <c r="N1231" i="1"/>
  <c r="M1231" i="1"/>
  <c r="O1230" i="1" a="1"/>
  <c r="O1230" i="1" s="1"/>
  <c r="N1230" i="1"/>
  <c r="M1230" i="1"/>
  <c r="O1229" i="1" a="1"/>
  <c r="O1229" i="1" s="1"/>
  <c r="N1229" i="1"/>
  <c r="M1229" i="1"/>
  <c r="O1228" i="1" a="1"/>
  <c r="O1228" i="1" s="1"/>
  <c r="N1228" i="1"/>
  <c r="M1228" i="1"/>
  <c r="O1227" i="1" a="1"/>
  <c r="O1227" i="1" s="1"/>
  <c r="N1227" i="1"/>
  <c r="M1227" i="1"/>
  <c r="O1226" i="1" a="1"/>
  <c r="O1226" i="1" s="1"/>
  <c r="N1226" i="1"/>
  <c r="M1226" i="1"/>
  <c r="O1225" i="1"/>
  <c r="O1225" i="1" a="1"/>
  <c r="N1225" i="1"/>
  <c r="M1225" i="1"/>
  <c r="O1224" i="1"/>
  <c r="O1224" i="1" a="1"/>
  <c r="N1224" i="1"/>
  <c r="M1224" i="1"/>
  <c r="O1223" i="1" a="1"/>
  <c r="O1223" i="1" s="1"/>
  <c r="N1223" i="1"/>
  <c r="M1223" i="1"/>
  <c r="O1222" i="1" a="1"/>
  <c r="O1222" i="1" s="1"/>
  <c r="N1222" i="1"/>
  <c r="M1222" i="1"/>
  <c r="O1221" i="1" a="1"/>
  <c r="O1221" i="1" s="1"/>
  <c r="N1221" i="1"/>
  <c r="M1221" i="1"/>
  <c r="O1220" i="1" a="1"/>
  <c r="O1220" i="1" s="1"/>
  <c r="N1220" i="1"/>
  <c r="M1220" i="1"/>
  <c r="O1219" i="1" a="1"/>
  <c r="O1219" i="1" s="1"/>
  <c r="N1219" i="1"/>
  <c r="M1219" i="1"/>
  <c r="O1218" i="1"/>
  <c r="O1218" i="1" a="1"/>
  <c r="N1218" i="1"/>
  <c r="M1218" i="1"/>
  <c r="O1217" i="1"/>
  <c r="O1217" i="1" a="1"/>
  <c r="N1217" i="1"/>
  <c r="M1217" i="1"/>
  <c r="O1216" i="1" a="1"/>
  <c r="O1216" i="1" s="1"/>
  <c r="N1216" i="1"/>
  <c r="M1216" i="1"/>
  <c r="O1215" i="1" a="1"/>
  <c r="O1215" i="1" s="1"/>
  <c r="N1215" i="1"/>
  <c r="M1215" i="1"/>
  <c r="O1214" i="1" a="1"/>
  <c r="O1214" i="1" s="1"/>
  <c r="N1214" i="1"/>
  <c r="M1214" i="1"/>
  <c r="O1213" i="1"/>
  <c r="O1213" i="1" a="1"/>
  <c r="N1213" i="1"/>
  <c r="M1213" i="1"/>
  <c r="O1212" i="1" a="1"/>
  <c r="O1212" i="1" s="1"/>
  <c r="N1212" i="1"/>
  <c r="M1212" i="1"/>
  <c r="O1211" i="1"/>
  <c r="O1211" i="1" a="1"/>
  <c r="N1211" i="1"/>
  <c r="M1211" i="1"/>
  <c r="O1210" i="1"/>
  <c r="O1210" i="1" a="1"/>
  <c r="N1210" i="1"/>
  <c r="M1210" i="1"/>
  <c r="O1209" i="1" a="1"/>
  <c r="O1209" i="1" s="1"/>
  <c r="N1209" i="1"/>
  <c r="M1209" i="1"/>
  <c r="O1208" i="1" a="1"/>
  <c r="O1208" i="1" s="1"/>
  <c r="N1208" i="1"/>
  <c r="M1208" i="1"/>
  <c r="O1207" i="1" a="1"/>
  <c r="O1207" i="1" s="1"/>
  <c r="N1207" i="1"/>
  <c r="M1207" i="1"/>
  <c r="O1206" i="1" a="1"/>
  <c r="O1206" i="1" s="1"/>
  <c r="N1206" i="1"/>
  <c r="M1206" i="1"/>
  <c r="O1205" i="1" a="1"/>
  <c r="O1205" i="1" s="1"/>
  <c r="N1205" i="1"/>
  <c r="M1205" i="1"/>
  <c r="O1204" i="1"/>
  <c r="O1204" i="1" a="1"/>
  <c r="N1204" i="1"/>
  <c r="M1204" i="1"/>
  <c r="O1203" i="1"/>
  <c r="O1203" i="1" a="1"/>
  <c r="N1203" i="1"/>
  <c r="M1203" i="1"/>
  <c r="O1202" i="1" a="1"/>
  <c r="O1202" i="1" s="1"/>
  <c r="N1202" i="1"/>
  <c r="M1202" i="1"/>
  <c r="O1201" i="1" a="1"/>
  <c r="O1201" i="1" s="1"/>
  <c r="N1201" i="1"/>
  <c r="M1201" i="1"/>
  <c r="O1200" i="1" a="1"/>
  <c r="O1200" i="1" s="1"/>
  <c r="N1200" i="1"/>
  <c r="M1200" i="1"/>
  <c r="O1199" i="1" a="1"/>
  <c r="O1199" i="1" s="1"/>
  <c r="N1199" i="1"/>
  <c r="M1199" i="1"/>
  <c r="O1198" i="1"/>
  <c r="O1198" i="1" a="1"/>
  <c r="N1198" i="1"/>
  <c r="M1198" i="1"/>
  <c r="O1197" i="1"/>
  <c r="O1197" i="1" a="1"/>
  <c r="N1197" i="1"/>
  <c r="M1197" i="1"/>
  <c r="O1196" i="1"/>
  <c r="O1196" i="1" a="1"/>
  <c r="N1196" i="1"/>
  <c r="M1196" i="1"/>
  <c r="O1195" i="1" a="1"/>
  <c r="O1195" i="1" s="1"/>
  <c r="N1195" i="1"/>
  <c r="M1195" i="1"/>
  <c r="O1194" i="1" a="1"/>
  <c r="O1194" i="1" s="1"/>
  <c r="N1194" i="1"/>
  <c r="M1194" i="1"/>
  <c r="O1193" i="1" a="1"/>
  <c r="O1193" i="1" s="1"/>
  <c r="N1193" i="1"/>
  <c r="M1193" i="1"/>
  <c r="O1192" i="1" a="1"/>
  <c r="O1192" i="1" s="1"/>
  <c r="N1192" i="1"/>
  <c r="M1192" i="1"/>
  <c r="O1191" i="1" a="1"/>
  <c r="O1191" i="1" s="1"/>
  <c r="N1191" i="1"/>
  <c r="M1191" i="1"/>
  <c r="O1190" i="1"/>
  <c r="O1190" i="1" a="1"/>
  <c r="N1190" i="1"/>
  <c r="M1190" i="1"/>
  <c r="O1189" i="1"/>
  <c r="O1189" i="1" a="1"/>
  <c r="N1189" i="1"/>
  <c r="M1189" i="1"/>
  <c r="O1188" i="1" a="1"/>
  <c r="O1188" i="1" s="1"/>
  <c r="N1188" i="1"/>
  <c r="M1188" i="1"/>
  <c r="O1187" i="1" a="1"/>
  <c r="O1187" i="1" s="1"/>
  <c r="N1187" i="1"/>
  <c r="M1187" i="1"/>
  <c r="O1186" i="1" a="1"/>
  <c r="O1186" i="1" s="1"/>
  <c r="N1186" i="1"/>
  <c r="M1186" i="1"/>
  <c r="O1185" i="1" a="1"/>
  <c r="O1185" i="1" s="1"/>
  <c r="N1185" i="1"/>
  <c r="M1185" i="1"/>
  <c r="O1184" i="1" a="1"/>
  <c r="O1184" i="1" s="1"/>
  <c r="N1184" i="1"/>
  <c r="M1184" i="1"/>
  <c r="O1183" i="1"/>
  <c r="O1183" i="1" a="1"/>
  <c r="N1183" i="1"/>
  <c r="M1183" i="1"/>
  <c r="O1182" i="1"/>
  <c r="O1182" i="1" a="1"/>
  <c r="N1182" i="1"/>
  <c r="M1182" i="1"/>
  <c r="O1181" i="1" a="1"/>
  <c r="O1181" i="1" s="1"/>
  <c r="N1181" i="1"/>
  <c r="M1181" i="1"/>
  <c r="O1180" i="1" a="1"/>
  <c r="O1180" i="1" s="1"/>
  <c r="N1180" i="1"/>
  <c r="M1180" i="1"/>
  <c r="O1179" i="1" a="1"/>
  <c r="O1179" i="1" s="1"/>
  <c r="N1179" i="1"/>
  <c r="M1179" i="1"/>
  <c r="O1178" i="1" a="1"/>
  <c r="O1178" i="1" s="1"/>
  <c r="N1178" i="1"/>
  <c r="M1178" i="1"/>
  <c r="O1177" i="1" a="1"/>
  <c r="O1177" i="1" s="1"/>
  <c r="N1177" i="1"/>
  <c r="M1177" i="1"/>
  <c r="O1176" i="1"/>
  <c r="O1176" i="1" a="1"/>
  <c r="N1176" i="1"/>
  <c r="M1176" i="1"/>
  <c r="O1175" i="1"/>
  <c r="O1175" i="1" a="1"/>
  <c r="N1175" i="1"/>
  <c r="M1175" i="1"/>
  <c r="O1174" i="1" a="1"/>
  <c r="O1174" i="1" s="1"/>
  <c r="N1174" i="1"/>
  <c r="M1174" i="1"/>
  <c r="O1173" i="1" a="1"/>
  <c r="O1173" i="1" s="1"/>
  <c r="N1173" i="1"/>
  <c r="M1173" i="1"/>
  <c r="O1172" i="1" a="1"/>
  <c r="O1172" i="1" s="1"/>
  <c r="N1172" i="1"/>
  <c r="M1172" i="1"/>
  <c r="O1171" i="1" a="1"/>
  <c r="O1171" i="1" s="1"/>
  <c r="N1171" i="1"/>
  <c r="M1171" i="1"/>
  <c r="O1170" i="1" a="1"/>
  <c r="O1170" i="1" s="1"/>
  <c r="N1170" i="1"/>
  <c r="M1170" i="1"/>
  <c r="O1169" i="1"/>
  <c r="O1169" i="1" a="1"/>
  <c r="N1169" i="1"/>
  <c r="M1169" i="1"/>
  <c r="O1168" i="1"/>
  <c r="O1168" i="1" a="1"/>
  <c r="N1168" i="1"/>
  <c r="M1168" i="1"/>
  <c r="O1167" i="1" a="1"/>
  <c r="O1167" i="1" s="1"/>
  <c r="N1167" i="1"/>
  <c r="M1167" i="1"/>
  <c r="O1166" i="1" a="1"/>
  <c r="O1166" i="1" s="1"/>
  <c r="N1166" i="1"/>
  <c r="M1166" i="1"/>
  <c r="O1165" i="1"/>
  <c r="O1165" i="1" a="1"/>
  <c r="N1165" i="1"/>
  <c r="M1165" i="1"/>
  <c r="O1164" i="1" a="1"/>
  <c r="O1164" i="1" s="1"/>
  <c r="N1164" i="1"/>
  <c r="M1164" i="1"/>
  <c r="O1163" i="1" a="1"/>
  <c r="O1163" i="1" s="1"/>
  <c r="N1163" i="1"/>
  <c r="M1163" i="1"/>
  <c r="O1162" i="1"/>
  <c r="O1162" i="1" a="1"/>
  <c r="N1162" i="1"/>
  <c r="M1162" i="1"/>
  <c r="O1161" i="1"/>
  <c r="O1161" i="1" a="1"/>
  <c r="N1161" i="1"/>
  <c r="M1161" i="1"/>
  <c r="O1160" i="1" a="1"/>
  <c r="O1160" i="1" s="1"/>
  <c r="N1160" i="1"/>
  <c r="M1160" i="1"/>
  <c r="O1159" i="1" a="1"/>
  <c r="O1159" i="1" s="1"/>
  <c r="N1159" i="1"/>
  <c r="M1159" i="1"/>
  <c r="O1158" i="1" a="1"/>
  <c r="O1158" i="1" s="1"/>
  <c r="N1158" i="1"/>
  <c r="M1158" i="1"/>
  <c r="O1157" i="1"/>
  <c r="O1157" i="1" a="1"/>
  <c r="N1157" i="1"/>
  <c r="M1157" i="1"/>
  <c r="O1156" i="1" a="1"/>
  <c r="O1156" i="1" s="1"/>
  <c r="N1156" i="1"/>
  <c r="M1156" i="1"/>
  <c r="O1155" i="1"/>
  <c r="O1155" i="1" a="1"/>
  <c r="N1155" i="1"/>
  <c r="M1155" i="1"/>
  <c r="O1154" i="1"/>
  <c r="O1154" i="1" a="1"/>
  <c r="N1154" i="1"/>
  <c r="M1154" i="1"/>
  <c r="O1153" i="1" a="1"/>
  <c r="O1153" i="1" s="1"/>
  <c r="N1153" i="1"/>
  <c r="M1153" i="1"/>
  <c r="O1152" i="1" a="1"/>
  <c r="O1152" i="1" s="1"/>
  <c r="N1152" i="1"/>
  <c r="M1152" i="1"/>
  <c r="O1151" i="1" a="1"/>
  <c r="O1151" i="1" s="1"/>
  <c r="N1151" i="1"/>
  <c r="M1151" i="1"/>
  <c r="O1150" i="1" a="1"/>
  <c r="O1150" i="1" s="1"/>
  <c r="N1150" i="1"/>
  <c r="M1150" i="1"/>
  <c r="O1149" i="1" a="1"/>
  <c r="O1149" i="1" s="1"/>
  <c r="N1149" i="1"/>
  <c r="M1149" i="1"/>
  <c r="O1148" i="1"/>
  <c r="O1148" i="1" a="1"/>
  <c r="N1148" i="1"/>
  <c r="M1148" i="1"/>
  <c r="O1147" i="1"/>
  <c r="O1147" i="1" a="1"/>
  <c r="N1147" i="1"/>
  <c r="M1147" i="1"/>
  <c r="O1146" i="1" a="1"/>
  <c r="O1146" i="1" s="1"/>
  <c r="N1146" i="1"/>
  <c r="M1146" i="1"/>
  <c r="O1145" i="1" a="1"/>
  <c r="O1145" i="1" s="1"/>
  <c r="N1145" i="1"/>
  <c r="M1145" i="1"/>
  <c r="O1144" i="1" a="1"/>
  <c r="O1144" i="1" s="1"/>
  <c r="N1144" i="1"/>
  <c r="M1144" i="1"/>
  <c r="O1143" i="1" a="1"/>
  <c r="O1143" i="1" s="1"/>
  <c r="N1143" i="1"/>
  <c r="M1143" i="1"/>
  <c r="O1142" i="1"/>
  <c r="O1142" i="1" a="1"/>
  <c r="N1142" i="1"/>
  <c r="M1142" i="1"/>
  <c r="O1141" i="1"/>
  <c r="O1141" i="1" a="1"/>
  <c r="N1141" i="1"/>
  <c r="M1141" i="1"/>
  <c r="O1140" i="1"/>
  <c r="O1140" i="1" a="1"/>
  <c r="N1140" i="1"/>
  <c r="M1140" i="1"/>
  <c r="O1139" i="1" a="1"/>
  <c r="O1139" i="1" s="1"/>
  <c r="N1139" i="1"/>
  <c r="M1139" i="1"/>
  <c r="O1138" i="1" a="1"/>
  <c r="O1138" i="1" s="1"/>
  <c r="N1138" i="1"/>
  <c r="M1138" i="1"/>
  <c r="O1137" i="1" a="1"/>
  <c r="O1137" i="1" s="1"/>
  <c r="N1137" i="1"/>
  <c r="M1137" i="1"/>
  <c r="O1136" i="1" a="1"/>
  <c r="O1136" i="1" s="1"/>
  <c r="N1136" i="1"/>
  <c r="M1136" i="1"/>
  <c r="O1135" i="1" a="1"/>
  <c r="O1135" i="1" s="1"/>
  <c r="N1135" i="1"/>
  <c r="M1135" i="1"/>
  <c r="O1134" i="1"/>
  <c r="O1134" i="1" a="1"/>
  <c r="N1134" i="1"/>
  <c r="M1134" i="1"/>
  <c r="O1133" i="1"/>
  <c r="O1133" i="1" a="1"/>
  <c r="N1133" i="1"/>
  <c r="M1133" i="1"/>
  <c r="O1132" i="1" a="1"/>
  <c r="O1132" i="1" s="1"/>
  <c r="N1132" i="1"/>
  <c r="M1132" i="1"/>
  <c r="O1131" i="1" a="1"/>
  <c r="O1131" i="1" s="1"/>
  <c r="N1131" i="1"/>
  <c r="M1131" i="1"/>
  <c r="O1130" i="1"/>
  <c r="O1130" i="1" a="1"/>
  <c r="N1130" i="1"/>
  <c r="M1130" i="1"/>
  <c r="O1129" i="1" a="1"/>
  <c r="O1129" i="1" s="1"/>
  <c r="N1129" i="1"/>
  <c r="M1129" i="1"/>
  <c r="O1128" i="1" a="1"/>
  <c r="O1128" i="1" s="1"/>
  <c r="N1128" i="1"/>
  <c r="M1128" i="1"/>
  <c r="O1127" i="1"/>
  <c r="O1127" i="1" a="1"/>
  <c r="N1127" i="1"/>
  <c r="M1127" i="1"/>
  <c r="O1126" i="1"/>
  <c r="O1126" i="1" a="1"/>
  <c r="N1126" i="1"/>
  <c r="M1126" i="1"/>
  <c r="O1125" i="1" a="1"/>
  <c r="O1125" i="1" s="1"/>
  <c r="N1125" i="1"/>
  <c r="M1125" i="1"/>
  <c r="O1124" i="1" a="1"/>
  <c r="O1124" i="1" s="1"/>
  <c r="N1124" i="1"/>
  <c r="M1124" i="1"/>
  <c r="O1123" i="1" a="1"/>
  <c r="O1123" i="1" s="1"/>
  <c r="N1123" i="1"/>
  <c r="M1123" i="1"/>
  <c r="O1122" i="1" a="1"/>
  <c r="O1122" i="1" s="1"/>
  <c r="N1122" i="1"/>
  <c r="M1122" i="1"/>
  <c r="O1121" i="1" a="1"/>
  <c r="O1121" i="1" s="1"/>
  <c r="N1121" i="1"/>
  <c r="M1121" i="1"/>
  <c r="O1120" i="1"/>
  <c r="O1120" i="1" a="1"/>
  <c r="N1120" i="1"/>
  <c r="M1120" i="1"/>
  <c r="O1119" i="1"/>
  <c r="O1119" i="1" a="1"/>
  <c r="N1119" i="1"/>
  <c r="M1119" i="1"/>
  <c r="O1118" i="1" a="1"/>
  <c r="O1118" i="1" s="1"/>
  <c r="N1118" i="1"/>
  <c r="M1118" i="1"/>
  <c r="O1117" i="1" a="1"/>
  <c r="O1117" i="1" s="1"/>
  <c r="N1117" i="1"/>
  <c r="M1117" i="1"/>
  <c r="O1116" i="1" a="1"/>
  <c r="O1116" i="1" s="1"/>
  <c r="N1116" i="1"/>
  <c r="M1116" i="1"/>
  <c r="O1115" i="1"/>
  <c r="O1115" i="1" a="1"/>
  <c r="N1115" i="1"/>
  <c r="M1115" i="1"/>
  <c r="O1114" i="1"/>
  <c r="O1114" i="1" a="1"/>
  <c r="N1114" i="1"/>
  <c r="M1114" i="1"/>
  <c r="O1113" i="1"/>
  <c r="O1113" i="1" a="1"/>
  <c r="N1113" i="1"/>
  <c r="M1113" i="1"/>
  <c r="O1112" i="1"/>
  <c r="O1112" i="1" a="1"/>
  <c r="N1112" i="1"/>
  <c r="M1112" i="1"/>
  <c r="O1111" i="1" a="1"/>
  <c r="O1111" i="1" s="1"/>
  <c r="N1111" i="1"/>
  <c r="M1111" i="1"/>
  <c r="O1110" i="1" a="1"/>
  <c r="O1110" i="1" s="1"/>
  <c r="N1110" i="1"/>
  <c r="M1110" i="1"/>
  <c r="O1109" i="1" a="1"/>
  <c r="O1109" i="1" s="1"/>
  <c r="N1109" i="1"/>
  <c r="M1109" i="1"/>
  <c r="O1108" i="1" a="1"/>
  <c r="O1108" i="1" s="1"/>
  <c r="N1108" i="1"/>
  <c r="M1108" i="1"/>
  <c r="O1107" i="1" a="1"/>
  <c r="O1107" i="1" s="1"/>
  <c r="N1107" i="1"/>
  <c r="M1107" i="1"/>
  <c r="O1106" i="1"/>
  <c r="O1106" i="1" a="1"/>
  <c r="N1106" i="1"/>
  <c r="M1106" i="1"/>
  <c r="O1105" i="1"/>
  <c r="O1105" i="1" a="1"/>
  <c r="N1105" i="1"/>
  <c r="M1105" i="1"/>
  <c r="O1104" i="1" a="1"/>
  <c r="O1104" i="1" s="1"/>
  <c r="N1104" i="1"/>
  <c r="M1104" i="1"/>
  <c r="O1103" i="1" a="1"/>
  <c r="O1103" i="1" s="1"/>
  <c r="N1103" i="1"/>
  <c r="M1103" i="1"/>
  <c r="O1102" i="1" a="1"/>
  <c r="O1102" i="1" s="1"/>
  <c r="N1102" i="1"/>
  <c r="M1102" i="1"/>
  <c r="O1101" i="1" a="1"/>
  <c r="O1101" i="1" s="1"/>
  <c r="N1101" i="1"/>
  <c r="M1101" i="1"/>
  <c r="O1100" i="1" a="1"/>
  <c r="O1100" i="1" s="1"/>
  <c r="N1100" i="1"/>
  <c r="M1100" i="1"/>
  <c r="O1099" i="1"/>
  <c r="O1099" i="1" a="1"/>
  <c r="N1099" i="1"/>
  <c r="M1099" i="1"/>
  <c r="O1098" i="1"/>
  <c r="O1098" i="1" a="1"/>
  <c r="N1098" i="1"/>
  <c r="M1098" i="1"/>
  <c r="O1097" i="1" a="1"/>
  <c r="O1097" i="1" s="1"/>
  <c r="N1097" i="1"/>
  <c r="M1097" i="1"/>
  <c r="O1096" i="1" a="1"/>
  <c r="O1096" i="1" s="1"/>
  <c r="N1096" i="1"/>
  <c r="M1096" i="1"/>
  <c r="O1095" i="1" a="1"/>
  <c r="O1095" i="1" s="1"/>
  <c r="N1095" i="1"/>
  <c r="M1095" i="1"/>
  <c r="O1094" i="1"/>
  <c r="O1094" i="1" a="1"/>
  <c r="N1094" i="1"/>
  <c r="M1094" i="1"/>
  <c r="O1093" i="1" a="1"/>
  <c r="O1093" i="1" s="1"/>
  <c r="N1093" i="1"/>
  <c r="M1093" i="1"/>
  <c r="O1092" i="1"/>
  <c r="O1092" i="1" a="1"/>
  <c r="N1092" i="1"/>
  <c r="M1092" i="1"/>
  <c r="O1091" i="1"/>
  <c r="O1091" i="1" a="1"/>
  <c r="N1091" i="1"/>
  <c r="M1091" i="1"/>
  <c r="O1090" i="1" a="1"/>
  <c r="O1090" i="1" s="1"/>
  <c r="N1090" i="1"/>
  <c r="M1090" i="1"/>
  <c r="O1089" i="1" a="1"/>
  <c r="O1089" i="1" s="1"/>
  <c r="N1089" i="1"/>
  <c r="M1089" i="1"/>
  <c r="O1088" i="1" a="1"/>
  <c r="O1088" i="1" s="1"/>
  <c r="N1088" i="1"/>
  <c r="M1088" i="1"/>
  <c r="O1087" i="1" a="1"/>
  <c r="O1087" i="1" s="1"/>
  <c r="N1087" i="1"/>
  <c r="M1087" i="1"/>
  <c r="O1086" i="1" a="1"/>
  <c r="O1086" i="1" s="1"/>
  <c r="N1086" i="1"/>
  <c r="M1086" i="1"/>
  <c r="O1085" i="1"/>
  <c r="O1085" i="1" a="1"/>
  <c r="N1085" i="1"/>
  <c r="M1085" i="1"/>
  <c r="O1084" i="1"/>
  <c r="O1084" i="1" a="1"/>
  <c r="N1084" i="1"/>
  <c r="M1084" i="1"/>
  <c r="O1083" i="1" a="1"/>
  <c r="O1083" i="1" s="1"/>
  <c r="N1083" i="1"/>
  <c r="M1083" i="1"/>
  <c r="O1082" i="1" a="1"/>
  <c r="O1082" i="1" s="1"/>
  <c r="N1082" i="1"/>
  <c r="M1082" i="1"/>
  <c r="O1081" i="1" a="1"/>
  <c r="O1081" i="1" s="1"/>
  <c r="N1081" i="1"/>
  <c r="M1081" i="1"/>
  <c r="O1080" i="1" a="1"/>
  <c r="O1080" i="1" s="1"/>
  <c r="N1080" i="1"/>
  <c r="M1080" i="1"/>
  <c r="O1079" i="1"/>
  <c r="O1079" i="1" a="1"/>
  <c r="N1079" i="1"/>
  <c r="M1079" i="1"/>
  <c r="O1078" i="1"/>
  <c r="O1078" i="1" a="1"/>
  <c r="N1078" i="1"/>
  <c r="M1078" i="1"/>
  <c r="O1077" i="1"/>
  <c r="O1077" i="1" a="1"/>
  <c r="N1077" i="1"/>
  <c r="M1077" i="1"/>
  <c r="O1076" i="1" a="1"/>
  <c r="O1076" i="1" s="1"/>
  <c r="N1076" i="1"/>
  <c r="M1076" i="1"/>
  <c r="O1075" i="1" a="1"/>
  <c r="O1075" i="1" s="1"/>
  <c r="N1075" i="1"/>
  <c r="M1075" i="1"/>
  <c r="O1074" i="1" a="1"/>
  <c r="O1074" i="1" s="1"/>
  <c r="N1074" i="1"/>
  <c r="M1074" i="1"/>
  <c r="O1073" i="1"/>
  <c r="O1073" i="1" a="1"/>
  <c r="N1073" i="1"/>
  <c r="M1073" i="1"/>
  <c r="O1072" i="1" a="1"/>
  <c r="O1072" i="1" s="1"/>
  <c r="N1072" i="1"/>
  <c r="M1072" i="1"/>
  <c r="O1071" i="1"/>
  <c r="O1071" i="1" a="1"/>
  <c r="N1071" i="1"/>
  <c r="M1071" i="1"/>
  <c r="O1070" i="1"/>
  <c r="O1070" i="1" a="1"/>
  <c r="N1070" i="1"/>
  <c r="M1070" i="1"/>
  <c r="O1069" i="1" a="1"/>
  <c r="O1069" i="1" s="1"/>
  <c r="N1069" i="1"/>
  <c r="M1069" i="1"/>
  <c r="O1068" i="1" a="1"/>
  <c r="O1068" i="1" s="1"/>
  <c r="N1068" i="1"/>
  <c r="M1068" i="1"/>
  <c r="O1067" i="1" a="1"/>
  <c r="O1067" i="1" s="1"/>
  <c r="N1067" i="1"/>
  <c r="M1067" i="1"/>
  <c r="O1066" i="1" a="1"/>
  <c r="O1066" i="1" s="1"/>
  <c r="N1066" i="1"/>
  <c r="M1066" i="1"/>
  <c r="O1065" i="1" a="1"/>
  <c r="O1065" i="1" s="1"/>
  <c r="N1065" i="1"/>
  <c r="M1065" i="1"/>
  <c r="O1064" i="1"/>
  <c r="O1064" i="1" a="1"/>
  <c r="N1064" i="1"/>
  <c r="M1064" i="1"/>
  <c r="O1063" i="1"/>
  <c r="O1063" i="1" a="1"/>
  <c r="N1063" i="1"/>
  <c r="M1063" i="1"/>
  <c r="O1062" i="1" a="1"/>
  <c r="O1062" i="1" s="1"/>
  <c r="N1062" i="1"/>
  <c r="M1062" i="1"/>
  <c r="O1061" i="1" a="1"/>
  <c r="O1061" i="1" s="1"/>
  <c r="N1061" i="1"/>
  <c r="M1061" i="1"/>
  <c r="O1060" i="1" a="1"/>
  <c r="O1060" i="1" s="1"/>
  <c r="N1060" i="1"/>
  <c r="M1060" i="1"/>
  <c r="O1059" i="1" a="1"/>
  <c r="O1059" i="1" s="1"/>
  <c r="N1059" i="1"/>
  <c r="M1059" i="1"/>
  <c r="O1058" i="1" a="1"/>
  <c r="O1058" i="1" s="1"/>
  <c r="N1058" i="1"/>
  <c r="M1058" i="1"/>
  <c r="O1057" i="1" a="1"/>
  <c r="O1057" i="1" s="1"/>
  <c r="N1057" i="1"/>
  <c r="M1057" i="1"/>
  <c r="O1056" i="1"/>
  <c r="O1056" i="1" a="1"/>
  <c r="N1056" i="1"/>
  <c r="M1056" i="1"/>
  <c r="O1055" i="1" a="1"/>
  <c r="O1055" i="1" s="1"/>
  <c r="N1055" i="1"/>
  <c r="M1055" i="1"/>
  <c r="O1054" i="1" a="1"/>
  <c r="O1054" i="1" s="1"/>
  <c r="N1054" i="1"/>
  <c r="M1054" i="1"/>
  <c r="O1053" i="1" a="1"/>
  <c r="O1053" i="1" s="1"/>
  <c r="N1053" i="1"/>
  <c r="M1053" i="1"/>
  <c r="O1052" i="1" a="1"/>
  <c r="O1052" i="1" s="1"/>
  <c r="N1052" i="1"/>
  <c r="M1052" i="1"/>
  <c r="O1051" i="1" a="1"/>
  <c r="O1051" i="1" s="1"/>
  <c r="N1051" i="1"/>
  <c r="M1051" i="1"/>
  <c r="O1050" i="1" a="1"/>
  <c r="O1050" i="1" s="1"/>
  <c r="N1050" i="1"/>
  <c r="M1050" i="1"/>
  <c r="O1049" i="1"/>
  <c r="O1049" i="1" a="1"/>
  <c r="N1049" i="1"/>
  <c r="M1049" i="1"/>
  <c r="O1048" i="1" a="1"/>
  <c r="O1048" i="1" s="1"/>
  <c r="N1048" i="1"/>
  <c r="M1048" i="1"/>
  <c r="O1047" i="1" a="1"/>
  <c r="O1047" i="1" s="1"/>
  <c r="N1047" i="1"/>
  <c r="M1047" i="1"/>
  <c r="O1046" i="1" a="1"/>
  <c r="O1046" i="1" s="1"/>
  <c r="N1046" i="1"/>
  <c r="M1046" i="1"/>
  <c r="O1045" i="1" a="1"/>
  <c r="O1045" i="1" s="1"/>
  <c r="N1045" i="1"/>
  <c r="M1045" i="1"/>
  <c r="O1044" i="1" a="1"/>
  <c r="O1044" i="1" s="1"/>
  <c r="N1044" i="1"/>
  <c r="M1044" i="1"/>
  <c r="O1043" i="1" a="1"/>
  <c r="O1043" i="1" s="1"/>
  <c r="N1043" i="1"/>
  <c r="M1043" i="1"/>
  <c r="O1042" i="1"/>
  <c r="O1042" i="1" a="1"/>
  <c r="N1042" i="1"/>
  <c r="M1042" i="1"/>
  <c r="O1041" i="1" a="1"/>
  <c r="O1041" i="1" s="1"/>
  <c r="N1041" i="1"/>
  <c r="M1041" i="1"/>
  <c r="O1040" i="1" a="1"/>
  <c r="O1040" i="1" s="1"/>
  <c r="N1040" i="1"/>
  <c r="M1040" i="1"/>
  <c r="O1039" i="1" a="1"/>
  <c r="O1039" i="1" s="1"/>
  <c r="N1039" i="1"/>
  <c r="M1039" i="1"/>
  <c r="O1038" i="1" a="1"/>
  <c r="O1038" i="1" s="1"/>
  <c r="N1038" i="1"/>
  <c r="M1038" i="1"/>
  <c r="O1037" i="1" a="1"/>
  <c r="O1037" i="1" s="1"/>
  <c r="N1037" i="1"/>
  <c r="M1037" i="1"/>
  <c r="O1036" i="1" a="1"/>
  <c r="O1036" i="1" s="1"/>
  <c r="N1036" i="1"/>
  <c r="M1036" i="1"/>
  <c r="O1035" i="1"/>
  <c r="O1035" i="1" a="1"/>
  <c r="N1035" i="1"/>
  <c r="M1035" i="1"/>
  <c r="O1034" i="1" a="1"/>
  <c r="O1034" i="1" s="1"/>
  <c r="N1034" i="1"/>
  <c r="M1034" i="1"/>
  <c r="O1033" i="1" a="1"/>
  <c r="O1033" i="1" s="1"/>
  <c r="N1033" i="1"/>
  <c r="M1033" i="1"/>
  <c r="O1032" i="1" a="1"/>
  <c r="O1032" i="1" s="1"/>
  <c r="N1032" i="1"/>
  <c r="M1032" i="1"/>
  <c r="O1031" i="1" a="1"/>
  <c r="O1031" i="1" s="1"/>
  <c r="N1031" i="1"/>
  <c r="M1031" i="1"/>
  <c r="O1030" i="1" a="1"/>
  <c r="O1030" i="1" s="1"/>
  <c r="N1030" i="1"/>
  <c r="M1030" i="1"/>
  <c r="O1029" i="1" a="1"/>
  <c r="O1029" i="1" s="1"/>
  <c r="N1029" i="1"/>
  <c r="M1029" i="1"/>
  <c r="O1028" i="1"/>
  <c r="O1028" i="1" a="1"/>
  <c r="N1028" i="1"/>
  <c r="M1028" i="1"/>
  <c r="O1027" i="1" a="1"/>
  <c r="O1027" i="1" s="1"/>
  <c r="N1027" i="1"/>
  <c r="M1027" i="1"/>
  <c r="O1026" i="1" a="1"/>
  <c r="O1026" i="1" s="1"/>
  <c r="N1026" i="1"/>
  <c r="M1026" i="1"/>
  <c r="O1025" i="1"/>
  <c r="O1025" i="1" a="1"/>
  <c r="N1025" i="1"/>
  <c r="M1025" i="1"/>
  <c r="O1024" i="1" a="1"/>
  <c r="O1024" i="1" s="1"/>
  <c r="N1024" i="1"/>
  <c r="M1024" i="1"/>
  <c r="O1023" i="1" a="1"/>
  <c r="O1023" i="1" s="1"/>
  <c r="N1023" i="1"/>
  <c r="M1023" i="1"/>
  <c r="O1022" i="1" a="1"/>
  <c r="O1022" i="1" s="1"/>
  <c r="N1022" i="1"/>
  <c r="M1022" i="1"/>
  <c r="O1021" i="1"/>
  <c r="O1021" i="1" a="1"/>
  <c r="N1021" i="1"/>
  <c r="M1021" i="1"/>
  <c r="O1020" i="1" a="1"/>
  <c r="O1020" i="1" s="1"/>
  <c r="N1020" i="1"/>
  <c r="M1020" i="1"/>
  <c r="O1019" i="1" a="1"/>
  <c r="O1019" i="1" s="1"/>
  <c r="N1019" i="1"/>
  <c r="M1019" i="1"/>
  <c r="O1018" i="1" a="1"/>
  <c r="O1018" i="1" s="1"/>
  <c r="N1018" i="1"/>
  <c r="M1018" i="1"/>
  <c r="O1017" i="1" a="1"/>
  <c r="O1017" i="1" s="1"/>
  <c r="N1017" i="1"/>
  <c r="M1017" i="1"/>
  <c r="O1016" i="1" a="1"/>
  <c r="O1016" i="1" s="1"/>
  <c r="N1016" i="1"/>
  <c r="M1016" i="1"/>
  <c r="O1015" i="1" a="1"/>
  <c r="O1015" i="1" s="1"/>
  <c r="N1015" i="1"/>
  <c r="M1015" i="1"/>
  <c r="O1014" i="1"/>
  <c r="O1014" i="1" a="1"/>
  <c r="N1014" i="1"/>
  <c r="M1014" i="1"/>
  <c r="O1013" i="1" a="1"/>
  <c r="O1013" i="1" s="1"/>
  <c r="N1013" i="1"/>
  <c r="M1013" i="1"/>
  <c r="O1012" i="1" a="1"/>
  <c r="O1012" i="1" s="1"/>
  <c r="N1012" i="1"/>
  <c r="M1012" i="1"/>
  <c r="O1011" i="1" a="1"/>
  <c r="O1011" i="1" s="1"/>
  <c r="N1011" i="1"/>
  <c r="M1011" i="1"/>
  <c r="O1010" i="1" a="1"/>
  <c r="O1010" i="1" s="1"/>
  <c r="N1010" i="1"/>
  <c r="M1010" i="1"/>
  <c r="O1009" i="1" a="1"/>
  <c r="O1009" i="1" s="1"/>
  <c r="N1009" i="1"/>
  <c r="M1009" i="1"/>
  <c r="O1008" i="1" a="1"/>
  <c r="O1008" i="1" s="1"/>
  <c r="N1008" i="1"/>
  <c r="M1008" i="1"/>
  <c r="O1007" i="1"/>
  <c r="O1007" i="1" a="1"/>
  <c r="N1007" i="1"/>
  <c r="M1007" i="1"/>
  <c r="O1006" i="1" a="1"/>
  <c r="O1006" i="1" s="1"/>
  <c r="N1006" i="1"/>
  <c r="M1006" i="1"/>
  <c r="O1005" i="1" a="1"/>
  <c r="O1005" i="1" s="1"/>
  <c r="N1005" i="1"/>
  <c r="M1005" i="1"/>
  <c r="O1004" i="1" a="1"/>
  <c r="O1004" i="1" s="1"/>
  <c r="N1004" i="1"/>
  <c r="M1004" i="1"/>
  <c r="O1003" i="1" a="1"/>
  <c r="O1003" i="1" s="1"/>
  <c r="N1003" i="1"/>
  <c r="M1003" i="1"/>
  <c r="O1002" i="1"/>
  <c r="O1002" i="1" a="1"/>
  <c r="N1002" i="1"/>
  <c r="M1002" i="1"/>
  <c r="O1001" i="1" a="1"/>
  <c r="O1001" i="1" s="1"/>
  <c r="N1001" i="1"/>
  <c r="M1001" i="1"/>
  <c r="O1000" i="1"/>
  <c r="O1000" i="1" a="1"/>
  <c r="N1000" i="1"/>
  <c r="M1000" i="1"/>
  <c r="O999" i="1" a="1"/>
  <c r="O999" i="1" s="1"/>
  <c r="N999" i="1"/>
  <c r="M999" i="1"/>
  <c r="O998" i="1" a="1"/>
  <c r="O998" i="1" s="1"/>
  <c r="N998" i="1"/>
  <c r="M998" i="1"/>
  <c r="O997" i="1" a="1"/>
  <c r="O997" i="1" s="1"/>
  <c r="N997" i="1"/>
  <c r="M997" i="1"/>
  <c r="O996" i="1" a="1"/>
  <c r="O996" i="1" s="1"/>
  <c r="N996" i="1"/>
  <c r="M996" i="1"/>
  <c r="O995" i="1"/>
  <c r="O995" i="1" a="1"/>
  <c r="N995" i="1"/>
  <c r="M995" i="1"/>
  <c r="O994" i="1" a="1"/>
  <c r="O994" i="1" s="1"/>
  <c r="N994" i="1"/>
  <c r="M994" i="1"/>
  <c r="O993" i="1"/>
  <c r="O993" i="1" a="1"/>
  <c r="N993" i="1"/>
  <c r="M993" i="1"/>
  <c r="O992" i="1" a="1"/>
  <c r="O992" i="1" s="1"/>
  <c r="N992" i="1"/>
  <c r="M992" i="1"/>
  <c r="O991" i="1" a="1"/>
  <c r="O991" i="1" s="1"/>
  <c r="N991" i="1"/>
  <c r="M991" i="1"/>
  <c r="O990" i="1" a="1"/>
  <c r="O990" i="1" s="1"/>
  <c r="N990" i="1"/>
  <c r="M990" i="1"/>
  <c r="O989" i="1" a="1"/>
  <c r="O989" i="1" s="1"/>
  <c r="N989" i="1"/>
  <c r="M989" i="1"/>
  <c r="O988" i="1" a="1"/>
  <c r="O988" i="1" s="1"/>
  <c r="N988" i="1"/>
  <c r="M988" i="1"/>
  <c r="O987" i="1" a="1"/>
  <c r="O987" i="1" s="1"/>
  <c r="N987" i="1"/>
  <c r="M987" i="1"/>
  <c r="O986" i="1"/>
  <c r="O986" i="1" a="1"/>
  <c r="N986" i="1"/>
  <c r="M986" i="1"/>
  <c r="O985" i="1" a="1"/>
  <c r="O985" i="1" s="1"/>
  <c r="N985" i="1"/>
  <c r="M985" i="1"/>
  <c r="O984" i="1" a="1"/>
  <c r="O984" i="1" s="1"/>
  <c r="N984" i="1"/>
  <c r="M984" i="1"/>
  <c r="O983" i="1" a="1"/>
  <c r="O983" i="1" s="1"/>
  <c r="N983" i="1"/>
  <c r="M983" i="1"/>
  <c r="O982" i="1" a="1"/>
  <c r="O982" i="1" s="1"/>
  <c r="N982" i="1"/>
  <c r="M982" i="1"/>
  <c r="O981" i="1"/>
  <c r="O981" i="1" a="1"/>
  <c r="N981" i="1"/>
  <c r="M981" i="1"/>
  <c r="O980" i="1" a="1"/>
  <c r="O980" i="1" s="1"/>
  <c r="N980" i="1"/>
  <c r="M980" i="1"/>
  <c r="O979" i="1"/>
  <c r="O979" i="1" a="1"/>
  <c r="N979" i="1"/>
  <c r="M979" i="1"/>
  <c r="O978" i="1" a="1"/>
  <c r="O978" i="1" s="1"/>
  <c r="N978" i="1"/>
  <c r="M978" i="1"/>
  <c r="O977" i="1" a="1"/>
  <c r="O977" i="1" s="1"/>
  <c r="N977" i="1"/>
  <c r="M977" i="1"/>
  <c r="O976" i="1"/>
  <c r="O976" i="1" a="1"/>
  <c r="N976" i="1"/>
  <c r="M976" i="1"/>
  <c r="O975" i="1" a="1"/>
  <c r="O975" i="1" s="1"/>
  <c r="N975" i="1"/>
  <c r="M975" i="1"/>
  <c r="O974" i="1" a="1"/>
  <c r="O974" i="1" s="1"/>
  <c r="N974" i="1"/>
  <c r="M974" i="1"/>
  <c r="O973" i="1" a="1"/>
  <c r="O973" i="1" s="1"/>
  <c r="N973" i="1"/>
  <c r="M973" i="1"/>
  <c r="O972" i="1"/>
  <c r="O972" i="1" a="1"/>
  <c r="N972" i="1"/>
  <c r="M972" i="1"/>
  <c r="O971" i="1" a="1"/>
  <c r="O971" i="1" s="1"/>
  <c r="N971" i="1"/>
  <c r="M971" i="1"/>
  <c r="O970" i="1" a="1"/>
  <c r="O970" i="1" s="1"/>
  <c r="N970" i="1"/>
  <c r="M970" i="1"/>
  <c r="O969" i="1" a="1"/>
  <c r="O969" i="1" s="1"/>
  <c r="N969" i="1"/>
  <c r="M969" i="1"/>
  <c r="O968" i="1"/>
  <c r="O968" i="1" a="1"/>
  <c r="N968" i="1"/>
  <c r="M968" i="1"/>
  <c r="O967" i="1" a="1"/>
  <c r="O967" i="1" s="1"/>
  <c r="N967" i="1"/>
  <c r="M967" i="1"/>
  <c r="O966" i="1" a="1"/>
  <c r="O966" i="1" s="1"/>
  <c r="N966" i="1"/>
  <c r="M966" i="1"/>
  <c r="O965" i="1"/>
  <c r="O965" i="1" a="1"/>
  <c r="N965" i="1"/>
  <c r="M965" i="1"/>
  <c r="O964" i="1" a="1"/>
  <c r="O964" i="1" s="1"/>
  <c r="N964" i="1"/>
  <c r="M964" i="1"/>
  <c r="O963" i="1" a="1"/>
  <c r="O963" i="1" s="1"/>
  <c r="N963" i="1"/>
  <c r="M963" i="1"/>
  <c r="O962" i="1" a="1"/>
  <c r="O962" i="1" s="1"/>
  <c r="N962" i="1"/>
  <c r="M962" i="1"/>
  <c r="O961" i="1" a="1"/>
  <c r="O961" i="1" s="1"/>
  <c r="N961" i="1"/>
  <c r="M961" i="1"/>
  <c r="O960" i="1"/>
  <c r="O960" i="1" a="1"/>
  <c r="N960" i="1"/>
  <c r="M960" i="1"/>
  <c r="O959" i="1" a="1"/>
  <c r="O959" i="1" s="1"/>
  <c r="N959" i="1"/>
  <c r="M959" i="1"/>
  <c r="O958" i="1"/>
  <c r="O958" i="1" a="1"/>
  <c r="N958" i="1"/>
  <c r="M958" i="1"/>
  <c r="O957" i="1" a="1"/>
  <c r="O957" i="1" s="1"/>
  <c r="N957" i="1"/>
  <c r="M957" i="1"/>
  <c r="O956" i="1" a="1"/>
  <c r="O956" i="1" s="1"/>
  <c r="N956" i="1"/>
  <c r="M956" i="1"/>
  <c r="O955" i="1" a="1"/>
  <c r="O955" i="1" s="1"/>
  <c r="N955" i="1"/>
  <c r="M955" i="1"/>
  <c r="O954" i="1" a="1"/>
  <c r="O954" i="1" s="1"/>
  <c r="N954" i="1"/>
  <c r="M954" i="1"/>
  <c r="O953" i="1" a="1"/>
  <c r="O953" i="1" s="1"/>
  <c r="N953" i="1"/>
  <c r="M953" i="1"/>
  <c r="O952" i="1" a="1"/>
  <c r="O952" i="1" s="1"/>
  <c r="N952" i="1"/>
  <c r="M952" i="1"/>
  <c r="O951" i="1"/>
  <c r="O951" i="1" a="1"/>
  <c r="N951" i="1"/>
  <c r="M951" i="1"/>
  <c r="O950" i="1" a="1"/>
  <c r="O950" i="1" s="1"/>
  <c r="N950" i="1"/>
  <c r="M950" i="1"/>
  <c r="O949" i="1" a="1"/>
  <c r="O949" i="1" s="1"/>
  <c r="N949" i="1"/>
  <c r="M949" i="1"/>
  <c r="O948" i="1" a="1"/>
  <c r="O948" i="1" s="1"/>
  <c r="N948" i="1"/>
  <c r="M948" i="1"/>
  <c r="O947" i="1" a="1"/>
  <c r="O947" i="1" s="1"/>
  <c r="N947" i="1"/>
  <c r="M947" i="1"/>
  <c r="O946" i="1" a="1"/>
  <c r="O946" i="1" s="1"/>
  <c r="N946" i="1"/>
  <c r="M946" i="1"/>
  <c r="O945" i="1" a="1"/>
  <c r="O945" i="1" s="1"/>
  <c r="N945" i="1"/>
  <c r="M945" i="1"/>
  <c r="O944" i="1"/>
  <c r="O944" i="1" a="1"/>
  <c r="N944" i="1"/>
  <c r="M944" i="1"/>
  <c r="O943" i="1" a="1"/>
  <c r="O943" i="1" s="1"/>
  <c r="N943" i="1"/>
  <c r="M943" i="1"/>
  <c r="O942" i="1" a="1"/>
  <c r="O942" i="1" s="1"/>
  <c r="N942" i="1"/>
  <c r="M942" i="1"/>
  <c r="O941" i="1" a="1"/>
  <c r="O941" i="1" s="1"/>
  <c r="N941" i="1"/>
  <c r="M941" i="1"/>
  <c r="O940" i="1" a="1"/>
  <c r="O940" i="1" s="1"/>
  <c r="N940" i="1"/>
  <c r="M940" i="1"/>
  <c r="O939" i="1" a="1"/>
  <c r="O939" i="1" s="1"/>
  <c r="N939" i="1"/>
  <c r="M939" i="1"/>
  <c r="O938" i="1" a="1"/>
  <c r="O938" i="1" s="1"/>
  <c r="N938" i="1"/>
  <c r="M938" i="1"/>
  <c r="O937" i="1"/>
  <c r="O937" i="1" a="1"/>
  <c r="N937" i="1"/>
  <c r="M937" i="1"/>
  <c r="O936" i="1" a="1"/>
  <c r="O936" i="1" s="1"/>
  <c r="N936" i="1"/>
  <c r="M936" i="1"/>
  <c r="O935" i="1" a="1"/>
  <c r="O935" i="1" s="1"/>
  <c r="N935" i="1"/>
  <c r="M935" i="1"/>
  <c r="O934" i="1" a="1"/>
  <c r="O934" i="1" s="1"/>
  <c r="N934" i="1"/>
  <c r="M934" i="1"/>
  <c r="O933" i="1"/>
  <c r="O933" i="1" a="1"/>
  <c r="N933" i="1"/>
  <c r="M933" i="1"/>
  <c r="O932" i="1" a="1"/>
  <c r="O932" i="1" s="1"/>
  <c r="N932" i="1"/>
  <c r="M932" i="1"/>
  <c r="O931" i="1" a="1"/>
  <c r="O931" i="1" s="1"/>
  <c r="N931" i="1"/>
  <c r="M931" i="1"/>
  <c r="O930" i="1"/>
  <c r="O930" i="1" a="1"/>
  <c r="N930" i="1"/>
  <c r="M930" i="1"/>
  <c r="O929" i="1" a="1"/>
  <c r="O929" i="1" s="1"/>
  <c r="N929" i="1"/>
  <c r="M929" i="1"/>
  <c r="O928" i="1" a="1"/>
  <c r="O928" i="1" s="1"/>
  <c r="N928" i="1"/>
  <c r="M928" i="1"/>
  <c r="O927" i="1" a="1"/>
  <c r="O927" i="1" s="1"/>
  <c r="N927" i="1"/>
  <c r="M927" i="1"/>
  <c r="O926" i="1" a="1"/>
  <c r="O926" i="1" s="1"/>
  <c r="N926" i="1"/>
  <c r="M926" i="1"/>
  <c r="O925" i="1" a="1"/>
  <c r="O925" i="1" s="1"/>
  <c r="N925" i="1"/>
  <c r="M925" i="1"/>
  <c r="O924" i="1" a="1"/>
  <c r="O924" i="1" s="1"/>
  <c r="N924" i="1"/>
  <c r="M924" i="1"/>
  <c r="O923" i="1"/>
  <c r="O923" i="1" a="1"/>
  <c r="N923" i="1"/>
  <c r="M923" i="1"/>
  <c r="O922" i="1" a="1"/>
  <c r="O922" i="1" s="1"/>
  <c r="N922" i="1"/>
  <c r="M922" i="1"/>
  <c r="O921" i="1" a="1"/>
  <c r="O921" i="1" s="1"/>
  <c r="N921" i="1"/>
  <c r="M921" i="1"/>
  <c r="O920" i="1" a="1"/>
  <c r="O920" i="1" s="1"/>
  <c r="N920" i="1"/>
  <c r="M920" i="1"/>
  <c r="O919" i="1" a="1"/>
  <c r="O919" i="1" s="1"/>
  <c r="N919" i="1"/>
  <c r="M919" i="1"/>
  <c r="O918" i="1" a="1"/>
  <c r="O918" i="1" s="1"/>
  <c r="N918" i="1"/>
  <c r="M918" i="1"/>
  <c r="O917" i="1" a="1"/>
  <c r="O917" i="1" s="1"/>
  <c r="N917" i="1"/>
  <c r="M917" i="1"/>
  <c r="O916" i="1"/>
  <c r="O916" i="1" a="1"/>
  <c r="N916" i="1"/>
  <c r="M916" i="1"/>
  <c r="O915" i="1" a="1"/>
  <c r="O915" i="1" s="1"/>
  <c r="N915" i="1"/>
  <c r="M915" i="1"/>
  <c r="O914" i="1" a="1"/>
  <c r="O914" i="1" s="1"/>
  <c r="N914" i="1"/>
  <c r="M914" i="1"/>
  <c r="O913" i="1" a="1"/>
  <c r="O913" i="1" s="1"/>
  <c r="N913" i="1"/>
  <c r="M913" i="1"/>
  <c r="O912" i="1"/>
  <c r="O912" i="1" a="1"/>
  <c r="N912" i="1"/>
  <c r="M912" i="1"/>
  <c r="O911" i="1" a="1"/>
  <c r="O911" i="1" s="1"/>
  <c r="N911" i="1"/>
  <c r="M911" i="1"/>
  <c r="O910" i="1" a="1"/>
  <c r="O910" i="1" s="1"/>
  <c r="N910" i="1"/>
  <c r="M910" i="1"/>
  <c r="O909" i="1"/>
  <c r="O909" i="1" a="1"/>
  <c r="N909" i="1"/>
  <c r="M909" i="1"/>
  <c r="O908" i="1" a="1"/>
  <c r="O908" i="1" s="1"/>
  <c r="N908" i="1"/>
  <c r="M908" i="1"/>
  <c r="O907" i="1"/>
  <c r="O907" i="1" a="1"/>
  <c r="N907" i="1"/>
  <c r="M907" i="1"/>
  <c r="O906" i="1" a="1"/>
  <c r="O906" i="1" s="1"/>
  <c r="N906" i="1"/>
  <c r="M906" i="1"/>
  <c r="O905" i="1" a="1"/>
  <c r="O905" i="1" s="1"/>
  <c r="N905" i="1"/>
  <c r="M905" i="1"/>
  <c r="O904" i="1"/>
  <c r="O904" i="1" a="1"/>
  <c r="N904" i="1"/>
  <c r="M904" i="1"/>
  <c r="O903" i="1"/>
  <c r="O903" i="1" a="1"/>
  <c r="N903" i="1"/>
  <c r="M903" i="1"/>
  <c r="O902" i="1"/>
  <c r="O902" i="1" a="1"/>
  <c r="N902" i="1"/>
  <c r="M902" i="1"/>
  <c r="O901" i="1" a="1"/>
  <c r="O901" i="1" s="1"/>
  <c r="N901" i="1"/>
  <c r="M901" i="1"/>
  <c r="O900" i="1" a="1"/>
  <c r="O900" i="1" s="1"/>
  <c r="N900" i="1"/>
  <c r="M900" i="1"/>
  <c r="O899" i="1" a="1"/>
  <c r="O899" i="1" s="1"/>
  <c r="N899" i="1"/>
  <c r="M899" i="1"/>
  <c r="O898" i="1" a="1"/>
  <c r="O898" i="1" s="1"/>
  <c r="N898" i="1"/>
  <c r="M898" i="1"/>
  <c r="O897" i="1" a="1"/>
  <c r="O897" i="1" s="1"/>
  <c r="N897" i="1"/>
  <c r="M897" i="1"/>
  <c r="O896" i="1"/>
  <c r="O896" i="1" a="1"/>
  <c r="N896" i="1"/>
  <c r="M896" i="1"/>
  <c r="O895" i="1"/>
  <c r="O895" i="1" a="1"/>
  <c r="N895" i="1"/>
  <c r="M895" i="1"/>
  <c r="O894" i="1" a="1"/>
  <c r="O894" i="1" s="1"/>
  <c r="N894" i="1"/>
  <c r="M894" i="1"/>
  <c r="O893" i="1"/>
  <c r="O893" i="1" a="1"/>
  <c r="N893" i="1"/>
  <c r="M893" i="1"/>
  <c r="O892" i="1" a="1"/>
  <c r="O892" i="1" s="1"/>
  <c r="N892" i="1"/>
  <c r="M892" i="1"/>
  <c r="O891" i="1"/>
  <c r="O891" i="1" a="1"/>
  <c r="N891" i="1"/>
  <c r="M891" i="1"/>
  <c r="O890" i="1"/>
  <c r="O890" i="1" a="1"/>
  <c r="N890" i="1"/>
  <c r="M890" i="1"/>
  <c r="O889" i="1" a="1"/>
  <c r="O889" i="1" s="1"/>
  <c r="N889" i="1"/>
  <c r="M889" i="1"/>
  <c r="O888" i="1"/>
  <c r="O888" i="1" a="1"/>
  <c r="N888" i="1"/>
  <c r="M888" i="1"/>
  <c r="O887" i="1" a="1"/>
  <c r="O887" i="1" s="1"/>
  <c r="N887" i="1"/>
  <c r="M887" i="1"/>
  <c r="O886" i="1" a="1"/>
  <c r="O886" i="1" s="1"/>
  <c r="N886" i="1"/>
  <c r="M886" i="1"/>
  <c r="O885" i="1" a="1"/>
  <c r="O885" i="1" s="1"/>
  <c r="N885" i="1"/>
  <c r="M885" i="1"/>
  <c r="O884" i="1" a="1"/>
  <c r="O884" i="1" s="1"/>
  <c r="N884" i="1"/>
  <c r="M884" i="1"/>
  <c r="O883" i="1" a="1"/>
  <c r="O883" i="1" s="1"/>
  <c r="N883" i="1"/>
  <c r="M883" i="1"/>
  <c r="O882" i="1" a="1"/>
  <c r="O882" i="1" s="1"/>
  <c r="N882" i="1"/>
  <c r="M882" i="1"/>
  <c r="O881" i="1"/>
  <c r="O881" i="1" a="1"/>
  <c r="N881" i="1"/>
  <c r="M881" i="1"/>
  <c r="O880" i="1" a="1"/>
  <c r="O880" i="1" s="1"/>
  <c r="N880" i="1"/>
  <c r="M880" i="1"/>
  <c r="O879" i="1" a="1"/>
  <c r="O879" i="1" s="1"/>
  <c r="N879" i="1"/>
  <c r="M879" i="1"/>
  <c r="O878" i="1"/>
  <c r="O878" i="1" a="1"/>
  <c r="N878" i="1"/>
  <c r="M878" i="1"/>
  <c r="O877" i="1" a="1"/>
  <c r="O877" i="1" s="1"/>
  <c r="N877" i="1"/>
  <c r="M877" i="1"/>
  <c r="O876" i="1" a="1"/>
  <c r="O876" i="1" s="1"/>
  <c r="N876" i="1"/>
  <c r="M876" i="1"/>
  <c r="O875" i="1"/>
  <c r="O875" i="1" a="1"/>
  <c r="N875" i="1"/>
  <c r="M875" i="1"/>
  <c r="O874" i="1"/>
  <c r="O874" i="1" a="1"/>
  <c r="N874" i="1"/>
  <c r="M874" i="1"/>
  <c r="O873" i="1" a="1"/>
  <c r="O873" i="1" s="1"/>
  <c r="N873" i="1"/>
  <c r="M873" i="1"/>
  <c r="O872" i="1" a="1"/>
  <c r="O872" i="1" s="1"/>
  <c r="N872" i="1"/>
  <c r="M872" i="1"/>
  <c r="O871" i="1"/>
  <c r="O871" i="1" a="1"/>
  <c r="N871" i="1"/>
  <c r="M871" i="1"/>
  <c r="O870" i="1" a="1"/>
  <c r="O870" i="1" s="1"/>
  <c r="N870" i="1"/>
  <c r="M870" i="1"/>
  <c r="O869" i="1" a="1"/>
  <c r="O869" i="1" s="1"/>
  <c r="N869" i="1"/>
  <c r="M869" i="1"/>
  <c r="O868" i="1"/>
  <c r="O868" i="1" a="1"/>
  <c r="N868" i="1"/>
  <c r="M868" i="1"/>
  <c r="O867" i="1"/>
  <c r="O867" i="1" a="1"/>
  <c r="N867" i="1"/>
  <c r="M867" i="1"/>
  <c r="O866" i="1" a="1"/>
  <c r="O866" i="1" s="1"/>
  <c r="N866" i="1"/>
  <c r="M866" i="1"/>
  <c r="O865" i="1"/>
  <c r="O865" i="1" a="1"/>
  <c r="N865" i="1"/>
  <c r="M865" i="1"/>
  <c r="O864" i="1"/>
  <c r="O864" i="1" a="1"/>
  <c r="N864" i="1"/>
  <c r="M864" i="1"/>
  <c r="O863" i="1" a="1"/>
  <c r="O863" i="1" s="1"/>
  <c r="N863" i="1"/>
  <c r="M863" i="1"/>
  <c r="O862" i="1"/>
  <c r="O862" i="1" a="1"/>
  <c r="N862" i="1"/>
  <c r="M862" i="1"/>
  <c r="O861" i="1" a="1"/>
  <c r="O861" i="1" s="1"/>
  <c r="N861" i="1"/>
  <c r="M861" i="1"/>
  <c r="O860" i="1"/>
  <c r="O860" i="1" a="1"/>
  <c r="N860" i="1"/>
  <c r="M860" i="1"/>
  <c r="O859" i="1" a="1"/>
  <c r="O859" i="1" s="1"/>
  <c r="N859" i="1"/>
  <c r="M859" i="1"/>
  <c r="O858" i="1"/>
  <c r="O858" i="1" a="1"/>
  <c r="N858" i="1"/>
  <c r="M858" i="1"/>
  <c r="O857" i="1" a="1"/>
  <c r="O857" i="1" s="1"/>
  <c r="N857" i="1"/>
  <c r="M857" i="1"/>
  <c r="O856" i="1" a="1"/>
  <c r="O856" i="1" s="1"/>
  <c r="N856" i="1"/>
  <c r="M856" i="1"/>
  <c r="O855" i="1"/>
  <c r="O855" i="1" a="1"/>
  <c r="N855" i="1"/>
  <c r="M855" i="1"/>
  <c r="O854" i="1" a="1"/>
  <c r="O854" i="1" s="1"/>
  <c r="N854" i="1"/>
  <c r="M854" i="1"/>
  <c r="O853" i="1"/>
  <c r="O853" i="1" a="1"/>
  <c r="N853" i="1"/>
  <c r="M853" i="1"/>
  <c r="O852" i="1" a="1"/>
  <c r="O852" i="1" s="1"/>
  <c r="N852" i="1"/>
  <c r="M852" i="1"/>
  <c r="O851" i="1" a="1"/>
  <c r="O851" i="1" s="1"/>
  <c r="N851" i="1"/>
  <c r="M851" i="1"/>
  <c r="O850" i="1" a="1"/>
  <c r="O850" i="1" s="1"/>
  <c r="N850" i="1"/>
  <c r="M850" i="1"/>
  <c r="O849" i="1"/>
  <c r="O849" i="1" a="1"/>
  <c r="N849" i="1"/>
  <c r="M849" i="1"/>
  <c r="O848" i="1" a="1"/>
  <c r="O848" i="1" s="1"/>
  <c r="N848" i="1"/>
  <c r="M848" i="1"/>
  <c r="O847" i="1" a="1"/>
  <c r="O847" i="1" s="1"/>
  <c r="N847" i="1"/>
  <c r="M847" i="1"/>
  <c r="O846" i="1"/>
  <c r="O846" i="1" a="1"/>
  <c r="N846" i="1"/>
  <c r="M846" i="1"/>
  <c r="O845" i="1" a="1"/>
  <c r="O845" i="1" s="1"/>
  <c r="N845" i="1"/>
  <c r="M845" i="1"/>
  <c r="O844" i="1" a="1"/>
  <c r="O844" i="1" s="1"/>
  <c r="N844" i="1"/>
  <c r="M844" i="1"/>
  <c r="O843" i="1" a="1"/>
  <c r="O843" i="1" s="1"/>
  <c r="N843" i="1"/>
  <c r="M843" i="1"/>
  <c r="O842" i="1" a="1"/>
  <c r="O842" i="1" s="1"/>
  <c r="N842" i="1"/>
  <c r="M842" i="1"/>
  <c r="O841" i="1" a="1"/>
  <c r="O841" i="1" s="1"/>
  <c r="N841" i="1"/>
  <c r="M841" i="1"/>
  <c r="O840" i="1" a="1"/>
  <c r="O840" i="1" s="1"/>
  <c r="N840" i="1"/>
  <c r="M840" i="1"/>
  <c r="O839" i="1"/>
  <c r="O839" i="1" a="1"/>
  <c r="N839" i="1"/>
  <c r="M839" i="1"/>
  <c r="O838" i="1" a="1"/>
  <c r="O838" i="1" s="1"/>
  <c r="N838" i="1"/>
  <c r="M838" i="1"/>
  <c r="O837" i="1" a="1"/>
  <c r="O837" i="1" s="1"/>
  <c r="N837" i="1"/>
  <c r="M837" i="1"/>
  <c r="O836" i="1"/>
  <c r="O836" i="1" a="1"/>
  <c r="N836" i="1"/>
  <c r="M836" i="1"/>
  <c r="O835" i="1" a="1"/>
  <c r="O835" i="1" s="1"/>
  <c r="N835" i="1"/>
  <c r="M835" i="1"/>
  <c r="O834" i="1" a="1"/>
  <c r="O834" i="1" s="1"/>
  <c r="N834" i="1"/>
  <c r="M834" i="1"/>
  <c r="O833" i="1"/>
  <c r="O833" i="1" a="1"/>
  <c r="N833" i="1"/>
  <c r="M833" i="1"/>
  <c r="O832" i="1"/>
  <c r="O832" i="1" a="1"/>
  <c r="N832" i="1"/>
  <c r="M832" i="1"/>
  <c r="O831" i="1" a="1"/>
  <c r="O831" i="1" s="1"/>
  <c r="N831" i="1"/>
  <c r="M831" i="1"/>
  <c r="O830" i="1" a="1"/>
  <c r="O830" i="1" s="1"/>
  <c r="N830" i="1"/>
  <c r="M830" i="1"/>
  <c r="O829" i="1" a="1"/>
  <c r="O829" i="1" s="1"/>
  <c r="N829" i="1"/>
  <c r="M829" i="1"/>
  <c r="O828" i="1" a="1"/>
  <c r="O828" i="1" s="1"/>
  <c r="N828" i="1"/>
  <c r="M828" i="1"/>
  <c r="O827" i="1" a="1"/>
  <c r="O827" i="1" s="1"/>
  <c r="N827" i="1"/>
  <c r="M827" i="1"/>
  <c r="O826" i="1" a="1"/>
  <c r="O826" i="1" s="1"/>
  <c r="N826" i="1"/>
  <c r="M826" i="1"/>
  <c r="O825" i="1"/>
  <c r="O825" i="1" a="1"/>
  <c r="N825" i="1"/>
  <c r="M825" i="1"/>
  <c r="O824" i="1" a="1"/>
  <c r="O824" i="1" s="1"/>
  <c r="N824" i="1"/>
  <c r="M824" i="1"/>
  <c r="O823" i="1"/>
  <c r="O823" i="1" a="1"/>
  <c r="N823" i="1"/>
  <c r="M823" i="1"/>
  <c r="O822" i="1" a="1"/>
  <c r="O822" i="1" s="1"/>
  <c r="N822" i="1"/>
  <c r="M822" i="1"/>
  <c r="O821" i="1"/>
  <c r="O821" i="1" a="1"/>
  <c r="N821" i="1"/>
  <c r="M821" i="1"/>
  <c r="O820" i="1"/>
  <c r="O820" i="1" a="1"/>
  <c r="N820" i="1"/>
  <c r="M820" i="1"/>
  <c r="O819" i="1" a="1"/>
  <c r="O819" i="1" s="1"/>
  <c r="N819" i="1"/>
  <c r="M819" i="1"/>
  <c r="O818" i="1"/>
  <c r="O818" i="1" a="1"/>
  <c r="N818" i="1"/>
  <c r="M818" i="1"/>
  <c r="O817" i="1" a="1"/>
  <c r="O817" i="1" s="1"/>
  <c r="N817" i="1"/>
  <c r="M817" i="1"/>
  <c r="O816" i="1"/>
  <c r="O816" i="1" a="1"/>
  <c r="N816" i="1"/>
  <c r="M816" i="1"/>
  <c r="O815" i="1" a="1"/>
  <c r="O815" i="1" s="1"/>
  <c r="N815" i="1"/>
  <c r="M815" i="1"/>
  <c r="O814" i="1"/>
  <c r="O814" i="1" a="1"/>
  <c r="N814" i="1"/>
  <c r="M814" i="1"/>
  <c r="O813" i="1"/>
  <c r="O813" i="1" a="1"/>
  <c r="N813" i="1"/>
  <c r="M813" i="1"/>
  <c r="O812" i="1" a="1"/>
  <c r="O812" i="1" s="1"/>
  <c r="N812" i="1"/>
  <c r="M812" i="1"/>
  <c r="O811" i="1"/>
  <c r="O811" i="1" a="1"/>
  <c r="N811" i="1"/>
  <c r="M811" i="1"/>
  <c r="O810" i="1" a="1"/>
  <c r="O810" i="1" s="1"/>
  <c r="N810" i="1"/>
  <c r="M810" i="1"/>
  <c r="O809" i="1"/>
  <c r="O809" i="1" a="1"/>
  <c r="N809" i="1"/>
  <c r="M809" i="1"/>
  <c r="O808" i="1" a="1"/>
  <c r="O808" i="1" s="1"/>
  <c r="N808" i="1"/>
  <c r="M808" i="1"/>
  <c r="O807" i="1" a="1"/>
  <c r="O807" i="1" s="1"/>
  <c r="N807" i="1"/>
  <c r="M807" i="1"/>
  <c r="O806" i="1" a="1"/>
  <c r="O806" i="1" s="1"/>
  <c r="N806" i="1"/>
  <c r="M806" i="1"/>
  <c r="O805" i="1" a="1"/>
  <c r="O805" i="1" s="1"/>
  <c r="N805" i="1"/>
  <c r="M805" i="1"/>
  <c r="O804" i="1"/>
  <c r="O804" i="1" a="1"/>
  <c r="N804" i="1"/>
  <c r="M804" i="1"/>
  <c r="O803" i="1" a="1"/>
  <c r="O803" i="1" s="1"/>
  <c r="N803" i="1"/>
  <c r="M803" i="1"/>
  <c r="O802" i="1" a="1"/>
  <c r="O802" i="1" s="1"/>
  <c r="N802" i="1"/>
  <c r="M802" i="1"/>
  <c r="O801" i="1" a="1"/>
  <c r="O801" i="1" s="1"/>
  <c r="N801" i="1"/>
  <c r="M801" i="1"/>
  <c r="O800" i="1"/>
  <c r="O800" i="1" a="1"/>
  <c r="N800" i="1"/>
  <c r="M800" i="1"/>
  <c r="O799" i="1" a="1"/>
  <c r="O799" i="1" s="1"/>
  <c r="N799" i="1"/>
  <c r="M799" i="1"/>
  <c r="O798" i="1" a="1"/>
  <c r="O798" i="1" s="1"/>
  <c r="N798" i="1"/>
  <c r="M798" i="1"/>
  <c r="O797" i="1"/>
  <c r="O797" i="1" a="1"/>
  <c r="N797" i="1"/>
  <c r="M797" i="1"/>
  <c r="O796" i="1" a="1"/>
  <c r="O796" i="1" s="1"/>
  <c r="N796" i="1"/>
  <c r="M796" i="1"/>
  <c r="O795" i="1"/>
  <c r="O795" i="1" a="1"/>
  <c r="N795" i="1"/>
  <c r="M795" i="1"/>
  <c r="O794" i="1"/>
  <c r="O794" i="1" a="1"/>
  <c r="N794" i="1"/>
  <c r="M794" i="1"/>
  <c r="O793" i="1" a="1"/>
  <c r="O793" i="1" s="1"/>
  <c r="N793" i="1"/>
  <c r="M793" i="1"/>
  <c r="O792" i="1" a="1"/>
  <c r="O792" i="1" s="1"/>
  <c r="N792" i="1"/>
  <c r="M792" i="1"/>
  <c r="O791" i="1"/>
  <c r="O791" i="1" a="1"/>
  <c r="N791" i="1"/>
  <c r="M791" i="1"/>
  <c r="O790" i="1"/>
  <c r="O790" i="1" a="1"/>
  <c r="N790" i="1"/>
  <c r="M790" i="1"/>
  <c r="O789" i="1" a="1"/>
  <c r="O789" i="1" s="1"/>
  <c r="N789" i="1"/>
  <c r="M789" i="1"/>
  <c r="O788" i="1" a="1"/>
  <c r="O788" i="1" s="1"/>
  <c r="N788" i="1"/>
  <c r="M788" i="1"/>
  <c r="O787" i="1" a="1"/>
  <c r="O787" i="1" s="1"/>
  <c r="N787" i="1"/>
  <c r="M787" i="1"/>
  <c r="O786" i="1" a="1"/>
  <c r="O786" i="1" s="1"/>
  <c r="N786" i="1"/>
  <c r="M786" i="1"/>
  <c r="O785" i="1"/>
  <c r="O785" i="1" a="1"/>
  <c r="N785" i="1"/>
  <c r="M785" i="1"/>
  <c r="O784" i="1" a="1"/>
  <c r="O784" i="1" s="1"/>
  <c r="N784" i="1"/>
  <c r="M784" i="1"/>
  <c r="O783" i="1"/>
  <c r="O783" i="1" a="1"/>
  <c r="N783" i="1"/>
  <c r="M783" i="1"/>
  <c r="O782" i="1" a="1"/>
  <c r="O782" i="1" s="1"/>
  <c r="N782" i="1"/>
  <c r="M782" i="1"/>
  <c r="O781" i="1" a="1"/>
  <c r="O781" i="1" s="1"/>
  <c r="N781" i="1"/>
  <c r="M781" i="1"/>
  <c r="O780" i="1" a="1"/>
  <c r="O780" i="1" s="1"/>
  <c r="N780" i="1"/>
  <c r="M780" i="1"/>
  <c r="O779" i="1" a="1"/>
  <c r="O779" i="1" s="1"/>
  <c r="N779" i="1"/>
  <c r="M779" i="1"/>
  <c r="O778" i="1" a="1"/>
  <c r="O778" i="1" s="1"/>
  <c r="N778" i="1"/>
  <c r="M778" i="1"/>
  <c r="O777" i="1" a="1"/>
  <c r="O777" i="1" s="1"/>
  <c r="N777" i="1"/>
  <c r="M777" i="1"/>
  <c r="O776" i="1"/>
  <c r="O776" i="1" a="1"/>
  <c r="N776" i="1"/>
  <c r="M776" i="1"/>
  <c r="O775" i="1" a="1"/>
  <c r="O775" i="1" s="1"/>
  <c r="N775" i="1"/>
  <c r="M775" i="1"/>
  <c r="O774" i="1" a="1"/>
  <c r="O774" i="1" s="1"/>
  <c r="N774" i="1"/>
  <c r="M774" i="1"/>
  <c r="O773" i="1" a="1"/>
  <c r="O773" i="1" s="1"/>
  <c r="N773" i="1"/>
  <c r="M773" i="1"/>
  <c r="O772" i="1" a="1"/>
  <c r="O772" i="1" s="1"/>
  <c r="N772" i="1"/>
  <c r="M772" i="1"/>
  <c r="O771" i="1" a="1"/>
  <c r="O771" i="1" s="1"/>
  <c r="N771" i="1"/>
  <c r="M771" i="1"/>
  <c r="O770" i="1"/>
  <c r="O770" i="1" a="1"/>
  <c r="N770" i="1"/>
  <c r="M770" i="1"/>
  <c r="O769" i="1"/>
  <c r="O769" i="1" a="1"/>
  <c r="N769" i="1"/>
  <c r="M769" i="1"/>
  <c r="O768" i="1" a="1"/>
  <c r="O768" i="1" s="1"/>
  <c r="N768" i="1"/>
  <c r="M768" i="1"/>
  <c r="O767" i="1"/>
  <c r="O767" i="1" a="1"/>
  <c r="N767" i="1"/>
  <c r="M767" i="1"/>
  <c r="O766" i="1"/>
  <c r="O766" i="1" a="1"/>
  <c r="N766" i="1"/>
  <c r="M766" i="1"/>
  <c r="O765" i="1"/>
  <c r="O765" i="1" a="1"/>
  <c r="N765" i="1"/>
  <c r="M765" i="1"/>
  <c r="O764" i="1"/>
  <c r="O764" i="1" a="1"/>
  <c r="N764" i="1"/>
  <c r="M764" i="1"/>
  <c r="O763" i="1" a="1"/>
  <c r="O763" i="1" s="1"/>
  <c r="N763" i="1"/>
  <c r="M763" i="1"/>
  <c r="O762" i="1"/>
  <c r="O762" i="1" a="1"/>
  <c r="N762" i="1"/>
  <c r="M762" i="1"/>
  <c r="O761" i="1" a="1"/>
  <c r="O761" i="1" s="1"/>
  <c r="N761" i="1"/>
  <c r="M761" i="1"/>
  <c r="O760" i="1" a="1"/>
  <c r="O760" i="1" s="1"/>
  <c r="N760" i="1"/>
  <c r="M760" i="1"/>
  <c r="O759" i="1" a="1"/>
  <c r="O759" i="1" s="1"/>
  <c r="N759" i="1"/>
  <c r="M759" i="1"/>
  <c r="O758" i="1"/>
  <c r="O758" i="1" a="1"/>
  <c r="N758" i="1"/>
  <c r="M758" i="1"/>
  <c r="O757" i="1" a="1"/>
  <c r="O757" i="1" s="1"/>
  <c r="N757" i="1"/>
  <c r="M757" i="1"/>
  <c r="O756" i="1" a="1"/>
  <c r="O756" i="1" s="1"/>
  <c r="N756" i="1"/>
  <c r="M756" i="1"/>
  <c r="O755" i="1"/>
  <c r="O755" i="1" a="1"/>
  <c r="N755" i="1"/>
  <c r="M755" i="1"/>
  <c r="O754" i="1" a="1"/>
  <c r="O754" i="1" s="1"/>
  <c r="N754" i="1"/>
  <c r="M754" i="1"/>
  <c r="O753" i="1"/>
  <c r="O753" i="1" a="1"/>
  <c r="N753" i="1"/>
  <c r="M753" i="1"/>
  <c r="O752" i="1"/>
  <c r="O752" i="1" a="1"/>
  <c r="N752" i="1"/>
  <c r="M752" i="1"/>
  <c r="O751" i="1" a="1"/>
  <c r="O751" i="1" s="1"/>
  <c r="N751" i="1"/>
  <c r="M751" i="1"/>
  <c r="O750" i="1" a="1"/>
  <c r="O750" i="1" s="1"/>
  <c r="N750" i="1"/>
  <c r="M750" i="1"/>
  <c r="O749" i="1" a="1"/>
  <c r="O749" i="1" s="1"/>
  <c r="N749" i="1"/>
  <c r="M749" i="1"/>
  <c r="O748" i="1"/>
  <c r="O748" i="1" a="1"/>
  <c r="N748" i="1"/>
  <c r="M748" i="1"/>
  <c r="O747" i="1" a="1"/>
  <c r="O747" i="1" s="1"/>
  <c r="N747" i="1"/>
  <c r="M747" i="1"/>
  <c r="O746" i="1" a="1"/>
  <c r="O746" i="1" s="1"/>
  <c r="N746" i="1"/>
  <c r="M746" i="1"/>
  <c r="O745" i="1" a="1"/>
  <c r="O745" i="1" s="1"/>
  <c r="N745" i="1"/>
  <c r="M745" i="1"/>
  <c r="O744" i="1" a="1"/>
  <c r="O744" i="1" s="1"/>
  <c r="N744" i="1"/>
  <c r="M744" i="1"/>
  <c r="O743" i="1" a="1"/>
  <c r="O743" i="1" s="1"/>
  <c r="N743" i="1"/>
  <c r="M743" i="1"/>
  <c r="O742" i="1" a="1"/>
  <c r="O742" i="1" s="1"/>
  <c r="N742" i="1"/>
  <c r="M742" i="1"/>
  <c r="O741" i="1"/>
  <c r="O741" i="1" a="1"/>
  <c r="N741" i="1"/>
  <c r="M741" i="1"/>
  <c r="O740" i="1" a="1"/>
  <c r="O740" i="1" s="1"/>
  <c r="N740" i="1"/>
  <c r="M740" i="1"/>
  <c r="O739" i="1" a="1"/>
  <c r="O739" i="1" s="1"/>
  <c r="N739" i="1"/>
  <c r="M739" i="1"/>
  <c r="O738" i="1" a="1"/>
  <c r="O738" i="1" s="1"/>
  <c r="N738" i="1"/>
  <c r="M738" i="1"/>
  <c r="O737" i="1"/>
  <c r="O737" i="1" a="1"/>
  <c r="N737" i="1"/>
  <c r="M737" i="1"/>
  <c r="O736" i="1"/>
  <c r="O736" i="1" a="1"/>
  <c r="N736" i="1"/>
  <c r="M736" i="1"/>
  <c r="O735" i="1"/>
  <c r="O735" i="1" a="1"/>
  <c r="N735" i="1"/>
  <c r="M735" i="1"/>
  <c r="O734" i="1"/>
  <c r="O734" i="1" a="1"/>
  <c r="N734" i="1"/>
  <c r="M734" i="1"/>
  <c r="O733" i="1" a="1"/>
  <c r="O733" i="1" s="1"/>
  <c r="N733" i="1"/>
  <c r="M733" i="1"/>
  <c r="O732" i="1" a="1"/>
  <c r="O732" i="1" s="1"/>
  <c r="N732" i="1"/>
  <c r="M732" i="1"/>
  <c r="O731" i="1" a="1"/>
  <c r="O731" i="1" s="1"/>
  <c r="N731" i="1"/>
  <c r="M731" i="1"/>
  <c r="O730" i="1" a="1"/>
  <c r="O730" i="1" s="1"/>
  <c r="N730" i="1"/>
  <c r="M730" i="1"/>
  <c r="O729" i="1" a="1"/>
  <c r="O729" i="1" s="1"/>
  <c r="N729" i="1"/>
  <c r="M729" i="1"/>
  <c r="O728" i="1" a="1"/>
  <c r="O728" i="1" s="1"/>
  <c r="N728" i="1"/>
  <c r="M728" i="1"/>
  <c r="O727" i="1"/>
  <c r="O727" i="1" a="1"/>
  <c r="N727" i="1"/>
  <c r="M727" i="1"/>
  <c r="O726" i="1" a="1"/>
  <c r="O726" i="1" s="1"/>
  <c r="N726" i="1"/>
  <c r="M726" i="1"/>
  <c r="O725" i="1" a="1"/>
  <c r="O725" i="1" s="1"/>
  <c r="N725" i="1"/>
  <c r="M725" i="1"/>
  <c r="O724" i="1"/>
  <c r="O724" i="1" a="1"/>
  <c r="N724" i="1"/>
  <c r="M724" i="1"/>
  <c r="O723" i="1" a="1"/>
  <c r="O723" i="1" s="1"/>
  <c r="N723" i="1"/>
  <c r="M723" i="1"/>
  <c r="O722" i="1" a="1"/>
  <c r="O722" i="1" s="1"/>
  <c r="N722" i="1"/>
  <c r="M722" i="1"/>
  <c r="O721" i="1" a="1"/>
  <c r="O721" i="1" s="1"/>
  <c r="N721" i="1"/>
  <c r="M721" i="1"/>
  <c r="O720" i="1"/>
  <c r="O720" i="1" a="1"/>
  <c r="N720" i="1"/>
  <c r="M720" i="1"/>
  <c r="O719" i="1" a="1"/>
  <c r="O719" i="1" s="1"/>
  <c r="N719" i="1"/>
  <c r="M719" i="1"/>
  <c r="O718" i="1" a="1"/>
  <c r="O718" i="1" s="1"/>
  <c r="N718" i="1"/>
  <c r="M718" i="1"/>
  <c r="O717" i="1" a="1"/>
  <c r="O717" i="1" s="1"/>
  <c r="N717" i="1"/>
  <c r="M717" i="1"/>
  <c r="O716" i="1"/>
  <c r="O716" i="1" a="1"/>
  <c r="N716" i="1"/>
  <c r="M716" i="1"/>
  <c r="O715" i="1" a="1"/>
  <c r="O715" i="1" s="1"/>
  <c r="N715" i="1"/>
  <c r="M715" i="1"/>
  <c r="O714" i="1" a="1"/>
  <c r="O714" i="1" s="1"/>
  <c r="N714" i="1"/>
  <c r="M714" i="1"/>
  <c r="O713" i="1"/>
  <c r="O713" i="1" a="1"/>
  <c r="N713" i="1"/>
  <c r="M713" i="1"/>
  <c r="O712" i="1" a="1"/>
  <c r="O712" i="1" s="1"/>
  <c r="N712" i="1"/>
  <c r="M712" i="1"/>
  <c r="O711" i="1"/>
  <c r="O711" i="1" a="1"/>
  <c r="N711" i="1"/>
  <c r="M711" i="1"/>
  <c r="O710" i="1" a="1"/>
  <c r="O710" i="1" s="1"/>
  <c r="N710" i="1"/>
  <c r="M710" i="1"/>
  <c r="O709" i="1" a="1"/>
  <c r="O709" i="1" s="1"/>
  <c r="N709" i="1"/>
  <c r="M709" i="1"/>
  <c r="O708" i="1"/>
  <c r="O708" i="1" a="1"/>
  <c r="N708" i="1"/>
  <c r="M708" i="1"/>
  <c r="O707" i="1"/>
  <c r="O707" i="1" a="1"/>
  <c r="N707" i="1"/>
  <c r="M707" i="1"/>
  <c r="O706" i="1"/>
  <c r="O706" i="1" a="1"/>
  <c r="N706" i="1"/>
  <c r="M706" i="1"/>
  <c r="O705" i="1" a="1"/>
  <c r="O705" i="1" s="1"/>
  <c r="N705" i="1"/>
  <c r="M705" i="1"/>
  <c r="O704" i="1" a="1"/>
  <c r="O704" i="1" s="1"/>
  <c r="N704" i="1"/>
  <c r="M704" i="1"/>
  <c r="O703" i="1" a="1"/>
  <c r="O703" i="1" s="1"/>
  <c r="N703" i="1"/>
  <c r="M703" i="1"/>
  <c r="O702" i="1" a="1"/>
  <c r="O702" i="1" s="1"/>
  <c r="N702" i="1"/>
  <c r="M702" i="1"/>
  <c r="O701" i="1"/>
  <c r="O701" i="1" a="1"/>
  <c r="N701" i="1"/>
  <c r="M701" i="1"/>
  <c r="O700" i="1" a="1"/>
  <c r="O700" i="1" s="1"/>
  <c r="N700" i="1"/>
  <c r="M700" i="1"/>
  <c r="O699" i="1"/>
  <c r="O699" i="1" a="1"/>
  <c r="N699" i="1"/>
  <c r="M699" i="1"/>
  <c r="O698" i="1" a="1"/>
  <c r="O698" i="1" s="1"/>
  <c r="N698" i="1"/>
  <c r="M698" i="1"/>
  <c r="O697" i="1" a="1"/>
  <c r="O697" i="1" s="1"/>
  <c r="N697" i="1"/>
  <c r="M697" i="1"/>
  <c r="O696" i="1" a="1"/>
  <c r="O696" i="1" s="1"/>
  <c r="N696" i="1"/>
  <c r="M696" i="1"/>
  <c r="O695" i="1"/>
  <c r="O695" i="1" a="1"/>
  <c r="N695" i="1"/>
  <c r="M695" i="1"/>
  <c r="O694" i="1" a="1"/>
  <c r="O694" i="1" s="1"/>
  <c r="N694" i="1"/>
  <c r="M694" i="1"/>
  <c r="O693" i="1"/>
  <c r="O693" i="1" a="1"/>
  <c r="N693" i="1"/>
  <c r="M693" i="1"/>
  <c r="O692" i="1"/>
  <c r="O692" i="1" a="1"/>
  <c r="N692" i="1"/>
  <c r="M692" i="1"/>
  <c r="O691" i="1" a="1"/>
  <c r="O691" i="1" s="1"/>
  <c r="N691" i="1"/>
  <c r="M691" i="1"/>
  <c r="O690" i="1"/>
  <c r="O690" i="1" a="1"/>
  <c r="N690" i="1"/>
  <c r="M690" i="1"/>
  <c r="O689" i="1" a="1"/>
  <c r="O689" i="1" s="1"/>
  <c r="N689" i="1"/>
  <c r="M689" i="1"/>
  <c r="O688" i="1"/>
  <c r="O688" i="1" a="1"/>
  <c r="N688" i="1"/>
  <c r="M688" i="1"/>
  <c r="O687" i="1" a="1"/>
  <c r="O687" i="1" s="1"/>
  <c r="N687" i="1"/>
  <c r="M687" i="1"/>
  <c r="O686" i="1" a="1"/>
  <c r="O686" i="1" s="1"/>
  <c r="N686" i="1"/>
  <c r="M686" i="1"/>
  <c r="O685" i="1"/>
  <c r="O685" i="1" a="1"/>
  <c r="N685" i="1"/>
  <c r="M685" i="1"/>
  <c r="O684" i="1" a="1"/>
  <c r="O684" i="1" s="1"/>
  <c r="N684" i="1"/>
  <c r="M684" i="1"/>
  <c r="O683" i="1"/>
  <c r="O683" i="1" a="1"/>
  <c r="N683" i="1"/>
  <c r="M683" i="1"/>
  <c r="O682" i="1"/>
  <c r="O682" i="1" a="1"/>
  <c r="N682" i="1"/>
  <c r="M682" i="1"/>
  <c r="O681" i="1" a="1"/>
  <c r="O681" i="1" s="1"/>
  <c r="N681" i="1"/>
  <c r="M681" i="1"/>
  <c r="O680" i="1" a="1"/>
  <c r="O680" i="1" s="1"/>
  <c r="N680" i="1"/>
  <c r="M680" i="1"/>
  <c r="O679" i="1"/>
  <c r="O679" i="1" a="1"/>
  <c r="N679" i="1"/>
  <c r="M679" i="1"/>
  <c r="O678" i="1"/>
  <c r="O678" i="1" a="1"/>
  <c r="N678" i="1"/>
  <c r="M678" i="1"/>
  <c r="O677" i="1" a="1"/>
  <c r="O677" i="1" s="1"/>
  <c r="N677" i="1"/>
  <c r="M677" i="1"/>
  <c r="O676" i="1" a="1"/>
  <c r="O676" i="1" s="1"/>
  <c r="N676" i="1"/>
  <c r="M676" i="1"/>
  <c r="O675" i="1"/>
  <c r="O675" i="1" a="1"/>
  <c r="N675" i="1"/>
  <c r="M675" i="1"/>
  <c r="O674" i="1" a="1"/>
  <c r="O674" i="1" s="1"/>
  <c r="N674" i="1"/>
  <c r="M674" i="1"/>
  <c r="O673" i="1" a="1"/>
  <c r="O673" i="1" s="1"/>
  <c r="N673" i="1"/>
  <c r="M673" i="1"/>
  <c r="O672" i="1" a="1"/>
  <c r="O672" i="1" s="1"/>
  <c r="N672" i="1"/>
  <c r="M672" i="1"/>
  <c r="O671" i="1"/>
  <c r="O671" i="1" a="1"/>
  <c r="N671" i="1"/>
  <c r="M671" i="1"/>
  <c r="O670" i="1" a="1"/>
  <c r="O670" i="1" s="1"/>
  <c r="N670" i="1"/>
  <c r="M670" i="1"/>
  <c r="O669" i="1" a="1"/>
  <c r="O669" i="1" s="1"/>
  <c r="N669" i="1"/>
  <c r="M669" i="1"/>
  <c r="O668" i="1"/>
  <c r="O668" i="1" a="1"/>
  <c r="N668" i="1"/>
  <c r="M668" i="1"/>
  <c r="O667" i="1" a="1"/>
  <c r="O667" i="1" s="1"/>
  <c r="N667" i="1"/>
  <c r="M667" i="1"/>
  <c r="O666" i="1"/>
  <c r="O666" i="1" a="1"/>
  <c r="N666" i="1"/>
  <c r="M666" i="1"/>
  <c r="O665" i="1"/>
  <c r="O665" i="1" a="1"/>
  <c r="N665" i="1"/>
  <c r="M665" i="1"/>
  <c r="O664" i="1"/>
  <c r="O664" i="1" a="1"/>
  <c r="N664" i="1"/>
  <c r="M664" i="1"/>
  <c r="O663" i="1" a="1"/>
  <c r="O663" i="1" s="1"/>
  <c r="N663" i="1"/>
  <c r="M663" i="1"/>
  <c r="O662" i="1" a="1"/>
  <c r="O662" i="1" s="1"/>
  <c r="N662" i="1"/>
  <c r="M662" i="1"/>
  <c r="O661" i="1" a="1"/>
  <c r="O661" i="1" s="1"/>
  <c r="N661" i="1"/>
  <c r="M661" i="1"/>
  <c r="O660" i="1" a="1"/>
  <c r="O660" i="1" s="1"/>
  <c r="N660" i="1"/>
  <c r="M660" i="1"/>
  <c r="O659" i="1" a="1"/>
  <c r="O659" i="1" s="1"/>
  <c r="N659" i="1"/>
  <c r="M659" i="1"/>
  <c r="O658" i="1"/>
  <c r="O658" i="1" a="1"/>
  <c r="N658" i="1"/>
  <c r="M658" i="1"/>
  <c r="O657" i="1"/>
  <c r="O657" i="1" a="1"/>
  <c r="N657" i="1"/>
  <c r="M657" i="1"/>
  <c r="O656" i="1" a="1"/>
  <c r="O656" i="1" s="1"/>
  <c r="N656" i="1"/>
  <c r="M656" i="1"/>
  <c r="O655" i="1"/>
  <c r="O655" i="1" a="1"/>
  <c r="N655" i="1"/>
  <c r="M655" i="1"/>
  <c r="O654" i="1" a="1"/>
  <c r="O654" i="1" s="1"/>
  <c r="N654" i="1"/>
  <c r="M654" i="1"/>
  <c r="O653" i="1"/>
  <c r="O653" i="1" a="1"/>
  <c r="N653" i="1"/>
  <c r="M653" i="1"/>
  <c r="O652" i="1"/>
  <c r="O652" i="1" a="1"/>
  <c r="N652" i="1"/>
  <c r="M652" i="1"/>
  <c r="O651" i="1" a="1"/>
  <c r="O651" i="1" s="1"/>
  <c r="N651" i="1"/>
  <c r="M651" i="1"/>
  <c r="O650" i="1"/>
  <c r="O650" i="1" a="1"/>
  <c r="N650" i="1"/>
  <c r="M650" i="1"/>
  <c r="O649" i="1" a="1"/>
  <c r="O649" i="1" s="1"/>
  <c r="N649" i="1"/>
  <c r="M649" i="1"/>
  <c r="O648" i="1" a="1"/>
  <c r="O648" i="1" s="1"/>
  <c r="N648" i="1"/>
  <c r="M648" i="1"/>
  <c r="O647" i="1" a="1"/>
  <c r="O647" i="1" s="1"/>
  <c r="N647" i="1"/>
  <c r="M647" i="1"/>
  <c r="O646" i="1" a="1"/>
  <c r="O646" i="1" s="1"/>
  <c r="N646" i="1"/>
  <c r="M646" i="1"/>
  <c r="O645" i="1" a="1"/>
  <c r="O645" i="1" s="1"/>
  <c r="N645" i="1"/>
  <c r="M645" i="1"/>
  <c r="O644" i="1" a="1"/>
  <c r="O644" i="1" s="1"/>
  <c r="N644" i="1"/>
  <c r="M644" i="1"/>
  <c r="O643" i="1"/>
  <c r="O643" i="1" a="1"/>
  <c r="N643" i="1"/>
  <c r="M643" i="1"/>
  <c r="O642" i="1" a="1"/>
  <c r="O642" i="1" s="1"/>
  <c r="N642" i="1"/>
  <c r="M642" i="1"/>
  <c r="O641" i="1" a="1"/>
  <c r="O641" i="1" s="1"/>
  <c r="N641" i="1"/>
  <c r="M641" i="1"/>
  <c r="O640" i="1"/>
  <c r="O640" i="1" a="1"/>
  <c r="N640" i="1"/>
  <c r="M640" i="1"/>
  <c r="O639" i="1" a="1"/>
  <c r="O639" i="1" s="1"/>
  <c r="N639" i="1"/>
  <c r="M639" i="1"/>
  <c r="O638" i="1" a="1"/>
  <c r="O638" i="1" s="1"/>
  <c r="N638" i="1"/>
  <c r="M638" i="1"/>
  <c r="O637" i="1"/>
  <c r="O637" i="1" a="1"/>
  <c r="N637" i="1"/>
  <c r="M637" i="1"/>
  <c r="O636" i="1"/>
  <c r="O636" i="1" a="1"/>
  <c r="N636" i="1"/>
  <c r="M636" i="1"/>
  <c r="O635" i="1" a="1"/>
  <c r="O635" i="1" s="1"/>
  <c r="N635" i="1"/>
  <c r="M635" i="1"/>
  <c r="O634" i="1" a="1"/>
  <c r="O634" i="1" s="1"/>
  <c r="N634" i="1"/>
  <c r="M634" i="1"/>
  <c r="O633" i="1"/>
  <c r="O633" i="1" a="1"/>
  <c r="N633" i="1"/>
  <c r="M633" i="1"/>
  <c r="O632" i="1" a="1"/>
  <c r="O632" i="1" s="1"/>
  <c r="N632" i="1"/>
  <c r="M632" i="1"/>
  <c r="O631" i="1" a="1"/>
  <c r="O631" i="1" s="1"/>
  <c r="N631" i="1"/>
  <c r="M631" i="1"/>
  <c r="O630" i="1" a="1"/>
  <c r="O630" i="1" s="1"/>
  <c r="N630" i="1"/>
  <c r="M630" i="1"/>
  <c r="O629" i="1"/>
  <c r="O629" i="1" a="1"/>
  <c r="N629" i="1"/>
  <c r="M629" i="1"/>
  <c r="O628" i="1" a="1"/>
  <c r="O628" i="1" s="1"/>
  <c r="N628" i="1"/>
  <c r="M628" i="1"/>
  <c r="O627" i="1"/>
  <c r="O627" i="1" a="1"/>
  <c r="N627" i="1"/>
  <c r="M627" i="1"/>
  <c r="O626" i="1" a="1"/>
  <c r="O626" i="1" s="1"/>
  <c r="N626" i="1"/>
  <c r="M626" i="1"/>
  <c r="O625" i="1" a="1"/>
  <c r="O625" i="1" s="1"/>
  <c r="N625" i="1"/>
  <c r="M625" i="1"/>
  <c r="O624" i="1"/>
  <c r="O624" i="1" a="1"/>
  <c r="N624" i="1"/>
  <c r="M624" i="1"/>
  <c r="O623" i="1" a="1"/>
  <c r="O623" i="1" s="1"/>
  <c r="N623" i="1"/>
  <c r="M623" i="1"/>
  <c r="O622" i="1"/>
  <c r="O622" i="1" a="1"/>
  <c r="N622" i="1"/>
  <c r="M622" i="1"/>
  <c r="O621" i="1" a="1"/>
  <c r="O621" i="1" s="1"/>
  <c r="N621" i="1"/>
  <c r="M621" i="1"/>
  <c r="O620" i="1" a="1"/>
  <c r="O620" i="1" s="1"/>
  <c r="N620" i="1"/>
  <c r="M620" i="1"/>
  <c r="O619" i="1" a="1"/>
  <c r="O619" i="1" s="1"/>
  <c r="N619" i="1"/>
  <c r="M619" i="1"/>
  <c r="O618" i="1"/>
  <c r="O618" i="1" a="1"/>
  <c r="N618" i="1"/>
  <c r="M618" i="1"/>
  <c r="O617" i="1" a="1"/>
  <c r="O617" i="1" s="1"/>
  <c r="N617" i="1"/>
  <c r="M617" i="1"/>
  <c r="O616" i="1" a="1"/>
  <c r="O616" i="1" s="1"/>
  <c r="N616" i="1"/>
  <c r="M616" i="1"/>
  <c r="O615" i="1"/>
  <c r="O615" i="1" a="1"/>
  <c r="N615" i="1"/>
  <c r="M615" i="1"/>
  <c r="O614" i="1" a="1"/>
  <c r="O614" i="1" s="1"/>
  <c r="N614" i="1"/>
  <c r="M614" i="1"/>
  <c r="O613" i="1" a="1"/>
  <c r="O613" i="1" s="1"/>
  <c r="N613" i="1"/>
  <c r="M613" i="1"/>
  <c r="O612" i="1" a="1"/>
  <c r="O612" i="1" s="1"/>
  <c r="N612" i="1"/>
  <c r="M612" i="1"/>
  <c r="O611" i="1" a="1"/>
  <c r="O611" i="1" s="1"/>
  <c r="N611" i="1"/>
  <c r="M611" i="1"/>
  <c r="O610" i="1" a="1"/>
  <c r="O610" i="1" s="1"/>
  <c r="N610" i="1"/>
  <c r="M610" i="1"/>
  <c r="O609" i="1" a="1"/>
  <c r="O609" i="1" s="1"/>
  <c r="N609" i="1"/>
  <c r="M609" i="1"/>
  <c r="O608" i="1"/>
  <c r="O608" i="1" a="1"/>
  <c r="N608" i="1"/>
  <c r="M608" i="1"/>
  <c r="O607" i="1" a="1"/>
  <c r="O607" i="1" s="1"/>
  <c r="N607" i="1"/>
  <c r="M607" i="1"/>
  <c r="O606" i="1" a="1"/>
  <c r="O606" i="1" s="1"/>
  <c r="N606" i="1"/>
  <c r="M606" i="1"/>
  <c r="O605" i="1" a="1"/>
  <c r="O605" i="1" s="1"/>
  <c r="N605" i="1"/>
  <c r="M605" i="1"/>
  <c r="O604" i="1" a="1"/>
  <c r="O604" i="1" s="1"/>
  <c r="N604" i="1"/>
  <c r="M604" i="1"/>
  <c r="O603" i="1" a="1"/>
  <c r="O603" i="1" s="1"/>
  <c r="N603" i="1"/>
  <c r="M603" i="1"/>
  <c r="O602" i="1" a="1"/>
  <c r="O602" i="1" s="1"/>
  <c r="N602" i="1"/>
  <c r="M602" i="1"/>
  <c r="O601" i="1"/>
  <c r="O601" i="1" a="1"/>
  <c r="N601" i="1"/>
  <c r="M601" i="1"/>
  <c r="O600" i="1" a="1"/>
  <c r="O600" i="1" s="1"/>
  <c r="N600" i="1"/>
  <c r="M600" i="1"/>
  <c r="O599" i="1"/>
  <c r="O599" i="1" a="1"/>
  <c r="N599" i="1"/>
  <c r="M599" i="1"/>
  <c r="O598" i="1"/>
  <c r="O598" i="1" a="1"/>
  <c r="N598" i="1"/>
  <c r="M598" i="1"/>
  <c r="O597" i="1" a="1"/>
  <c r="O597" i="1" s="1"/>
  <c r="N597" i="1"/>
  <c r="M597" i="1"/>
  <c r="O596" i="1"/>
  <c r="O596" i="1" a="1"/>
  <c r="N596" i="1"/>
  <c r="M596" i="1"/>
  <c r="O595" i="1"/>
  <c r="O595" i="1" a="1"/>
  <c r="N595" i="1"/>
  <c r="M595" i="1"/>
  <c r="O594" i="1"/>
  <c r="O594" i="1" a="1"/>
  <c r="N594" i="1"/>
  <c r="M594" i="1"/>
  <c r="O593" i="1" a="1"/>
  <c r="O593" i="1" s="1"/>
  <c r="N593" i="1"/>
  <c r="M593" i="1"/>
  <c r="O592" i="1" a="1"/>
  <c r="O592" i="1" s="1"/>
  <c r="N592" i="1"/>
  <c r="M592" i="1"/>
  <c r="O591" i="1" a="1"/>
  <c r="O591" i="1" s="1"/>
  <c r="N591" i="1"/>
  <c r="M591" i="1"/>
  <c r="O590" i="1" a="1"/>
  <c r="O590" i="1" s="1"/>
  <c r="N590" i="1"/>
  <c r="M590" i="1"/>
  <c r="O589" i="1" a="1"/>
  <c r="O589" i="1" s="1"/>
  <c r="N589" i="1"/>
  <c r="M589" i="1"/>
  <c r="O588" i="1" a="1"/>
  <c r="O588" i="1" s="1"/>
  <c r="N588" i="1"/>
  <c r="M588" i="1"/>
  <c r="O587" i="1"/>
  <c r="O587" i="1" a="1"/>
  <c r="N587" i="1"/>
  <c r="M587" i="1"/>
  <c r="O586" i="1" a="1"/>
  <c r="O586" i="1" s="1"/>
  <c r="N586" i="1"/>
  <c r="M586" i="1"/>
  <c r="O585" i="1" a="1"/>
  <c r="O585" i="1" s="1"/>
  <c r="N585" i="1"/>
  <c r="M585" i="1"/>
  <c r="O584" i="1" a="1"/>
  <c r="O584" i="1" s="1"/>
  <c r="N584" i="1"/>
  <c r="M584" i="1"/>
  <c r="O583" i="1" a="1"/>
  <c r="O583" i="1" s="1"/>
  <c r="N583" i="1"/>
  <c r="M583" i="1"/>
  <c r="O582" i="1" a="1"/>
  <c r="O582" i="1" s="1"/>
  <c r="N582" i="1"/>
  <c r="M582" i="1"/>
  <c r="O581" i="1"/>
  <c r="O581" i="1" a="1"/>
  <c r="N581" i="1"/>
  <c r="M581" i="1"/>
  <c r="O580" i="1"/>
  <c r="O580" i="1" a="1"/>
  <c r="N580" i="1"/>
  <c r="M580" i="1"/>
  <c r="O579" i="1" a="1"/>
  <c r="O579" i="1" s="1"/>
  <c r="N579" i="1"/>
  <c r="M579" i="1"/>
  <c r="O578" i="1"/>
  <c r="O578" i="1" a="1"/>
  <c r="N578" i="1"/>
  <c r="M578" i="1"/>
  <c r="O577" i="1" a="1"/>
  <c r="O577" i="1" s="1"/>
  <c r="N577" i="1"/>
  <c r="M577" i="1"/>
  <c r="O576" i="1" a="1"/>
  <c r="O576" i="1" s="1"/>
  <c r="N576" i="1"/>
  <c r="M576" i="1"/>
  <c r="O575" i="1"/>
  <c r="O575" i="1" a="1"/>
  <c r="N575" i="1"/>
  <c r="M575" i="1"/>
  <c r="O574" i="1" a="1"/>
  <c r="O574" i="1" s="1"/>
  <c r="N574" i="1"/>
  <c r="M574" i="1"/>
  <c r="O573" i="1"/>
  <c r="O573" i="1" a="1"/>
  <c r="N573" i="1"/>
  <c r="M573" i="1"/>
  <c r="O572" i="1" a="1"/>
  <c r="O572" i="1" s="1"/>
  <c r="N572" i="1"/>
  <c r="M572" i="1"/>
  <c r="O571" i="1"/>
  <c r="O571" i="1" a="1"/>
  <c r="N571" i="1"/>
  <c r="M571" i="1"/>
  <c r="O570" i="1"/>
  <c r="O570" i="1" a="1"/>
  <c r="N570" i="1"/>
  <c r="M570" i="1"/>
  <c r="O569" i="1"/>
  <c r="O569" i="1" a="1"/>
  <c r="N569" i="1"/>
  <c r="M569" i="1"/>
  <c r="O568" i="1" a="1"/>
  <c r="O568" i="1" s="1"/>
  <c r="N568" i="1"/>
  <c r="M568" i="1"/>
  <c r="O567" i="1" a="1"/>
  <c r="O567" i="1" s="1"/>
  <c r="N567" i="1"/>
  <c r="M567" i="1"/>
  <c r="O566" i="1"/>
  <c r="O566" i="1" a="1"/>
  <c r="N566" i="1"/>
  <c r="M566" i="1"/>
  <c r="O565" i="1" a="1"/>
  <c r="O565" i="1" s="1"/>
  <c r="N565" i="1"/>
  <c r="M565" i="1"/>
  <c r="O564" i="1" a="1"/>
  <c r="O564" i="1" s="1"/>
  <c r="N564" i="1"/>
  <c r="M564" i="1"/>
  <c r="O563" i="1"/>
  <c r="O563" i="1" a="1"/>
  <c r="N563" i="1"/>
  <c r="M563" i="1"/>
  <c r="O562" i="1" a="1"/>
  <c r="O562" i="1" s="1"/>
  <c r="N562" i="1"/>
  <c r="M562" i="1"/>
  <c r="O561" i="1" a="1"/>
  <c r="O561" i="1" s="1"/>
  <c r="N561" i="1"/>
  <c r="M561" i="1"/>
  <c r="O560" i="1"/>
  <c r="O560" i="1" a="1"/>
  <c r="N560" i="1"/>
  <c r="M560" i="1"/>
  <c r="O559" i="1"/>
  <c r="O559" i="1" a="1"/>
  <c r="N559" i="1"/>
  <c r="M559" i="1"/>
  <c r="O558" i="1" a="1"/>
  <c r="O558" i="1" s="1"/>
  <c r="N558" i="1"/>
  <c r="M558" i="1"/>
  <c r="O557" i="1"/>
  <c r="O557" i="1" a="1"/>
  <c r="N557" i="1"/>
  <c r="M557" i="1"/>
  <c r="O556" i="1"/>
  <c r="O556" i="1" a="1"/>
  <c r="N556" i="1"/>
  <c r="M556" i="1"/>
  <c r="O555" i="1" a="1"/>
  <c r="O555" i="1" s="1"/>
  <c r="N555" i="1"/>
  <c r="M555" i="1"/>
  <c r="O554" i="1" a="1"/>
  <c r="O554" i="1" s="1"/>
  <c r="N554" i="1"/>
  <c r="M554" i="1"/>
  <c r="O553" i="1" a="1"/>
  <c r="O553" i="1" s="1"/>
  <c r="N553" i="1"/>
  <c r="M553" i="1"/>
  <c r="O552" i="1"/>
  <c r="O552" i="1" a="1"/>
  <c r="N552" i="1"/>
  <c r="M552" i="1"/>
  <c r="O551" i="1" a="1"/>
  <c r="O551" i="1" s="1"/>
  <c r="N551" i="1"/>
  <c r="M551" i="1"/>
  <c r="O550" i="1" a="1"/>
  <c r="O550" i="1" s="1"/>
  <c r="N550" i="1"/>
  <c r="M550" i="1"/>
  <c r="O549" i="1" a="1"/>
  <c r="O549" i="1" s="1"/>
  <c r="N549" i="1"/>
  <c r="M549" i="1"/>
  <c r="O548" i="1" a="1"/>
  <c r="O548" i="1" s="1"/>
  <c r="N548" i="1"/>
  <c r="M548" i="1"/>
  <c r="O547" i="1" a="1"/>
  <c r="O547" i="1" s="1"/>
  <c r="N547" i="1"/>
  <c r="M547" i="1"/>
  <c r="O546" i="1" a="1"/>
  <c r="O546" i="1" s="1"/>
  <c r="N546" i="1"/>
  <c r="M546" i="1"/>
  <c r="O545" i="1"/>
  <c r="O545" i="1" a="1"/>
  <c r="N545" i="1"/>
  <c r="M545" i="1"/>
  <c r="O544" i="1" a="1"/>
  <c r="O544" i="1" s="1"/>
  <c r="N544" i="1"/>
  <c r="M544" i="1"/>
  <c r="O543" i="1"/>
  <c r="O543" i="1" a="1"/>
  <c r="N543" i="1"/>
  <c r="M543" i="1"/>
  <c r="O542" i="1" a="1"/>
  <c r="O542" i="1" s="1"/>
  <c r="N542" i="1"/>
  <c r="M542" i="1"/>
  <c r="O541" i="1"/>
  <c r="O541" i="1" a="1"/>
  <c r="N541" i="1"/>
  <c r="M541" i="1"/>
  <c r="O540" i="1"/>
  <c r="O540" i="1" a="1"/>
  <c r="N540" i="1"/>
  <c r="M540" i="1"/>
  <c r="O539" i="1" a="1"/>
  <c r="O539" i="1" s="1"/>
  <c r="N539" i="1"/>
  <c r="M539" i="1"/>
  <c r="O538" i="1"/>
  <c r="O538" i="1" a="1"/>
  <c r="N538" i="1"/>
  <c r="M538" i="1"/>
  <c r="O537" i="1" a="1"/>
  <c r="O537" i="1" s="1"/>
  <c r="N537" i="1"/>
  <c r="M537" i="1"/>
  <c r="O536" i="1" a="1"/>
  <c r="O536" i="1" s="1"/>
  <c r="N536" i="1"/>
  <c r="M536" i="1"/>
  <c r="O535" i="1" a="1"/>
  <c r="O535" i="1" s="1"/>
  <c r="N535" i="1"/>
  <c r="M535" i="1"/>
  <c r="O534" i="1" a="1"/>
  <c r="O534" i="1" s="1"/>
  <c r="N534" i="1"/>
  <c r="M534" i="1"/>
  <c r="O533" i="1"/>
  <c r="O533" i="1" a="1"/>
  <c r="N533" i="1"/>
  <c r="M533" i="1"/>
  <c r="O532" i="1" a="1"/>
  <c r="O532" i="1" s="1"/>
  <c r="N532" i="1"/>
  <c r="M532" i="1"/>
  <c r="O531" i="1"/>
  <c r="O531" i="1" a="1"/>
  <c r="N531" i="1"/>
  <c r="M531" i="1"/>
  <c r="O530" i="1" a="1"/>
  <c r="O530" i="1" s="1"/>
  <c r="N530" i="1"/>
  <c r="M530" i="1"/>
  <c r="O529" i="1" a="1"/>
  <c r="O529" i="1" s="1"/>
  <c r="N529" i="1"/>
  <c r="M529" i="1"/>
  <c r="O528" i="1"/>
  <c r="O528" i="1" a="1"/>
  <c r="N528" i="1"/>
  <c r="M528" i="1"/>
  <c r="O527" i="1" a="1"/>
  <c r="O527" i="1" s="1"/>
  <c r="N527" i="1"/>
  <c r="M527" i="1"/>
  <c r="O526" i="1"/>
  <c r="O526" i="1" a="1"/>
  <c r="N526" i="1"/>
  <c r="M526" i="1"/>
  <c r="O525" i="1" a="1"/>
  <c r="O525" i="1" s="1"/>
  <c r="N525" i="1"/>
  <c r="M525" i="1"/>
  <c r="O524" i="1"/>
  <c r="O524" i="1" a="1"/>
  <c r="N524" i="1"/>
  <c r="M524" i="1"/>
  <c r="O523" i="1" a="1"/>
  <c r="O523" i="1" s="1"/>
  <c r="N523" i="1"/>
  <c r="M523" i="1"/>
  <c r="O522" i="1" a="1"/>
  <c r="O522" i="1" s="1"/>
  <c r="N522" i="1"/>
  <c r="M522" i="1"/>
  <c r="O521" i="1"/>
  <c r="O521" i="1" a="1"/>
  <c r="N521" i="1"/>
  <c r="M521" i="1"/>
  <c r="O520" i="1" a="1"/>
  <c r="O520" i="1" s="1"/>
  <c r="N520" i="1"/>
  <c r="M520" i="1"/>
  <c r="O519" i="1" a="1"/>
  <c r="O519" i="1" s="1"/>
  <c r="N519" i="1"/>
  <c r="M519" i="1"/>
  <c r="O518" i="1" a="1"/>
  <c r="O518" i="1" s="1"/>
  <c r="N518" i="1"/>
  <c r="M518" i="1"/>
  <c r="O517" i="1"/>
  <c r="O517" i="1" a="1"/>
  <c r="N517" i="1"/>
  <c r="M517" i="1"/>
  <c r="O516" i="1" a="1"/>
  <c r="O516" i="1" s="1"/>
  <c r="N516" i="1"/>
  <c r="M516" i="1"/>
  <c r="O515" i="1"/>
  <c r="O515" i="1" a="1"/>
  <c r="N515" i="1"/>
  <c r="M515" i="1"/>
  <c r="O514" i="1" a="1"/>
  <c r="O514" i="1" s="1"/>
  <c r="N514" i="1"/>
  <c r="M514" i="1"/>
  <c r="O513" i="1" a="1"/>
  <c r="O513" i="1" s="1"/>
  <c r="N513" i="1"/>
  <c r="M513" i="1"/>
  <c r="O512" i="1"/>
  <c r="O512" i="1" a="1"/>
  <c r="N512" i="1"/>
  <c r="M512" i="1"/>
  <c r="O511" i="1"/>
  <c r="O511" i="1" a="1"/>
  <c r="N511" i="1"/>
  <c r="M511" i="1"/>
  <c r="O510" i="1"/>
  <c r="O510" i="1" a="1"/>
  <c r="N510" i="1"/>
  <c r="M510" i="1"/>
  <c r="O509" i="1" a="1"/>
  <c r="O509" i="1" s="1"/>
  <c r="N509" i="1"/>
  <c r="M509" i="1"/>
  <c r="O508" i="1" a="1"/>
  <c r="O508" i="1" s="1"/>
  <c r="N508" i="1"/>
  <c r="M508" i="1"/>
  <c r="O507" i="1"/>
  <c r="O507" i="1" a="1"/>
  <c r="N507" i="1"/>
  <c r="M507" i="1"/>
  <c r="O506" i="1" a="1"/>
  <c r="O506" i="1" s="1"/>
  <c r="N506" i="1"/>
  <c r="M506" i="1"/>
  <c r="O505" i="1" a="1"/>
  <c r="O505" i="1" s="1"/>
  <c r="N505" i="1"/>
  <c r="M505" i="1"/>
  <c r="O504" i="1" a="1"/>
  <c r="O504" i="1" s="1"/>
  <c r="N504" i="1"/>
  <c r="M504" i="1"/>
  <c r="O503" i="1"/>
  <c r="O503" i="1" a="1"/>
  <c r="N503" i="1"/>
  <c r="M503" i="1"/>
  <c r="O502" i="1" a="1"/>
  <c r="O502" i="1" s="1"/>
  <c r="N502" i="1"/>
  <c r="M502" i="1"/>
  <c r="O501" i="1" a="1"/>
  <c r="O501" i="1" s="1"/>
  <c r="N501" i="1"/>
  <c r="M501" i="1"/>
  <c r="O500" i="1" a="1"/>
  <c r="O500" i="1" s="1"/>
  <c r="N500" i="1"/>
  <c r="M500" i="1"/>
  <c r="O499" i="1"/>
  <c r="O499" i="1" a="1"/>
  <c r="N499" i="1"/>
  <c r="M499" i="1"/>
  <c r="O498" i="1" a="1"/>
  <c r="O498" i="1" s="1"/>
  <c r="N498" i="1"/>
  <c r="M498" i="1"/>
  <c r="O497" i="1"/>
  <c r="O497" i="1" a="1"/>
  <c r="N497" i="1"/>
  <c r="M497" i="1"/>
  <c r="O496" i="1"/>
  <c r="O496" i="1" a="1"/>
  <c r="N496" i="1"/>
  <c r="M496" i="1"/>
  <c r="O495" i="1" a="1"/>
  <c r="O495" i="1" s="1"/>
  <c r="N495" i="1"/>
  <c r="M495" i="1"/>
  <c r="O494" i="1"/>
  <c r="O494" i="1" a="1"/>
  <c r="N494" i="1"/>
  <c r="M494" i="1"/>
  <c r="O493" i="1" a="1"/>
  <c r="O493" i="1" s="1"/>
  <c r="N493" i="1"/>
  <c r="M493" i="1"/>
  <c r="O492" i="1" a="1"/>
  <c r="O492" i="1" s="1"/>
  <c r="N492" i="1"/>
  <c r="M492" i="1"/>
  <c r="O491" i="1"/>
  <c r="O491" i="1" a="1"/>
  <c r="N491" i="1"/>
  <c r="M491" i="1"/>
  <c r="O490" i="1" a="1"/>
  <c r="O490" i="1" s="1"/>
  <c r="N490" i="1"/>
  <c r="M490" i="1"/>
  <c r="O489" i="1"/>
  <c r="O489" i="1" a="1"/>
  <c r="N489" i="1"/>
  <c r="M489" i="1"/>
  <c r="O488" i="1" a="1"/>
  <c r="O488" i="1" s="1"/>
  <c r="N488" i="1"/>
  <c r="M488" i="1"/>
  <c r="O487" i="1" a="1"/>
  <c r="O487" i="1" s="1"/>
  <c r="N487" i="1"/>
  <c r="M487" i="1"/>
  <c r="O486" i="1"/>
  <c r="O486" i="1" a="1"/>
  <c r="N486" i="1"/>
  <c r="M486" i="1"/>
  <c r="O485" i="1" a="1"/>
  <c r="O485" i="1" s="1"/>
  <c r="N485" i="1"/>
  <c r="M485" i="1"/>
  <c r="O484" i="1" a="1"/>
  <c r="O484" i="1" s="1"/>
  <c r="N484" i="1"/>
  <c r="M484" i="1"/>
  <c r="O483" i="1"/>
  <c r="O483" i="1" a="1"/>
  <c r="N483" i="1"/>
  <c r="M483" i="1"/>
  <c r="O482" i="1"/>
  <c r="O482" i="1" a="1"/>
  <c r="N482" i="1"/>
  <c r="M482" i="1"/>
  <c r="O481" i="1" a="1"/>
  <c r="O481" i="1" s="1"/>
  <c r="N481" i="1"/>
  <c r="M481" i="1"/>
  <c r="O480" i="1" a="1"/>
  <c r="O480" i="1" s="1"/>
  <c r="N480" i="1"/>
  <c r="M480" i="1"/>
  <c r="O479" i="1"/>
  <c r="O479" i="1" a="1"/>
  <c r="N479" i="1"/>
  <c r="M479" i="1"/>
  <c r="O478" i="1" a="1"/>
  <c r="O478" i="1" s="1"/>
  <c r="N478" i="1"/>
  <c r="M478" i="1"/>
  <c r="O477" i="1" a="1"/>
  <c r="O477" i="1" s="1"/>
  <c r="N477" i="1"/>
  <c r="M477" i="1"/>
  <c r="O476" i="1"/>
  <c r="O476" i="1" a="1"/>
  <c r="N476" i="1"/>
  <c r="M476" i="1"/>
  <c r="O475" i="1"/>
  <c r="O475" i="1" a="1"/>
  <c r="N475" i="1"/>
  <c r="M475" i="1"/>
  <c r="O474" i="1" a="1"/>
  <c r="O474" i="1" s="1"/>
  <c r="N474" i="1"/>
  <c r="M474" i="1"/>
  <c r="O473" i="1" a="1"/>
  <c r="O473" i="1" s="1"/>
  <c r="N473" i="1"/>
  <c r="M473" i="1"/>
  <c r="O472" i="1"/>
  <c r="O472" i="1" a="1"/>
  <c r="N472" i="1"/>
  <c r="M472" i="1"/>
  <c r="O471" i="1" a="1"/>
  <c r="O471" i="1" s="1"/>
  <c r="N471" i="1"/>
  <c r="M471" i="1"/>
  <c r="O470" i="1"/>
  <c r="O470" i="1" a="1"/>
  <c r="N470" i="1"/>
  <c r="M470" i="1"/>
  <c r="O469" i="1" a="1"/>
  <c r="O469" i="1" s="1"/>
  <c r="N469" i="1"/>
  <c r="M469" i="1"/>
  <c r="O468" i="1"/>
  <c r="O468" i="1" a="1"/>
  <c r="N468" i="1"/>
  <c r="M468" i="1"/>
  <c r="O467" i="1" a="1"/>
  <c r="O467" i="1" s="1"/>
  <c r="N467" i="1"/>
  <c r="M467" i="1"/>
  <c r="O466" i="1" a="1"/>
  <c r="O466" i="1" s="1"/>
  <c r="N466" i="1"/>
  <c r="M466" i="1"/>
  <c r="O465" i="1" a="1"/>
  <c r="O465" i="1" s="1"/>
  <c r="N465" i="1"/>
  <c r="M465" i="1"/>
  <c r="O464" i="1" a="1"/>
  <c r="O464" i="1" s="1"/>
  <c r="N464" i="1"/>
  <c r="M464" i="1"/>
  <c r="O463" i="1" a="1"/>
  <c r="O463" i="1" s="1"/>
  <c r="N463" i="1"/>
  <c r="M463" i="1"/>
  <c r="O462" i="1" a="1"/>
  <c r="O462" i="1" s="1"/>
  <c r="N462" i="1"/>
  <c r="M462" i="1"/>
  <c r="O461" i="1"/>
  <c r="O461" i="1" a="1"/>
  <c r="N461" i="1"/>
  <c r="M461" i="1"/>
  <c r="O460" i="1" a="1"/>
  <c r="O460" i="1" s="1"/>
  <c r="N460" i="1"/>
  <c r="M460" i="1"/>
  <c r="O459" i="1" a="1"/>
  <c r="O459" i="1" s="1"/>
  <c r="N459" i="1"/>
  <c r="M459" i="1"/>
  <c r="O458" i="1" a="1"/>
  <c r="O458" i="1" s="1"/>
  <c r="N458" i="1"/>
  <c r="M458" i="1"/>
  <c r="O457" i="1"/>
  <c r="O457" i="1" a="1"/>
  <c r="N457" i="1"/>
  <c r="M457" i="1"/>
  <c r="O456" i="1" a="1"/>
  <c r="O456" i="1" s="1"/>
  <c r="N456" i="1"/>
  <c r="M456" i="1"/>
  <c r="O455" i="1" a="1"/>
  <c r="O455" i="1" s="1"/>
  <c r="N455" i="1"/>
  <c r="M455" i="1"/>
  <c r="O454" i="1"/>
  <c r="O454" i="1" a="1"/>
  <c r="N454" i="1"/>
  <c r="M454" i="1"/>
  <c r="O453" i="1" a="1"/>
  <c r="O453" i="1" s="1"/>
  <c r="N453" i="1"/>
  <c r="M453" i="1"/>
  <c r="O452" i="1" a="1"/>
  <c r="O452" i="1" s="1"/>
  <c r="N452" i="1"/>
  <c r="M452" i="1"/>
  <c r="O451" i="1" a="1"/>
  <c r="O451" i="1" s="1"/>
  <c r="N451" i="1"/>
  <c r="M451" i="1"/>
  <c r="O450" i="1" a="1"/>
  <c r="O450" i="1" s="1"/>
  <c r="N450" i="1"/>
  <c r="M450" i="1"/>
  <c r="O449" i="1"/>
  <c r="O449" i="1" a="1"/>
  <c r="N449" i="1"/>
  <c r="M449" i="1"/>
  <c r="O448" i="1" a="1"/>
  <c r="O448" i="1" s="1"/>
  <c r="N448" i="1"/>
  <c r="M448" i="1"/>
  <c r="O447" i="1"/>
  <c r="O447" i="1" a="1"/>
  <c r="N447" i="1"/>
  <c r="M447" i="1"/>
  <c r="O446" i="1" a="1"/>
  <c r="O446" i="1" s="1"/>
  <c r="N446" i="1"/>
  <c r="M446" i="1"/>
  <c r="O445" i="1" a="1"/>
  <c r="O445" i="1" s="1"/>
  <c r="N445" i="1"/>
  <c r="M445" i="1"/>
  <c r="O444" i="1"/>
  <c r="O444" i="1" a="1"/>
  <c r="N444" i="1"/>
  <c r="M444" i="1"/>
  <c r="O443" i="1" a="1"/>
  <c r="O443" i="1" s="1"/>
  <c r="N443" i="1"/>
  <c r="M443" i="1"/>
  <c r="O442" i="1" a="1"/>
  <c r="O442" i="1" s="1"/>
  <c r="N442" i="1"/>
  <c r="M442" i="1"/>
  <c r="O441" i="1"/>
  <c r="O441" i="1" a="1"/>
  <c r="N441" i="1"/>
  <c r="M441" i="1"/>
  <c r="O440" i="1"/>
  <c r="O440" i="1" a="1"/>
  <c r="N440" i="1"/>
  <c r="M440" i="1"/>
  <c r="O439" i="1" a="1"/>
  <c r="O439" i="1" s="1"/>
  <c r="N439" i="1"/>
  <c r="M439" i="1"/>
  <c r="O438" i="1" a="1"/>
  <c r="O438" i="1" s="1"/>
  <c r="N438" i="1"/>
  <c r="M438" i="1"/>
  <c r="O437" i="1" a="1"/>
  <c r="O437" i="1" s="1"/>
  <c r="N437" i="1"/>
  <c r="M437" i="1"/>
  <c r="O436" i="1" a="1"/>
  <c r="O436" i="1" s="1"/>
  <c r="N436" i="1"/>
  <c r="M436" i="1"/>
  <c r="O435" i="1" a="1"/>
  <c r="O435" i="1" s="1"/>
  <c r="N435" i="1"/>
  <c r="M435" i="1"/>
  <c r="O434" i="1" a="1"/>
  <c r="O434" i="1" s="1"/>
  <c r="N434" i="1"/>
  <c r="M434" i="1"/>
  <c r="O433" i="1"/>
  <c r="O433" i="1" a="1"/>
  <c r="N433" i="1"/>
  <c r="M433" i="1"/>
  <c r="O432" i="1" a="1"/>
  <c r="O432" i="1" s="1"/>
  <c r="N432" i="1"/>
  <c r="M432" i="1"/>
  <c r="O431" i="1"/>
  <c r="O431" i="1" a="1"/>
  <c r="N431" i="1"/>
  <c r="M431" i="1"/>
  <c r="O430" i="1"/>
  <c r="O430" i="1" a="1"/>
  <c r="N430" i="1"/>
  <c r="M430" i="1"/>
  <c r="O429" i="1" a="1"/>
  <c r="O429" i="1" s="1"/>
  <c r="N429" i="1"/>
  <c r="M429" i="1"/>
  <c r="O428" i="1"/>
  <c r="O428" i="1" a="1"/>
  <c r="N428" i="1"/>
  <c r="M428" i="1"/>
  <c r="O427" i="1" a="1"/>
  <c r="O427" i="1" s="1"/>
  <c r="N427" i="1"/>
  <c r="M427" i="1"/>
  <c r="O426" i="1"/>
  <c r="O426" i="1" a="1"/>
  <c r="N426" i="1"/>
  <c r="M426" i="1"/>
  <c r="O425" i="1" a="1"/>
  <c r="O425" i="1" s="1"/>
  <c r="N425" i="1"/>
  <c r="M425" i="1"/>
  <c r="O424" i="1" a="1"/>
  <c r="O424" i="1" s="1"/>
  <c r="N424" i="1"/>
  <c r="M424" i="1"/>
  <c r="O423" i="1"/>
  <c r="O423" i="1" a="1"/>
  <c r="N423" i="1"/>
  <c r="M423" i="1"/>
  <c r="O422" i="1" a="1"/>
  <c r="O422" i="1" s="1"/>
  <c r="N422" i="1"/>
  <c r="M422" i="1"/>
  <c r="O421" i="1"/>
  <c r="O421" i="1" a="1"/>
  <c r="N421" i="1"/>
  <c r="M421" i="1"/>
  <c r="O420" i="1"/>
  <c r="O420" i="1" a="1"/>
  <c r="N420" i="1"/>
  <c r="M420" i="1"/>
  <c r="O419" i="1"/>
  <c r="O419" i="1" a="1"/>
  <c r="N419" i="1"/>
  <c r="M419" i="1"/>
  <c r="O418" i="1" a="1"/>
  <c r="O418" i="1" s="1"/>
  <c r="N418" i="1"/>
  <c r="M418" i="1"/>
  <c r="O417" i="1" a="1"/>
  <c r="O417" i="1" s="1"/>
  <c r="N417" i="1"/>
  <c r="M417" i="1"/>
  <c r="O416" i="1" a="1"/>
  <c r="O416" i="1" s="1"/>
  <c r="N416" i="1"/>
  <c r="M416" i="1"/>
  <c r="O415" i="1" a="1"/>
  <c r="O415" i="1" s="1"/>
  <c r="N415" i="1"/>
  <c r="M415" i="1"/>
  <c r="O414" i="1"/>
  <c r="O414" i="1" a="1"/>
  <c r="N414" i="1"/>
  <c r="M414" i="1"/>
  <c r="O413" i="1" a="1"/>
  <c r="O413" i="1" s="1"/>
  <c r="N413" i="1"/>
  <c r="M413" i="1"/>
  <c r="O412" i="1"/>
  <c r="O412" i="1" a="1"/>
  <c r="N412" i="1"/>
  <c r="M412" i="1"/>
  <c r="O411" i="1" a="1"/>
  <c r="O411" i="1" s="1"/>
  <c r="N411" i="1"/>
  <c r="M411" i="1"/>
  <c r="O410" i="1" a="1"/>
  <c r="O410" i="1" s="1"/>
  <c r="N410" i="1"/>
  <c r="M410" i="1"/>
  <c r="O409" i="1" a="1"/>
  <c r="O409" i="1" s="1"/>
  <c r="N409" i="1"/>
  <c r="M409" i="1"/>
  <c r="O408" i="1" a="1"/>
  <c r="O408" i="1" s="1"/>
  <c r="N408" i="1"/>
  <c r="M408" i="1"/>
  <c r="O407" i="1" a="1"/>
  <c r="O407" i="1" s="1"/>
  <c r="N407" i="1"/>
  <c r="M407" i="1"/>
  <c r="O406" i="1" a="1"/>
  <c r="O406" i="1" s="1"/>
  <c r="N406" i="1"/>
  <c r="M406" i="1"/>
  <c r="O405" i="1"/>
  <c r="O405" i="1" a="1"/>
  <c r="N405" i="1"/>
  <c r="M405" i="1"/>
  <c r="O404" i="1" a="1"/>
  <c r="O404" i="1" s="1"/>
  <c r="N404" i="1"/>
  <c r="M404" i="1"/>
  <c r="O403" i="1"/>
  <c r="O403" i="1" a="1"/>
  <c r="N403" i="1"/>
  <c r="M403" i="1"/>
  <c r="O402" i="1"/>
  <c r="O402" i="1" a="1"/>
  <c r="N402" i="1"/>
  <c r="M402" i="1"/>
  <c r="O401" i="1" a="1"/>
  <c r="O401" i="1" s="1"/>
  <c r="N401" i="1"/>
  <c r="M401" i="1"/>
  <c r="O400" i="1"/>
  <c r="O400" i="1" a="1"/>
  <c r="N400" i="1"/>
  <c r="M400" i="1"/>
  <c r="O399" i="1"/>
  <c r="O399" i="1" a="1"/>
  <c r="N399" i="1"/>
  <c r="M399" i="1"/>
  <c r="O398" i="1"/>
  <c r="O398" i="1" a="1"/>
  <c r="N398" i="1"/>
  <c r="M398" i="1"/>
  <c r="O397" i="1" a="1"/>
  <c r="O397" i="1" s="1"/>
  <c r="N397" i="1"/>
  <c r="M397" i="1"/>
  <c r="O396" i="1"/>
  <c r="O396" i="1" a="1"/>
  <c r="N396" i="1"/>
  <c r="M396" i="1"/>
  <c r="O395" i="1" a="1"/>
  <c r="O395" i="1" s="1"/>
  <c r="N395" i="1"/>
  <c r="M395" i="1"/>
  <c r="O394" i="1" a="1"/>
  <c r="O394" i="1" s="1"/>
  <c r="N394" i="1"/>
  <c r="M394" i="1"/>
  <c r="O393" i="1" a="1"/>
  <c r="O393" i="1" s="1"/>
  <c r="N393" i="1"/>
  <c r="M393" i="1"/>
  <c r="O392" i="1" a="1"/>
  <c r="O392" i="1" s="1"/>
  <c r="N392" i="1"/>
  <c r="M392" i="1"/>
  <c r="O391" i="1"/>
  <c r="O391" i="1" a="1"/>
  <c r="N391" i="1"/>
  <c r="M391" i="1"/>
  <c r="O390" i="1" a="1"/>
  <c r="O390" i="1" s="1"/>
  <c r="N390" i="1"/>
  <c r="M390" i="1"/>
  <c r="O389" i="1" a="1"/>
  <c r="O389" i="1" s="1"/>
  <c r="N389" i="1"/>
  <c r="M389" i="1"/>
  <c r="O388" i="1"/>
  <c r="O388" i="1" a="1"/>
  <c r="N388" i="1"/>
  <c r="M388" i="1"/>
  <c r="O387" i="1" a="1"/>
  <c r="O387" i="1" s="1"/>
  <c r="N387" i="1"/>
  <c r="M387" i="1"/>
  <c r="O386" i="1"/>
  <c r="O386" i="1" a="1"/>
  <c r="N386" i="1"/>
  <c r="M386" i="1"/>
  <c r="O385" i="1"/>
  <c r="O385" i="1" a="1"/>
  <c r="N385" i="1"/>
  <c r="M385" i="1"/>
  <c r="O384" i="1"/>
  <c r="O384" i="1" a="1"/>
  <c r="N384" i="1"/>
  <c r="M384" i="1"/>
  <c r="O383" i="1" a="1"/>
  <c r="O383" i="1" s="1"/>
  <c r="N383" i="1"/>
  <c r="M383" i="1"/>
  <c r="O382" i="1"/>
  <c r="O382" i="1" a="1"/>
  <c r="N382" i="1"/>
  <c r="M382" i="1"/>
  <c r="O381" i="1" a="1"/>
  <c r="O381" i="1" s="1"/>
  <c r="N381" i="1"/>
  <c r="M381" i="1"/>
  <c r="O380" i="1" a="1"/>
  <c r="O380" i="1" s="1"/>
  <c r="N380" i="1"/>
  <c r="M380" i="1"/>
  <c r="O379" i="1" a="1"/>
  <c r="O379" i="1" s="1"/>
  <c r="N379" i="1"/>
  <c r="M379" i="1"/>
  <c r="O378" i="1" a="1"/>
  <c r="O378" i="1" s="1"/>
  <c r="N378" i="1"/>
  <c r="M378" i="1"/>
  <c r="O377" i="1"/>
  <c r="O377" i="1" a="1"/>
  <c r="N377" i="1"/>
  <c r="M377" i="1"/>
  <c r="O376" i="1" a="1"/>
  <c r="O376" i="1" s="1"/>
  <c r="N376" i="1"/>
  <c r="M376" i="1"/>
  <c r="O375" i="1" a="1"/>
  <c r="O375" i="1" s="1"/>
  <c r="N375" i="1"/>
  <c r="M375" i="1"/>
  <c r="O374" i="1"/>
  <c r="O374" i="1" a="1"/>
  <c r="N374" i="1"/>
  <c r="M374" i="1"/>
  <c r="O373" i="1"/>
  <c r="O373" i="1" a="1"/>
  <c r="N373" i="1"/>
  <c r="M373" i="1"/>
  <c r="O372" i="1" a="1"/>
  <c r="O372" i="1" s="1"/>
  <c r="N372" i="1"/>
  <c r="M372" i="1"/>
  <c r="O371" i="1"/>
  <c r="O371" i="1" a="1"/>
  <c r="N371" i="1"/>
  <c r="M371" i="1"/>
  <c r="O370" i="1"/>
  <c r="O370" i="1" a="1"/>
  <c r="N370" i="1"/>
  <c r="M370" i="1"/>
  <c r="O369" i="1" a="1"/>
  <c r="O369" i="1" s="1"/>
  <c r="N369" i="1"/>
  <c r="M369" i="1"/>
  <c r="O368" i="1" a="1"/>
  <c r="O368" i="1" s="1"/>
  <c r="N368" i="1"/>
  <c r="M368" i="1"/>
  <c r="O367" i="1" a="1"/>
  <c r="O367" i="1" s="1"/>
  <c r="N367" i="1"/>
  <c r="M367" i="1"/>
  <c r="O366" i="1"/>
  <c r="O366" i="1" a="1"/>
  <c r="N366" i="1"/>
  <c r="M366" i="1"/>
  <c r="O365" i="1" a="1"/>
  <c r="O365" i="1" s="1"/>
  <c r="N365" i="1"/>
  <c r="M365" i="1"/>
  <c r="O364" i="1" a="1"/>
  <c r="O364" i="1" s="1"/>
  <c r="N364" i="1"/>
  <c r="M364" i="1"/>
  <c r="O363" i="1"/>
  <c r="O363" i="1" a="1"/>
  <c r="N363" i="1"/>
  <c r="M363" i="1"/>
  <c r="O362" i="1" a="1"/>
  <c r="O362" i="1" s="1"/>
  <c r="N362" i="1"/>
  <c r="M362" i="1"/>
  <c r="O361" i="1"/>
  <c r="O361" i="1" a="1"/>
  <c r="N361" i="1"/>
  <c r="M361" i="1"/>
  <c r="O360" i="1" a="1"/>
  <c r="O360" i="1" s="1"/>
  <c r="N360" i="1"/>
  <c r="M360" i="1"/>
  <c r="O359" i="1" a="1"/>
  <c r="O359" i="1" s="1"/>
  <c r="N359" i="1"/>
  <c r="M359" i="1"/>
  <c r="O358" i="1" a="1"/>
  <c r="O358" i="1" s="1"/>
  <c r="N358" i="1"/>
  <c r="M358" i="1"/>
  <c r="O357" i="1" a="1"/>
  <c r="O357" i="1" s="1"/>
  <c r="N357" i="1"/>
  <c r="M357" i="1"/>
  <c r="O356" i="1"/>
  <c r="O356" i="1" a="1"/>
  <c r="N356" i="1"/>
  <c r="M356" i="1"/>
  <c r="O355" i="1" a="1"/>
  <c r="O355" i="1" s="1"/>
  <c r="N355" i="1"/>
  <c r="M355" i="1"/>
  <c r="O354" i="1" a="1"/>
  <c r="O354" i="1" s="1"/>
  <c r="N354" i="1"/>
  <c r="M354" i="1"/>
  <c r="O353" i="1"/>
  <c r="O353" i="1" a="1"/>
  <c r="N353" i="1"/>
  <c r="M353" i="1"/>
  <c r="O352" i="1" a="1"/>
  <c r="O352" i="1" s="1"/>
  <c r="N352" i="1"/>
  <c r="M352" i="1"/>
  <c r="O351" i="1" a="1"/>
  <c r="O351" i="1" s="1"/>
  <c r="N351" i="1"/>
  <c r="M351" i="1"/>
  <c r="O350" i="1"/>
  <c r="O350" i="1" a="1"/>
  <c r="N350" i="1"/>
  <c r="M350" i="1"/>
  <c r="O349" i="1"/>
  <c r="O349" i="1" a="1"/>
  <c r="N349" i="1"/>
  <c r="M349" i="1"/>
  <c r="O348" i="1" a="1"/>
  <c r="O348" i="1" s="1"/>
  <c r="N348" i="1"/>
  <c r="M348" i="1"/>
  <c r="O347" i="1"/>
  <c r="O347" i="1" a="1"/>
  <c r="N347" i="1"/>
  <c r="M347" i="1"/>
  <c r="O346" i="1" a="1"/>
  <c r="O346" i="1" s="1"/>
  <c r="N346" i="1"/>
  <c r="M346" i="1"/>
  <c r="O345" i="1"/>
  <c r="O345" i="1" a="1"/>
  <c r="N345" i="1"/>
  <c r="M345" i="1"/>
  <c r="O344" i="1"/>
  <c r="O344" i="1" a="1"/>
  <c r="N344" i="1"/>
  <c r="M344" i="1"/>
  <c r="O343" i="1"/>
  <c r="O343" i="1" a="1"/>
  <c r="N343" i="1"/>
  <c r="M343" i="1"/>
  <c r="O342" i="1"/>
  <c r="O342" i="1" a="1"/>
  <c r="N342" i="1"/>
  <c r="M342" i="1"/>
  <c r="O341" i="1" a="1"/>
  <c r="O341" i="1" s="1"/>
  <c r="N341" i="1"/>
  <c r="M341" i="1"/>
  <c r="O340" i="1"/>
  <c r="O340" i="1" a="1"/>
  <c r="N340" i="1"/>
  <c r="M340" i="1"/>
  <c r="O339" i="1" a="1"/>
  <c r="O339" i="1" s="1"/>
  <c r="N339" i="1"/>
  <c r="M339" i="1"/>
  <c r="O338" i="1" a="1"/>
  <c r="O338" i="1" s="1"/>
  <c r="N338" i="1"/>
  <c r="M338" i="1"/>
  <c r="O337" i="1" a="1"/>
  <c r="O337" i="1" s="1"/>
  <c r="N337" i="1"/>
  <c r="M337" i="1"/>
  <c r="O336" i="1"/>
  <c r="O336" i="1" a="1"/>
  <c r="N336" i="1"/>
  <c r="M336" i="1"/>
  <c r="O335" i="1"/>
  <c r="O335" i="1" a="1"/>
  <c r="N335" i="1"/>
  <c r="M335" i="1"/>
  <c r="O334" i="1" a="1"/>
  <c r="O334" i="1" s="1"/>
  <c r="N334" i="1"/>
  <c r="M334" i="1"/>
  <c r="O333" i="1" a="1"/>
  <c r="O333" i="1" s="1"/>
  <c r="N333" i="1"/>
  <c r="M333" i="1"/>
  <c r="O332" i="1"/>
  <c r="O332" i="1" a="1"/>
  <c r="N332" i="1"/>
  <c r="M332" i="1"/>
  <c r="O331" i="1" a="1"/>
  <c r="O331" i="1" s="1"/>
  <c r="N331" i="1"/>
  <c r="M331" i="1"/>
  <c r="O330" i="1" a="1"/>
  <c r="O330" i="1" s="1"/>
  <c r="N330" i="1"/>
  <c r="M330" i="1"/>
  <c r="O329" i="1" a="1"/>
  <c r="O329" i="1" s="1"/>
  <c r="N329" i="1"/>
  <c r="M329" i="1"/>
  <c r="O328" i="1"/>
  <c r="O328" i="1" a="1"/>
  <c r="N328" i="1"/>
  <c r="M328" i="1"/>
  <c r="O327" i="1" a="1"/>
  <c r="O327" i="1" s="1"/>
  <c r="N327" i="1"/>
  <c r="M327" i="1"/>
  <c r="O326" i="1" a="1"/>
  <c r="O326" i="1" s="1"/>
  <c r="N326" i="1"/>
  <c r="M326" i="1"/>
  <c r="O325" i="1"/>
  <c r="O325" i="1" a="1"/>
  <c r="N325" i="1"/>
  <c r="M325" i="1"/>
  <c r="O324" i="1" a="1"/>
  <c r="O324" i="1" s="1"/>
  <c r="N324" i="1"/>
  <c r="M324" i="1"/>
  <c r="O323" i="1" a="1"/>
  <c r="O323" i="1" s="1"/>
  <c r="N323" i="1"/>
  <c r="M323" i="1"/>
  <c r="O322" i="1" a="1"/>
  <c r="O322" i="1" s="1"/>
  <c r="N322" i="1"/>
  <c r="M322" i="1"/>
  <c r="O321" i="1" a="1"/>
  <c r="O321" i="1" s="1"/>
  <c r="N321" i="1"/>
  <c r="M321" i="1"/>
  <c r="O320" i="1"/>
  <c r="O320" i="1" a="1"/>
  <c r="N320" i="1"/>
  <c r="M320" i="1"/>
  <c r="O319" i="1" a="1"/>
  <c r="O319" i="1" s="1"/>
  <c r="N319" i="1"/>
  <c r="M319" i="1"/>
  <c r="O318" i="1"/>
  <c r="O318" i="1" a="1"/>
  <c r="N318" i="1"/>
  <c r="M318" i="1"/>
  <c r="O317" i="1"/>
  <c r="O317" i="1" a="1"/>
  <c r="N317" i="1"/>
  <c r="M317" i="1"/>
  <c r="O316" i="1" a="1"/>
  <c r="O316" i="1" s="1"/>
  <c r="N316" i="1"/>
  <c r="M316" i="1"/>
  <c r="O315" i="1" a="1"/>
  <c r="O315" i="1" s="1"/>
  <c r="N315" i="1"/>
  <c r="M315" i="1"/>
  <c r="O314" i="1"/>
  <c r="O314" i="1" a="1"/>
  <c r="N314" i="1"/>
  <c r="M314" i="1"/>
  <c r="O313" i="1" a="1"/>
  <c r="O313" i="1" s="1"/>
  <c r="N313" i="1"/>
  <c r="M313" i="1"/>
  <c r="O312" i="1" a="1"/>
  <c r="O312" i="1" s="1"/>
  <c r="N312" i="1"/>
  <c r="M312" i="1"/>
  <c r="O311" i="1"/>
  <c r="O311" i="1" a="1"/>
  <c r="N311" i="1"/>
  <c r="M311" i="1"/>
  <c r="O310" i="1" a="1"/>
  <c r="O310" i="1" s="1"/>
  <c r="N310" i="1"/>
  <c r="M310" i="1"/>
  <c r="O309" i="1" a="1"/>
  <c r="O309" i="1" s="1"/>
  <c r="N309" i="1"/>
  <c r="M309" i="1"/>
  <c r="O308" i="1" a="1"/>
  <c r="O308" i="1" s="1"/>
  <c r="N308" i="1"/>
  <c r="M308" i="1"/>
  <c r="O307" i="1" a="1"/>
  <c r="O307" i="1" s="1"/>
  <c r="N307" i="1"/>
  <c r="M307" i="1"/>
  <c r="O306" i="1" a="1"/>
  <c r="O306" i="1" s="1"/>
  <c r="N306" i="1"/>
  <c r="M306" i="1"/>
  <c r="O305" i="1" a="1"/>
  <c r="O305" i="1" s="1"/>
  <c r="N305" i="1"/>
  <c r="M305" i="1"/>
  <c r="O304" i="1"/>
  <c r="O304" i="1" a="1"/>
  <c r="N304" i="1"/>
  <c r="M304" i="1"/>
  <c r="O303" i="1"/>
  <c r="O303" i="1" a="1"/>
  <c r="N303" i="1"/>
  <c r="M303" i="1"/>
  <c r="O302" i="1"/>
  <c r="O302" i="1" a="1"/>
  <c r="N302" i="1"/>
  <c r="M302" i="1"/>
  <c r="O301" i="1" a="1"/>
  <c r="O301" i="1" s="1"/>
  <c r="N301" i="1"/>
  <c r="M301" i="1"/>
  <c r="O300" i="1" a="1"/>
  <c r="O300" i="1" s="1"/>
  <c r="N300" i="1"/>
  <c r="M300" i="1"/>
  <c r="O299" i="1"/>
  <c r="O299" i="1" a="1"/>
  <c r="N299" i="1"/>
  <c r="M299" i="1"/>
  <c r="O298" i="1" a="1"/>
  <c r="O298" i="1" s="1"/>
  <c r="N298" i="1"/>
  <c r="M298" i="1"/>
  <c r="O297" i="1"/>
  <c r="O297" i="1" a="1"/>
  <c r="N297" i="1"/>
  <c r="M297" i="1"/>
  <c r="O296" i="1" a="1"/>
  <c r="O296" i="1" s="1"/>
  <c r="N296" i="1"/>
  <c r="M296" i="1"/>
  <c r="O295" i="1" a="1"/>
  <c r="O295" i="1" s="1"/>
  <c r="N295" i="1"/>
  <c r="M295" i="1"/>
  <c r="O294" i="1" a="1"/>
  <c r="O294" i="1" s="1"/>
  <c r="N294" i="1"/>
  <c r="M294" i="1"/>
  <c r="O293" i="1"/>
  <c r="O293" i="1" a="1"/>
  <c r="N293" i="1"/>
  <c r="M293" i="1"/>
  <c r="O292" i="1" a="1"/>
  <c r="O292" i="1" s="1"/>
  <c r="N292" i="1"/>
  <c r="M292" i="1"/>
  <c r="O291" i="1" a="1"/>
  <c r="O291" i="1" s="1"/>
  <c r="N291" i="1"/>
  <c r="M291" i="1"/>
  <c r="O290" i="1"/>
  <c r="O290" i="1" a="1"/>
  <c r="N290" i="1"/>
  <c r="M290" i="1"/>
  <c r="O289" i="1" a="1"/>
  <c r="O289" i="1" s="1"/>
  <c r="N289" i="1"/>
  <c r="M289" i="1"/>
  <c r="O288" i="1"/>
  <c r="O288" i="1" a="1"/>
  <c r="N288" i="1"/>
  <c r="M288" i="1"/>
  <c r="O287" i="1" a="1"/>
  <c r="O287" i="1" s="1"/>
  <c r="N287" i="1"/>
  <c r="M287" i="1"/>
  <c r="O286" i="1" a="1"/>
  <c r="O286" i="1" s="1"/>
  <c r="N286" i="1"/>
  <c r="M286" i="1"/>
  <c r="O285" i="1" a="1"/>
  <c r="O285" i="1" s="1"/>
  <c r="N285" i="1"/>
  <c r="M285" i="1"/>
  <c r="O284" i="1" a="1"/>
  <c r="O284" i="1" s="1"/>
  <c r="N284" i="1"/>
  <c r="M284" i="1"/>
  <c r="O283" i="1"/>
  <c r="O283" i="1" a="1"/>
  <c r="N283" i="1"/>
  <c r="M283" i="1"/>
  <c r="O282" i="1" a="1"/>
  <c r="O282" i="1" s="1"/>
  <c r="N282" i="1"/>
  <c r="M282" i="1"/>
  <c r="O281" i="1" a="1"/>
  <c r="O281" i="1" s="1"/>
  <c r="N281" i="1"/>
  <c r="M281" i="1"/>
  <c r="O280" i="1" a="1"/>
  <c r="O280" i="1" s="1"/>
  <c r="N280" i="1"/>
  <c r="M280" i="1"/>
  <c r="O279" i="1" a="1"/>
  <c r="O279" i="1" s="1"/>
  <c r="N279" i="1"/>
  <c r="M279" i="1"/>
  <c r="O278" i="1"/>
  <c r="O278" i="1" a="1"/>
  <c r="N278" i="1"/>
  <c r="M278" i="1"/>
  <c r="O277" i="1" a="1"/>
  <c r="O277" i="1" s="1"/>
  <c r="N277" i="1"/>
  <c r="M277" i="1"/>
  <c r="O276" i="1"/>
  <c r="O276" i="1" a="1"/>
  <c r="N276" i="1"/>
  <c r="M276" i="1"/>
  <c r="O275" i="1"/>
  <c r="O275" i="1" a="1"/>
  <c r="N275" i="1"/>
  <c r="M275" i="1"/>
  <c r="O274" i="1" a="1"/>
  <c r="O274" i="1" s="1"/>
  <c r="N274" i="1"/>
  <c r="M274" i="1"/>
  <c r="O273" i="1" a="1"/>
  <c r="O273" i="1" s="1"/>
  <c r="N273" i="1"/>
  <c r="M273" i="1"/>
  <c r="O272" i="1"/>
  <c r="O272" i="1" a="1"/>
  <c r="N272" i="1"/>
  <c r="M272" i="1"/>
  <c r="O271" i="1" a="1"/>
  <c r="O271" i="1" s="1"/>
  <c r="N271" i="1"/>
  <c r="M271" i="1"/>
  <c r="O270" i="1" a="1"/>
  <c r="O270" i="1" s="1"/>
  <c r="N270" i="1"/>
  <c r="M270" i="1"/>
  <c r="O269" i="1"/>
  <c r="O269" i="1" a="1"/>
  <c r="N269" i="1"/>
  <c r="M269" i="1"/>
  <c r="O268" i="1"/>
  <c r="O268" i="1" a="1"/>
  <c r="N268" i="1"/>
  <c r="M268" i="1"/>
  <c r="O267" i="1" a="1"/>
  <c r="O267" i="1" s="1"/>
  <c r="N267" i="1"/>
  <c r="M267" i="1"/>
  <c r="O266" i="1" a="1"/>
  <c r="O266" i="1" s="1"/>
  <c r="N266" i="1"/>
  <c r="M266" i="1"/>
  <c r="O265" i="1" a="1"/>
  <c r="O265" i="1" s="1"/>
  <c r="N265" i="1"/>
  <c r="M265" i="1"/>
  <c r="O264" i="1" a="1"/>
  <c r="O264" i="1" s="1"/>
  <c r="N264" i="1"/>
  <c r="M264" i="1"/>
  <c r="O263" i="1" a="1"/>
  <c r="O263" i="1" s="1"/>
  <c r="N263" i="1"/>
  <c r="M263" i="1"/>
  <c r="O262" i="1"/>
  <c r="O262" i="1" a="1"/>
  <c r="N262" i="1"/>
  <c r="M262" i="1"/>
  <c r="O261" i="1" a="1"/>
  <c r="O261" i="1" s="1"/>
  <c r="N261" i="1"/>
  <c r="M261" i="1"/>
  <c r="O260" i="1"/>
  <c r="O260" i="1" a="1"/>
  <c r="N260" i="1"/>
  <c r="M260" i="1"/>
  <c r="O259" i="1" a="1"/>
  <c r="O259" i="1" s="1"/>
  <c r="N259" i="1"/>
  <c r="M259" i="1"/>
  <c r="O258" i="1" a="1"/>
  <c r="O258" i="1" s="1"/>
  <c r="N258" i="1"/>
  <c r="M258" i="1"/>
  <c r="O257" i="1"/>
  <c r="O257" i="1" a="1"/>
  <c r="N257" i="1"/>
  <c r="M257" i="1"/>
  <c r="O256" i="1" a="1"/>
  <c r="O256" i="1" s="1"/>
  <c r="N256" i="1"/>
  <c r="M256" i="1"/>
  <c r="O255" i="1" a="1"/>
  <c r="O255" i="1" s="1"/>
  <c r="N255" i="1"/>
  <c r="M255" i="1"/>
  <c r="O254" i="1" a="1"/>
  <c r="O254" i="1" s="1"/>
  <c r="N254" i="1"/>
  <c r="M254" i="1"/>
  <c r="O253" i="1"/>
  <c r="O253" i="1" a="1"/>
  <c r="N253" i="1"/>
  <c r="M253" i="1"/>
  <c r="O252" i="1" a="1"/>
  <c r="O252" i="1" s="1"/>
  <c r="N252" i="1"/>
  <c r="M252" i="1"/>
  <c r="O251" i="1" a="1"/>
  <c r="O251" i="1" s="1"/>
  <c r="N251" i="1"/>
  <c r="M251" i="1"/>
  <c r="O250" i="1" a="1"/>
  <c r="O250" i="1" s="1"/>
  <c r="N250" i="1"/>
  <c r="M250" i="1"/>
  <c r="O249" i="1" a="1"/>
  <c r="O249" i="1" s="1"/>
  <c r="N249" i="1"/>
  <c r="M249" i="1"/>
  <c r="O248" i="1" a="1"/>
  <c r="O248" i="1" s="1"/>
  <c r="N248" i="1"/>
  <c r="M248" i="1"/>
  <c r="O247" i="1" a="1"/>
  <c r="O247" i="1" s="1"/>
  <c r="N247" i="1"/>
  <c r="M247" i="1"/>
  <c r="O246" i="1" a="1"/>
  <c r="O246" i="1" s="1"/>
  <c r="N246" i="1"/>
  <c r="M246" i="1"/>
  <c r="O245" i="1" a="1"/>
  <c r="O245" i="1" s="1"/>
  <c r="N245" i="1"/>
  <c r="M245" i="1"/>
  <c r="O244" i="1" a="1"/>
  <c r="O244" i="1" s="1"/>
  <c r="N244" i="1"/>
  <c r="M244" i="1"/>
  <c r="O243" i="1" a="1"/>
  <c r="O243" i="1" s="1"/>
  <c r="N243" i="1"/>
  <c r="M243" i="1"/>
  <c r="O242" i="1" a="1"/>
  <c r="O242" i="1" s="1"/>
  <c r="N242" i="1"/>
  <c r="M242" i="1"/>
  <c r="O241" i="1" a="1"/>
  <c r="O241" i="1" s="1"/>
  <c r="N241" i="1"/>
  <c r="M241" i="1"/>
  <c r="O240" i="1" a="1"/>
  <c r="O240" i="1" s="1"/>
  <c r="N240" i="1"/>
  <c r="M240" i="1"/>
  <c r="O239" i="1" a="1"/>
  <c r="O239" i="1" s="1"/>
  <c r="N239" i="1"/>
  <c r="M239" i="1"/>
  <c r="O238" i="1" a="1"/>
  <c r="O238" i="1" s="1"/>
  <c r="N238" i="1"/>
  <c r="M238" i="1"/>
  <c r="O237" i="1"/>
  <c r="O237" i="1" a="1"/>
  <c r="N237" i="1"/>
  <c r="M237" i="1"/>
  <c r="O236" i="1" a="1"/>
  <c r="O236" i="1" s="1"/>
  <c r="N236" i="1"/>
  <c r="M236" i="1"/>
  <c r="O235" i="1" a="1"/>
  <c r="O235" i="1" s="1"/>
  <c r="N235" i="1"/>
  <c r="M235" i="1"/>
  <c r="O234" i="1"/>
  <c r="O234" i="1" a="1"/>
  <c r="N234" i="1"/>
  <c r="M234" i="1"/>
  <c r="O233" i="1" a="1"/>
  <c r="O233" i="1" s="1"/>
  <c r="N233" i="1"/>
  <c r="M233" i="1"/>
  <c r="O232" i="1" a="1"/>
  <c r="O232" i="1" s="1"/>
  <c r="N232" i="1"/>
  <c r="M232" i="1"/>
  <c r="O231" i="1" a="1"/>
  <c r="O231" i="1" s="1"/>
  <c r="N231" i="1"/>
  <c r="M231" i="1"/>
  <c r="O230" i="1" a="1"/>
  <c r="O230" i="1" s="1"/>
  <c r="N230" i="1"/>
  <c r="M230" i="1"/>
  <c r="O229" i="1" a="1"/>
  <c r="O229" i="1" s="1"/>
  <c r="N229" i="1"/>
  <c r="M229" i="1"/>
  <c r="O228" i="1" a="1"/>
  <c r="O228" i="1" s="1"/>
  <c r="N228" i="1"/>
  <c r="M228" i="1"/>
  <c r="O227" i="1" a="1"/>
  <c r="O227" i="1" s="1"/>
  <c r="N227" i="1"/>
  <c r="M227" i="1"/>
  <c r="O226" i="1" a="1"/>
  <c r="O226" i="1" s="1"/>
  <c r="N226" i="1"/>
  <c r="M226" i="1"/>
  <c r="O225" i="1" a="1"/>
  <c r="O225" i="1" s="1"/>
  <c r="N225" i="1"/>
  <c r="M225" i="1"/>
  <c r="O224" i="1" a="1"/>
  <c r="O224" i="1" s="1"/>
  <c r="N224" i="1"/>
  <c r="M224" i="1"/>
  <c r="O223" i="1" a="1"/>
  <c r="O223" i="1" s="1"/>
  <c r="N223" i="1"/>
  <c r="M223" i="1"/>
  <c r="O222" i="1" a="1"/>
  <c r="O222" i="1" s="1"/>
  <c r="N222" i="1"/>
  <c r="M222" i="1"/>
  <c r="O221" i="1" a="1"/>
  <c r="O221" i="1" s="1"/>
  <c r="N221" i="1"/>
  <c r="M221" i="1"/>
  <c r="O220" i="1"/>
  <c r="O220" i="1" a="1"/>
  <c r="N220" i="1"/>
  <c r="M220" i="1"/>
  <c r="O219" i="1"/>
  <c r="O219" i="1" a="1"/>
  <c r="N219" i="1"/>
  <c r="M219" i="1"/>
  <c r="O218" i="1" a="1"/>
  <c r="O218" i="1" s="1"/>
  <c r="N218" i="1"/>
  <c r="M218" i="1"/>
  <c r="O217" i="1" a="1"/>
  <c r="O217" i="1" s="1"/>
  <c r="N217" i="1"/>
  <c r="M217" i="1"/>
  <c r="O216" i="1"/>
  <c r="O216" i="1" a="1"/>
  <c r="N216" i="1"/>
  <c r="M216" i="1"/>
  <c r="O215" i="1" a="1"/>
  <c r="O215" i="1" s="1"/>
  <c r="N215" i="1"/>
  <c r="M215" i="1"/>
  <c r="O214" i="1" a="1"/>
  <c r="O214" i="1" s="1"/>
  <c r="N214" i="1"/>
  <c r="M214" i="1"/>
  <c r="O213" i="1" a="1"/>
  <c r="O213" i="1" s="1"/>
  <c r="N213" i="1"/>
  <c r="M213" i="1"/>
  <c r="O212" i="1" a="1"/>
  <c r="O212" i="1" s="1"/>
  <c r="N212" i="1"/>
  <c r="M212" i="1"/>
  <c r="O211" i="1" a="1"/>
  <c r="O211" i="1" s="1"/>
  <c r="N211" i="1"/>
  <c r="M211" i="1"/>
  <c r="O210" i="1" a="1"/>
  <c r="O210" i="1" s="1"/>
  <c r="N210" i="1"/>
  <c r="M210" i="1"/>
  <c r="O209" i="1" a="1"/>
  <c r="O209" i="1" s="1"/>
  <c r="N209" i="1"/>
  <c r="M209" i="1"/>
  <c r="O208" i="1" a="1"/>
  <c r="O208" i="1" s="1"/>
  <c r="N208" i="1"/>
  <c r="M208" i="1"/>
  <c r="O207" i="1" a="1"/>
  <c r="O207" i="1" s="1"/>
  <c r="N207" i="1"/>
  <c r="M207" i="1"/>
  <c r="O206" i="1" a="1"/>
  <c r="O206" i="1" s="1"/>
  <c r="N206" i="1"/>
  <c r="M206" i="1"/>
  <c r="O205" i="1"/>
  <c r="O205" i="1" a="1"/>
  <c r="N205" i="1"/>
  <c r="M205" i="1"/>
  <c r="O204" i="1"/>
  <c r="O204" i="1" a="1"/>
  <c r="N204" i="1"/>
  <c r="M204" i="1"/>
  <c r="O203" i="1" a="1"/>
  <c r="O203" i="1" s="1"/>
  <c r="N203" i="1"/>
  <c r="M203" i="1"/>
  <c r="O202" i="1" a="1"/>
  <c r="O202" i="1" s="1"/>
  <c r="N202" i="1"/>
  <c r="M202" i="1"/>
  <c r="O201" i="1"/>
  <c r="O201" i="1" a="1"/>
  <c r="N201" i="1"/>
  <c r="M201" i="1"/>
  <c r="O200" i="1" a="1"/>
  <c r="O200" i="1" s="1"/>
  <c r="N200" i="1"/>
  <c r="M200" i="1"/>
  <c r="O199" i="1" a="1"/>
  <c r="O199" i="1" s="1"/>
  <c r="N199" i="1"/>
  <c r="M199" i="1"/>
  <c r="O198" i="1" a="1"/>
  <c r="O198" i="1" s="1"/>
  <c r="N198" i="1"/>
  <c r="M198" i="1"/>
  <c r="O197" i="1" a="1"/>
  <c r="O197" i="1" s="1"/>
  <c r="N197" i="1"/>
  <c r="M197" i="1"/>
  <c r="O196" i="1" a="1"/>
  <c r="O196" i="1" s="1"/>
  <c r="N196" i="1"/>
  <c r="M196" i="1"/>
  <c r="O195" i="1"/>
  <c r="O195" i="1" a="1"/>
  <c r="N195" i="1"/>
  <c r="M195" i="1"/>
  <c r="O194" i="1" a="1"/>
  <c r="O194" i="1" s="1"/>
  <c r="N194" i="1"/>
  <c r="M194" i="1"/>
  <c r="O193" i="1" a="1"/>
  <c r="O193" i="1" s="1"/>
  <c r="N193" i="1"/>
  <c r="M193" i="1"/>
  <c r="O192" i="1"/>
  <c r="O192" i="1" a="1"/>
  <c r="N192" i="1"/>
  <c r="M192" i="1"/>
  <c r="O191" i="1" a="1"/>
  <c r="O191" i="1" s="1"/>
  <c r="N191" i="1"/>
  <c r="M191" i="1"/>
  <c r="O190" i="1"/>
  <c r="O190" i="1" a="1"/>
  <c r="N190" i="1"/>
  <c r="M190" i="1"/>
  <c r="O189" i="1" a="1"/>
  <c r="O189" i="1" s="1"/>
  <c r="N189" i="1"/>
  <c r="M189" i="1"/>
  <c r="O188" i="1" a="1"/>
  <c r="O188" i="1" s="1"/>
  <c r="N188" i="1"/>
  <c r="M188" i="1"/>
  <c r="O187" i="1" a="1"/>
  <c r="O187" i="1" s="1"/>
  <c r="N187" i="1"/>
  <c r="M187" i="1"/>
  <c r="O186" i="1" a="1"/>
  <c r="O186" i="1" s="1"/>
  <c r="N186" i="1"/>
  <c r="M186" i="1"/>
  <c r="O185" i="1"/>
  <c r="O185" i="1" a="1"/>
  <c r="N185" i="1"/>
  <c r="M185" i="1"/>
  <c r="O184" i="1" a="1"/>
  <c r="O184" i="1" s="1"/>
  <c r="N184" i="1"/>
  <c r="M184" i="1"/>
  <c r="O183" i="1" a="1"/>
  <c r="O183" i="1" s="1"/>
  <c r="N183" i="1"/>
  <c r="M183" i="1"/>
  <c r="O182" i="1" a="1"/>
  <c r="O182" i="1" s="1"/>
  <c r="N182" i="1"/>
  <c r="M182" i="1"/>
  <c r="O181" i="1" a="1"/>
  <c r="O181" i="1" s="1"/>
  <c r="N181" i="1"/>
  <c r="M181" i="1"/>
  <c r="O180" i="1"/>
  <c r="O180" i="1" a="1"/>
  <c r="N180" i="1"/>
  <c r="M180" i="1"/>
  <c r="O179" i="1" a="1"/>
  <c r="O179" i="1" s="1"/>
  <c r="N179" i="1"/>
  <c r="M179" i="1"/>
  <c r="O178" i="1" a="1"/>
  <c r="O178" i="1" s="1"/>
  <c r="N178" i="1"/>
  <c r="M178" i="1"/>
  <c r="O177" i="1"/>
  <c r="O177" i="1" a="1"/>
  <c r="N177" i="1"/>
  <c r="M177" i="1"/>
  <c r="O176" i="1" a="1"/>
  <c r="O176" i="1" s="1"/>
  <c r="N176" i="1"/>
  <c r="M176" i="1"/>
  <c r="O175" i="1" a="1"/>
  <c r="O175" i="1" s="1"/>
  <c r="N175" i="1"/>
  <c r="M175" i="1"/>
  <c r="O174" i="1"/>
  <c r="O174" i="1" a="1"/>
  <c r="N174" i="1"/>
  <c r="M174" i="1"/>
  <c r="O173" i="1" a="1"/>
  <c r="O173" i="1" s="1"/>
  <c r="N173" i="1"/>
  <c r="M173" i="1"/>
  <c r="O172" i="1" a="1"/>
  <c r="O172" i="1" s="1"/>
  <c r="N172" i="1"/>
  <c r="M172" i="1"/>
  <c r="O171" i="1" a="1"/>
  <c r="O171" i="1" s="1"/>
  <c r="N171" i="1"/>
  <c r="M171" i="1"/>
  <c r="O170" i="1"/>
  <c r="O170" i="1" a="1"/>
  <c r="N170" i="1"/>
  <c r="M170" i="1"/>
  <c r="O169" i="1" a="1"/>
  <c r="O169" i="1" s="1"/>
  <c r="N169" i="1"/>
  <c r="M169" i="1"/>
  <c r="O168" i="1" a="1"/>
  <c r="O168" i="1" s="1"/>
  <c r="N168" i="1"/>
  <c r="M168" i="1"/>
  <c r="O167" i="1" a="1"/>
  <c r="O167" i="1" s="1"/>
  <c r="N167" i="1"/>
  <c r="M167" i="1"/>
  <c r="O166" i="1" a="1"/>
  <c r="O166" i="1" s="1"/>
  <c r="N166" i="1"/>
  <c r="M166" i="1"/>
  <c r="O165" i="1" a="1"/>
  <c r="O165" i="1" s="1"/>
  <c r="N165" i="1"/>
  <c r="M165" i="1"/>
  <c r="O164" i="1" a="1"/>
  <c r="O164" i="1" s="1"/>
  <c r="N164" i="1"/>
  <c r="M164" i="1"/>
  <c r="O163" i="1" a="1"/>
  <c r="O163" i="1" s="1"/>
  <c r="N163" i="1"/>
  <c r="M163" i="1"/>
  <c r="O162" i="1"/>
  <c r="O162" i="1" a="1"/>
  <c r="N162" i="1"/>
  <c r="M162" i="1"/>
  <c r="O161" i="1" a="1"/>
  <c r="O161" i="1" s="1"/>
  <c r="N161" i="1"/>
  <c r="M161" i="1"/>
  <c r="O160" i="1" a="1"/>
  <c r="O160" i="1" s="1"/>
  <c r="N160" i="1"/>
  <c r="M160" i="1"/>
  <c r="O159" i="1"/>
  <c r="O159" i="1" a="1"/>
  <c r="N159" i="1"/>
  <c r="M159" i="1"/>
  <c r="O158" i="1" a="1"/>
  <c r="O158" i="1" s="1"/>
  <c r="N158" i="1"/>
  <c r="M158" i="1"/>
  <c r="O157" i="1"/>
  <c r="O157" i="1" a="1"/>
  <c r="N157" i="1"/>
  <c r="M157" i="1"/>
  <c r="O156" i="1" a="1"/>
  <c r="O156" i="1" s="1"/>
  <c r="N156" i="1"/>
  <c r="M156" i="1"/>
  <c r="O155" i="1"/>
  <c r="O155" i="1" a="1"/>
  <c r="N155" i="1"/>
  <c r="M155" i="1"/>
  <c r="O154" i="1" a="1"/>
  <c r="O154" i="1" s="1"/>
  <c r="N154" i="1"/>
  <c r="M154" i="1"/>
  <c r="O153" i="1" a="1"/>
  <c r="O153" i="1" s="1"/>
  <c r="N153" i="1"/>
  <c r="M153" i="1"/>
  <c r="O152" i="1" a="1"/>
  <c r="O152" i="1" s="1"/>
  <c r="N152" i="1"/>
  <c r="M152" i="1"/>
  <c r="O151" i="1" a="1"/>
  <c r="O151" i="1" s="1"/>
  <c r="N151" i="1"/>
  <c r="M151" i="1"/>
  <c r="O150" i="1" a="1"/>
  <c r="O150" i="1" s="1"/>
  <c r="N150" i="1"/>
  <c r="M150" i="1"/>
  <c r="O149" i="1" a="1"/>
  <c r="O149" i="1" s="1"/>
  <c r="N149" i="1"/>
  <c r="M149" i="1"/>
  <c r="O148" i="1" a="1"/>
  <c r="O148" i="1" s="1"/>
  <c r="N148" i="1"/>
  <c r="M148" i="1"/>
  <c r="O147" i="1" a="1"/>
  <c r="O147" i="1" s="1"/>
  <c r="N147" i="1"/>
  <c r="M147" i="1"/>
  <c r="O146" i="1" a="1"/>
  <c r="O146" i="1" s="1"/>
  <c r="N146" i="1"/>
  <c r="M146" i="1"/>
  <c r="O145" i="1" a="1"/>
  <c r="O145" i="1" s="1"/>
  <c r="N145" i="1"/>
  <c r="M145" i="1"/>
  <c r="O144" i="1" a="1"/>
  <c r="O144" i="1" s="1"/>
  <c r="N144" i="1"/>
  <c r="M144" i="1"/>
  <c r="O143" i="1" a="1"/>
  <c r="O143" i="1" s="1"/>
  <c r="N143" i="1"/>
  <c r="M143" i="1"/>
  <c r="O142" i="1"/>
  <c r="O142" i="1" a="1"/>
  <c r="N142" i="1"/>
  <c r="M142" i="1"/>
  <c r="O141" i="1" a="1"/>
  <c r="O141" i="1" s="1"/>
  <c r="N141" i="1"/>
  <c r="M141" i="1"/>
  <c r="O140" i="1" a="1"/>
  <c r="O140" i="1" s="1"/>
  <c r="N140" i="1"/>
  <c r="M140" i="1"/>
  <c r="O139" i="1"/>
  <c r="O139" i="1" a="1"/>
  <c r="N139" i="1"/>
  <c r="M139" i="1"/>
  <c r="O138" i="1" a="1"/>
  <c r="O138" i="1" s="1"/>
  <c r="N138" i="1"/>
  <c r="M138" i="1"/>
  <c r="O137" i="1" a="1"/>
  <c r="O137" i="1" s="1"/>
  <c r="N137" i="1"/>
  <c r="M137" i="1"/>
  <c r="O136" i="1"/>
  <c r="O136" i="1" a="1"/>
  <c r="N136" i="1"/>
  <c r="M136" i="1"/>
  <c r="O135" i="1" a="1"/>
  <c r="O135" i="1" s="1"/>
  <c r="N135" i="1"/>
  <c r="M135" i="1"/>
  <c r="O134" i="1" a="1"/>
  <c r="O134" i="1" s="1"/>
  <c r="N134" i="1"/>
  <c r="M134" i="1"/>
  <c r="O133" i="1" a="1"/>
  <c r="O133" i="1" s="1"/>
  <c r="N133" i="1"/>
  <c r="M133" i="1"/>
  <c r="O132" i="1" a="1"/>
  <c r="O132" i="1" s="1"/>
  <c r="N132" i="1"/>
  <c r="M132" i="1"/>
  <c r="O131" i="1" a="1"/>
  <c r="O131" i="1" s="1"/>
  <c r="N131" i="1"/>
  <c r="M131" i="1"/>
  <c r="O130" i="1" a="1"/>
  <c r="O130" i="1" s="1"/>
  <c r="N130" i="1"/>
  <c r="M130" i="1"/>
  <c r="O129" i="1" a="1"/>
  <c r="O129" i="1" s="1"/>
  <c r="N129" i="1"/>
  <c r="M129" i="1"/>
  <c r="O128" i="1" a="1"/>
  <c r="O128" i="1" s="1"/>
  <c r="N128" i="1"/>
  <c r="M128" i="1"/>
  <c r="O127" i="1"/>
  <c r="O127" i="1" a="1"/>
  <c r="N127" i="1"/>
  <c r="M127" i="1"/>
  <c r="O126" i="1" a="1"/>
  <c r="O126" i="1" s="1"/>
  <c r="N126" i="1"/>
  <c r="M126" i="1"/>
  <c r="O125" i="1" a="1"/>
  <c r="O125" i="1" s="1"/>
  <c r="N125" i="1"/>
  <c r="M125" i="1"/>
  <c r="O124" i="1"/>
  <c r="O124" i="1" a="1"/>
  <c r="N124" i="1"/>
  <c r="M124" i="1"/>
  <c r="O123" i="1" a="1"/>
  <c r="O123" i="1" s="1"/>
  <c r="N123" i="1"/>
  <c r="M123" i="1"/>
  <c r="O122" i="1"/>
  <c r="O122" i="1" a="1"/>
  <c r="N122" i="1"/>
  <c r="M122" i="1"/>
  <c r="O121" i="1"/>
  <c r="O121" i="1" a="1"/>
  <c r="N121" i="1"/>
  <c r="M121" i="1"/>
  <c r="O120" i="1" a="1"/>
  <c r="O120" i="1" s="1"/>
  <c r="N120" i="1"/>
  <c r="M120" i="1"/>
  <c r="O119" i="1" a="1"/>
  <c r="O119" i="1" s="1"/>
  <c r="N119" i="1"/>
  <c r="M119" i="1"/>
  <c r="O118" i="1"/>
  <c r="O118" i="1" a="1"/>
  <c r="N118" i="1"/>
  <c r="M118" i="1"/>
  <c r="O117" i="1" a="1"/>
  <c r="O117" i="1" s="1"/>
  <c r="N117" i="1"/>
  <c r="M117" i="1"/>
  <c r="O116" i="1" a="1"/>
  <c r="O116" i="1" s="1"/>
  <c r="N116" i="1"/>
  <c r="M116" i="1"/>
  <c r="O115" i="1" a="1"/>
  <c r="O115" i="1" s="1"/>
  <c r="N115" i="1"/>
  <c r="M115" i="1"/>
  <c r="O114" i="1" a="1"/>
  <c r="O114" i="1" s="1"/>
  <c r="N114" i="1"/>
  <c r="M114" i="1"/>
  <c r="O113" i="1" a="1"/>
  <c r="O113" i="1" s="1"/>
  <c r="N113" i="1"/>
  <c r="M113" i="1"/>
  <c r="O112" i="1" a="1"/>
  <c r="O112" i="1" s="1"/>
  <c r="N112" i="1"/>
  <c r="M112" i="1"/>
  <c r="O111" i="1" a="1"/>
  <c r="O111" i="1" s="1"/>
  <c r="N111" i="1"/>
  <c r="M111" i="1"/>
  <c r="O110" i="1" a="1"/>
  <c r="O110" i="1" s="1"/>
  <c r="N110" i="1"/>
  <c r="M110" i="1"/>
  <c r="O109" i="1" a="1"/>
  <c r="O109" i="1" s="1"/>
  <c r="N109" i="1"/>
  <c r="M109" i="1"/>
  <c r="O108" i="1" a="1"/>
  <c r="O108" i="1" s="1"/>
  <c r="N108" i="1"/>
  <c r="M108" i="1"/>
  <c r="O107" i="1"/>
  <c r="O107" i="1" a="1"/>
  <c r="N107" i="1"/>
  <c r="M107" i="1"/>
  <c r="O106" i="1"/>
  <c r="O106" i="1" a="1"/>
  <c r="N106" i="1"/>
  <c r="M106" i="1"/>
  <c r="O105" i="1" a="1"/>
  <c r="O105" i="1" s="1"/>
  <c r="N105" i="1"/>
  <c r="M105" i="1"/>
  <c r="O104" i="1" a="1"/>
  <c r="O104" i="1" s="1"/>
  <c r="N104" i="1"/>
  <c r="M104" i="1"/>
  <c r="O103" i="1"/>
  <c r="O103" i="1" a="1"/>
  <c r="N103" i="1"/>
  <c r="M103" i="1"/>
  <c r="O102" i="1" a="1"/>
  <c r="O102" i="1" s="1"/>
  <c r="N102" i="1"/>
  <c r="M102" i="1"/>
  <c r="O101" i="1" a="1"/>
  <c r="O101" i="1" s="1"/>
  <c r="N101" i="1"/>
  <c r="M101" i="1"/>
  <c r="O100" i="1" a="1"/>
  <c r="O100" i="1" s="1"/>
  <c r="N100" i="1"/>
  <c r="M100" i="1"/>
  <c r="O99" i="1" a="1"/>
  <c r="O99" i="1" s="1"/>
  <c r="N99" i="1"/>
  <c r="M99" i="1"/>
  <c r="O98" i="1" a="1"/>
  <c r="O98" i="1" s="1"/>
  <c r="N98" i="1"/>
  <c r="M98" i="1"/>
  <c r="O97" i="1"/>
  <c r="O97" i="1" a="1"/>
  <c r="N97" i="1"/>
  <c r="M97" i="1"/>
  <c r="O96" i="1" a="1"/>
  <c r="O96" i="1" s="1"/>
  <c r="N96" i="1"/>
  <c r="M96" i="1"/>
  <c r="O95" i="1" a="1"/>
  <c r="O95" i="1" s="1"/>
  <c r="N95" i="1"/>
  <c r="M95" i="1"/>
  <c r="O94" i="1"/>
  <c r="O94" i="1" a="1"/>
  <c r="N94" i="1"/>
  <c r="M94" i="1"/>
  <c r="O93" i="1" a="1"/>
  <c r="O93" i="1" s="1"/>
  <c r="N93" i="1"/>
  <c r="M93" i="1"/>
  <c r="O92" i="1"/>
  <c r="O92" i="1" a="1"/>
  <c r="N92" i="1"/>
  <c r="M92" i="1"/>
  <c r="O91" i="1" a="1"/>
  <c r="O91" i="1" s="1"/>
  <c r="N91" i="1"/>
  <c r="M91" i="1"/>
  <c r="O90" i="1" a="1"/>
  <c r="O90" i="1" s="1"/>
  <c r="N90" i="1"/>
  <c r="M90" i="1"/>
  <c r="O89" i="1" a="1"/>
  <c r="O89" i="1" s="1"/>
  <c r="N89" i="1"/>
  <c r="M89" i="1"/>
  <c r="O88" i="1" a="1"/>
  <c r="O88" i="1" s="1"/>
  <c r="N88" i="1"/>
  <c r="M88" i="1"/>
  <c r="O87" i="1"/>
  <c r="O87" i="1" a="1"/>
  <c r="N87" i="1"/>
  <c r="M87" i="1"/>
  <c r="O86" i="1" a="1"/>
  <c r="O86" i="1" s="1"/>
  <c r="N86" i="1"/>
  <c r="M86" i="1"/>
  <c r="O85" i="1" a="1"/>
  <c r="O85" i="1" s="1"/>
  <c r="N85" i="1"/>
  <c r="M85" i="1"/>
  <c r="O84" i="1" a="1"/>
  <c r="O84" i="1" s="1"/>
  <c r="N84" i="1"/>
  <c r="M84" i="1"/>
  <c r="O83" i="1" a="1"/>
  <c r="O83" i="1" s="1"/>
  <c r="N83" i="1"/>
  <c r="M83" i="1"/>
  <c r="O82" i="1"/>
  <c r="O82" i="1" a="1"/>
  <c r="N82" i="1"/>
  <c r="M82" i="1"/>
  <c r="O81" i="1" a="1"/>
  <c r="O81" i="1" s="1"/>
  <c r="N81" i="1"/>
  <c r="M81" i="1"/>
  <c r="O80" i="1" a="1"/>
  <c r="O80" i="1" s="1"/>
  <c r="N80" i="1"/>
  <c r="M80" i="1"/>
  <c r="O79" i="1"/>
  <c r="O79" i="1" a="1"/>
  <c r="N79" i="1"/>
  <c r="M79" i="1"/>
  <c r="O78" i="1" a="1"/>
  <c r="O78" i="1" s="1"/>
  <c r="N78" i="1"/>
  <c r="M78" i="1"/>
  <c r="O77" i="1" a="1"/>
  <c r="O77" i="1" s="1"/>
  <c r="N77" i="1"/>
  <c r="M77" i="1"/>
  <c r="O76" i="1"/>
  <c r="O76" i="1" a="1"/>
  <c r="N76" i="1"/>
  <c r="M76" i="1"/>
  <c r="O75" i="1" a="1"/>
  <c r="O75" i="1" s="1"/>
  <c r="N75" i="1"/>
  <c r="M75" i="1"/>
  <c r="O74" i="1" a="1"/>
  <c r="O74" i="1" s="1"/>
  <c r="N74" i="1"/>
  <c r="M74" i="1"/>
  <c r="O73" i="1" a="1"/>
  <c r="O73" i="1" s="1"/>
  <c r="N73" i="1"/>
  <c r="M73" i="1"/>
  <c r="O72" i="1"/>
  <c r="O72" i="1" a="1"/>
  <c r="N72" i="1"/>
  <c r="M72" i="1"/>
  <c r="O71" i="1" a="1"/>
  <c r="O71" i="1" s="1"/>
  <c r="N71" i="1"/>
  <c r="M71" i="1"/>
  <c r="O70" i="1" a="1"/>
  <c r="O70" i="1" s="1"/>
  <c r="N70" i="1"/>
  <c r="M70" i="1"/>
  <c r="O69" i="1" a="1"/>
  <c r="O69" i="1" s="1"/>
  <c r="N69" i="1"/>
  <c r="M69" i="1"/>
  <c r="O68" i="1" a="1"/>
  <c r="O68" i="1" s="1"/>
  <c r="N68" i="1"/>
  <c r="M68" i="1"/>
  <c r="O67" i="1" a="1"/>
  <c r="O67" i="1" s="1"/>
  <c r="N67" i="1"/>
  <c r="M67" i="1"/>
  <c r="O66" i="1" a="1"/>
  <c r="O66" i="1" s="1"/>
  <c r="N66" i="1"/>
  <c r="M66" i="1"/>
  <c r="O65" i="1" a="1"/>
  <c r="O65" i="1" s="1"/>
  <c r="N65" i="1"/>
  <c r="M65" i="1"/>
  <c r="O64" i="1"/>
  <c r="O64" i="1" a="1"/>
  <c r="N64" i="1"/>
  <c r="M64" i="1"/>
  <c r="O63" i="1" a="1"/>
  <c r="O63" i="1" s="1"/>
  <c r="N63" i="1"/>
  <c r="M63" i="1"/>
  <c r="O62" i="1" a="1"/>
  <c r="O62" i="1" s="1"/>
  <c r="N62" i="1"/>
  <c r="M62" i="1"/>
  <c r="O61" i="1"/>
  <c r="O61" i="1" a="1"/>
  <c r="N61" i="1"/>
  <c r="M61" i="1"/>
  <c r="O60" i="1" a="1"/>
  <c r="O60" i="1" s="1"/>
  <c r="N60" i="1"/>
  <c r="M60" i="1"/>
  <c r="O59" i="1"/>
  <c r="O59" i="1" a="1"/>
  <c r="N59" i="1"/>
  <c r="M59" i="1"/>
  <c r="O58" i="1" a="1"/>
  <c r="O58" i="1" s="1"/>
  <c r="N58" i="1"/>
  <c r="M58" i="1"/>
  <c r="O57" i="1"/>
  <c r="O57" i="1" a="1"/>
  <c r="N57" i="1"/>
  <c r="M57" i="1"/>
  <c r="O56" i="1" a="1"/>
  <c r="O56" i="1" s="1"/>
  <c r="N56" i="1"/>
  <c r="M56" i="1"/>
  <c r="O55" i="1" a="1"/>
  <c r="O55" i="1" s="1"/>
  <c r="N55" i="1"/>
  <c r="M55" i="1"/>
  <c r="O54" i="1" a="1"/>
  <c r="O54" i="1" s="1"/>
  <c r="N54" i="1"/>
  <c r="M54" i="1"/>
  <c r="O53" i="1" a="1"/>
  <c r="O53" i="1" s="1"/>
  <c r="N53" i="1"/>
  <c r="M53" i="1"/>
  <c r="O52" i="1" a="1"/>
  <c r="O52" i="1" s="1"/>
  <c r="N52" i="1"/>
  <c r="M52" i="1"/>
  <c r="O51" i="1" a="1"/>
  <c r="O51" i="1" s="1"/>
  <c r="N51" i="1"/>
  <c r="M51" i="1"/>
  <c r="O50" i="1" a="1"/>
  <c r="O50" i="1" s="1"/>
  <c r="N50" i="1"/>
  <c r="M50" i="1"/>
  <c r="O49" i="1" a="1"/>
  <c r="O49" i="1" s="1"/>
  <c r="N49" i="1"/>
  <c r="M49" i="1"/>
  <c r="O48" i="1" a="1"/>
  <c r="O48" i="1" s="1"/>
  <c r="N48" i="1"/>
  <c r="M48" i="1"/>
  <c r="O47" i="1" a="1"/>
  <c r="O47" i="1" s="1"/>
  <c r="N47" i="1"/>
  <c r="M47" i="1"/>
  <c r="O46" i="1" a="1"/>
  <c r="O46" i="1" s="1"/>
  <c r="N46" i="1"/>
  <c r="M46" i="1"/>
  <c r="O45" i="1" a="1"/>
  <c r="O45" i="1" s="1"/>
  <c r="N45" i="1"/>
  <c r="M45" i="1"/>
  <c r="O44" i="1"/>
  <c r="O44" i="1" a="1"/>
  <c r="N44" i="1"/>
  <c r="M44" i="1"/>
  <c r="O43" i="1" a="1"/>
  <c r="O43" i="1" s="1"/>
  <c r="N43" i="1"/>
  <c r="M43" i="1"/>
  <c r="O42" i="1" a="1"/>
  <c r="O42" i="1" s="1"/>
  <c r="N42" i="1"/>
  <c r="M42" i="1"/>
  <c r="O41" i="1"/>
  <c r="O41" i="1" a="1"/>
  <c r="N41" i="1"/>
  <c r="M41" i="1"/>
  <c r="O40" i="1" a="1"/>
  <c r="O40" i="1" s="1"/>
  <c r="N40" i="1"/>
  <c r="M40" i="1"/>
  <c r="O39" i="1" a="1"/>
  <c r="O39" i="1" s="1"/>
  <c r="N39" i="1"/>
  <c r="M39" i="1"/>
  <c r="O38" i="1"/>
  <c r="O38" i="1" a="1"/>
  <c r="N38" i="1"/>
  <c r="M38" i="1"/>
  <c r="O37" i="1" a="1"/>
  <c r="O37" i="1" s="1"/>
  <c r="N37" i="1"/>
  <c r="M37" i="1"/>
  <c r="O36" i="1" a="1"/>
  <c r="O36" i="1" s="1"/>
  <c r="N36" i="1"/>
  <c r="M36" i="1"/>
  <c r="O35" i="1" a="1"/>
  <c r="O35" i="1" s="1"/>
  <c r="N35" i="1"/>
  <c r="M35" i="1"/>
  <c r="O34" i="1" a="1"/>
  <c r="O34" i="1" s="1"/>
  <c r="N34" i="1"/>
  <c r="M34" i="1"/>
  <c r="O33" i="1" a="1"/>
  <c r="O33" i="1" s="1"/>
  <c r="N33" i="1"/>
  <c r="M33" i="1"/>
  <c r="O32" i="1" a="1"/>
  <c r="O32" i="1" s="1"/>
  <c r="N32" i="1"/>
  <c r="M32" i="1"/>
  <c r="O31" i="1" a="1"/>
  <c r="O31" i="1" s="1"/>
  <c r="N31" i="1"/>
  <c r="M31" i="1"/>
  <c r="O30" i="1" a="1"/>
  <c r="O30" i="1" s="1"/>
  <c r="N30" i="1"/>
  <c r="M30" i="1"/>
  <c r="O29" i="1"/>
  <c r="O29" i="1" a="1"/>
  <c r="N29" i="1"/>
  <c r="M29" i="1"/>
  <c r="O28" i="1" a="1"/>
  <c r="O28" i="1" s="1"/>
  <c r="N28" i="1"/>
  <c r="M28" i="1"/>
  <c r="O27" i="1" a="1"/>
  <c r="O27" i="1" s="1"/>
  <c r="N27" i="1"/>
  <c r="M27" i="1"/>
  <c r="O26" i="1" a="1"/>
  <c r="O26" i="1" s="1"/>
  <c r="N26" i="1"/>
  <c r="M26" i="1"/>
  <c r="O25" i="1" a="1"/>
  <c r="O25" i="1" s="1"/>
  <c r="N25" i="1"/>
  <c r="M25" i="1"/>
  <c r="O24" i="1"/>
  <c r="O24" i="1" a="1"/>
  <c r="N24" i="1"/>
  <c r="M24" i="1"/>
  <c r="O23" i="1"/>
  <c r="O23" i="1" a="1"/>
  <c r="N23" i="1"/>
  <c r="M23" i="1"/>
  <c r="O22" i="1" a="1"/>
  <c r="O22" i="1" s="1"/>
  <c r="N22" i="1"/>
  <c r="M22" i="1"/>
  <c r="O21" i="1" a="1"/>
  <c r="O21" i="1" s="1"/>
  <c r="N21" i="1"/>
  <c r="M21" i="1"/>
  <c r="O20" i="1"/>
  <c r="O20" i="1" a="1"/>
  <c r="N20" i="1"/>
  <c r="M20" i="1"/>
  <c r="O19" i="1" a="1"/>
  <c r="O19" i="1" s="1"/>
  <c r="N19" i="1"/>
  <c r="M19" i="1"/>
  <c r="O18" i="1" a="1"/>
  <c r="O18" i="1" s="1"/>
  <c r="N18" i="1"/>
  <c r="M18" i="1"/>
  <c r="O17" i="1" a="1"/>
  <c r="O17" i="1" s="1"/>
  <c r="N17" i="1"/>
  <c r="M17" i="1"/>
  <c r="O16" i="1" a="1"/>
  <c r="O16" i="1" s="1"/>
  <c r="N16" i="1"/>
  <c r="M16" i="1"/>
  <c r="O15" i="1" a="1"/>
  <c r="O15" i="1" s="1"/>
  <c r="N15" i="1"/>
  <c r="M15" i="1"/>
  <c r="O14" i="1" a="1"/>
  <c r="O14" i="1" s="1"/>
  <c r="N14" i="1"/>
  <c r="M14" i="1"/>
  <c r="O13" i="1" a="1"/>
  <c r="O13" i="1" s="1"/>
  <c r="N13" i="1"/>
  <c r="M13" i="1"/>
  <c r="O12" i="1" a="1"/>
  <c r="O12" i="1" s="1"/>
  <c r="N12" i="1"/>
  <c r="M12" i="1"/>
  <c r="O11" i="1" a="1"/>
  <c r="O11" i="1" s="1"/>
  <c r="N11" i="1"/>
  <c r="M11" i="1"/>
  <c r="O10" i="1" a="1"/>
  <c r="O10" i="1" s="1"/>
  <c r="N10" i="1"/>
  <c r="M10" i="1"/>
  <c r="O9" i="1"/>
  <c r="O9" i="1" a="1"/>
  <c r="N9" i="1"/>
  <c r="M9" i="1"/>
  <c r="O8" i="1"/>
  <c r="O8" i="1" a="1"/>
  <c r="N8" i="1"/>
  <c r="M8" i="1"/>
  <c r="O7" i="1" a="1"/>
  <c r="O7" i="1" s="1"/>
  <c r="N7" i="1"/>
  <c r="M7" i="1"/>
  <c r="O6" i="1" a="1"/>
  <c r="O6" i="1" s="1"/>
  <c r="N6" i="1"/>
  <c r="M6" i="1"/>
  <c r="O5" i="1"/>
  <c r="O5" i="1" a="1"/>
  <c r="N5" i="1"/>
  <c r="M5" i="1"/>
  <c r="O4" i="1" a="1"/>
  <c r="O4" i="1" s="1"/>
  <c r="N4" i="1"/>
  <c r="M4" i="1"/>
  <c r="O3" i="1" a="1"/>
  <c r="O3" i="1" s="1"/>
  <c r="N3" i="1"/>
  <c r="M3" i="1"/>
  <c r="O2" i="1" a="1"/>
  <c r="O2" i="1" s="1"/>
  <c r="N2" i="1"/>
  <c r="M2" i="1"/>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<sst xmlns="http://schemas.openxmlformats.org/spreadsheetml/2006/main" count="14884" uniqueCount="2539">
  <si>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</si>
  <si>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</si>
  <si>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</si>
  <si>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</si>
  <si>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</si>
  <si>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</si>
  <si>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</si>
  <si>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</si>
  <si>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</si>
  <si>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</si>
  <si>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</si>
  <si>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</si>
  <si>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</si>
  <si>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</si>
  <si>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</si>
  <si>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</si>
  <si>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</si>
  <si>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</si>
  <si>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</si>
  <si>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</si>
  <si>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</si>
  <si>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</si>
  <si>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</si>
  <si>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</si>
  <si>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</si>
  <si>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</si>
  <si>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</si>
  <si>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</si>
  <si>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</si>
  <si>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</si>
  <si>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</si>
  <si>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</si>
  <si>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</si>
  <si>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</si>
  <si>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</si>
  <si>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</si>
  <si>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</si>
  <si>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</si>
  <si>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</si>
  <si>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</si>
  <si>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</si>
  <si>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</si>
  <si>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</si>
  <si>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</si>
  <si>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</si>
  <si>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</si>
  <si>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</si>
  <si>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</si>
  <si>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</si>
  <si>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</si>
  <si>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</si>
  <si>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</si>
  <si>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</si>
  <si>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</si>
  <si>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</si>
  <si>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</si>
  <si>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</si>
  <si>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</si>
  <si>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</si>
  <si>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</si>
  <si>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</si>
  <si>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</si>
  <si>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</si>
  <si>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</si>
  <si>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</si>
  <si>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</si>
  <si>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</si>
  <si>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</si>
  <si>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</si>
  <si>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</si>
  <si>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</si>
  <si>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</si>
  <si>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</si>
  <si>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</si>
  <si>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</si>
  <si>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</si>
  <si>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</si>
  <si>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</si>
  <si>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</si>
  <si>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</si>
  <si>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</si>
  <si>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</si>
  <si>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</si>
  <si>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</si>
  <si>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</si>
  <si>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</si>
  <si>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</si>
  <si>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</si>
  <si>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</si>
  <si>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</si>
  <si>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</si>
  <si>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</si>
  <si>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</si>
  <si>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</si>
  <si>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</si>
  <si>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</si>
  <si>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</si>
  <si>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</si>
  <si>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</si>
  <si>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</si>
  <si>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</si>
  <si>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</si>
  <si>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</si>
  <si>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</si>
  <si>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</si>
  <si>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</si>
  <si>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</si>
  <si>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</si>
  <si>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</si>
  <si>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</si>
  <si>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</si>
  <si>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</si>
  <si>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</si>
  <si>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</si>
  <si>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</si>
  <si>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</si>
  <si>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</si>
  <si>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</si>
  <si>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</si>
  <si>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</si>
  <si>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</si>
  <si>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</si>
  <si>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</si>
  <si>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</si>
  <si>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</si>
  <si>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</si>
  <si>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</si>
  <si>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</si>
  <si>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</si>
  <si>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</si>
  <si>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</si>
  <si>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</si>
  <si>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</si>
  <si>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</si>
  <si>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</si>
  <si>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</si>
  <si>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</si>
  <si>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</si>
  <si>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</si>
  <si>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</si>
  <si>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</si>
  <si>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</si>
  <si>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</si>
  <si>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</si>
  <si>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</si>
  <si>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</si>
  <si>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</si>
  <si>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</si>
  <si>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</si>
  <si>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</si>
  <si>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</si>
  <si>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</si>
  <si>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</si>
  <si>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</si>
  <si>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</si>
  <si>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</si>
  <si>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</si>
  <si>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</si>
  <si>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</si>
  <si>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</si>
  <si>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</si>
  <si>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</si>
  <si>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</si>
  <si>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</si>
  <si>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</si>
  <si>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</si>
  <si>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</si>
  <si>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</si>
  <si>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</si>
  <si>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</si>
  <si>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</si>
  <si>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</si>
  <si>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</si>
  <si>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</si>
  <si>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</si>
  <si>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</si>
  <si>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</si>
  <si>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</si>
  <si>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</si>
  <si>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</si>
  <si>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</si>
  <si>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</si>
  <si>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</si>
  <si>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</si>
  <si>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</si>
  <si>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</si>
  <si>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</si>
  <si>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</si>
  <si>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</si>
  <si>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</si>
  <si>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</si>
  <si>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</si>
  <si>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</si>
  <si>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</si>
  <si>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</si>
  <si>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</si>
  <si>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</si>
  <si>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</si>
  <si>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</si>
  <si>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</si>
  <si>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</si>
  <si>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</si>
  <si>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</si>
  <si>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</si>
  <si>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</si>
  <si>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</si>
  <si>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</si>
  <si>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</si>
  <si>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</si>
  <si>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</si>
  <si>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</si>
  <si>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</si>
  <si>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</si>
  <si>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</si>
  <si>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</si>
  <si>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</si>
  <si>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</si>
  <si>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</si>
  <si>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</si>
  <si>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</si>
  <si>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</si>
  <si>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</si>
  <si>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</si>
  <si>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</si>
  <si>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</si>
  <si>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</si>
  <si>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</si>
  <si>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</si>
  <si>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</si>
  <si>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</si>
  <si>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</si>
  <si>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</si>
  <si>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</si>
  <si>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</si>
  <si>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</si>
  <si>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</si>
  <si>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</si>
  <si>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</si>
  <si>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</si>
  <si>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</si>
  <si>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</si>
  <si>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</si>
  <si>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</si>
  <si>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</si>
  <si>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</si>
  <si>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</si>
  <si>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</si>
  <si>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</si>
  <si>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</si>
  <si>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</si>
  <si>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</si>
  <si>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</si>
  <si>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</si>
  <si>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</si>
  <si>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</si>
  <si>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</si>
  <si>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</si>
  <si>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</si>
  <si>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</si>
  <si>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</si>
  <si>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</si>
  <si>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</si>
  <si>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</si>
  <si>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</si>
  <si>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</si>
  <si>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</si>
  <si>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</si>
  <si>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</si>
  <si>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</si>
  <si>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</si>
  <si>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</si>
  <si>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</si>
  <si>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</si>
  <si>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</si>
  <si>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</si>
  <si>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</si>
  <si>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</si>
  <si>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</si>
  <si>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</si>
  <si>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</si>
  <si>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</si>
  <si>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</si>
  <si>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</si>
  <si>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</si>
  <si>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</si>
  <si>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</si>
  <si>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</si>
  <si>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</si>
  <si>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</si>
  <si>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</si>
  <si>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</si>
  <si>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</si>
  <si>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</si>
  <si>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</si>
  <si>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</si>
  <si>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</si>
  <si>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</si>
  <si>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</si>
  <si>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</si>
  <si>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</si>
  <si>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</si>
  <si>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</si>
  <si>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</si>
  <si>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</si>
  <si>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</si>
  <si>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</si>
  <si>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</si>
  <si>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</si>
  <si>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</si>
  <si>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</si>
  <si>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</si>
  <si>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</si>
  <si>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</si>
  <si>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</si>
  <si>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</si>
  <si>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</si>
  <si>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</si>
  <si>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</si>
  <si>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</si>
  <si>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</si>
  <si>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</si>
  <si>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</si>
  <si>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</si>
  <si>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</si>
  <si>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</si>
  <si>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</si>
  <si>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</si>
  <si>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</si>
  <si>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</si>
  <si>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</si>
  <si>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</si>
  <si>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</si>
  <si>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</si>
  <si>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</si>
  <si>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</si>
  <si>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</si>
  <si>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</si>
  <si>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</si>
  <si>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</si>
  <si>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</si>
  <si>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</si>
  <si>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</si>
  <si>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</si>
  <si>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</si>
  <si>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</si>
  <si>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</si>
  <si>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</si>
  <si>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</si>
  <si>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</si>
  <si>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</si>
  <si>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</si>
  <si>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</si>
  <si>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</si>
  <si>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</si>
  <si>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</si>
  <si>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</si>
  <si>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</si>
  <si>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</si>
  <si>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</si>
  <si>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</si>
  <si>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</si>
  <si>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</si>
  <si>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</si>
  <si>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</si>
  <si>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</si>
  <si>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</si>
  <si>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</si>
  <si>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</si>
  <si>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</si>
  <si>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</si>
  <si>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</si>
  <si>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</si>
  <si>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</si>
  <si>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</si>
  <si>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</si>
  <si>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</si>
  <si>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</si>
  <si>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</si>
  <si>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</si>
  <si>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</si>
  <si>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</si>
  <si>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</si>
  <si>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</si>
  <si>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</si>
  <si>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</si>
  <si>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</si>
  <si>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</si>
  <si>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</si>
  <si>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</si>
  <si>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</si>
  <si>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</si>
  <si>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</si>
  <si>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</si>
  <si>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</si>
  <si>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</si>
  <si>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</si>
  <si>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</si>
  <si>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</si>
  <si>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</si>
  <si>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</si>
  <si>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</si>
  <si>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</si>
  <si>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</si>
  <si>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</si>
  <si>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</si>
  <si>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</si>
  <si>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</si>
  <si>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</si>
  <si>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</si>
  <si>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</si>
  <si>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</si>
  <si>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</si>
  <si>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</si>
  <si>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</si>
  <si>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</si>
  <si>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</si>
  <si>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</si>
  <si>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</si>
  <si>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</si>
  <si>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</si>
  <si>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</si>
  <si>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</si>
  <si>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</si>
  <si>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</si>
  <si>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</si>
  <si>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</si>
  <si>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</si>
  <si>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</si>
  <si>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</si>
  <si>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</si>
  <si>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</si>
  <si>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</si>
  <si>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</si>
  <si>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</si>
  <si>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</si>
  <si>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</si>
  <si>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</si>
  <si>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</si>
  <si>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</si>
  <si>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</si>
  <si>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</si>
  <si>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</si>
  <si>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</si>
  <si>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</si>
  <si>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</si>
  <si>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</si>
  <si>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</si>
  <si>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</si>
  <si>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</si>
  <si>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</si>
  <si>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</si>
  <si>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</si>
  <si>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</si>
  <si>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</si>
  <si>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</si>
  <si>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</si>
  <si>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</si>
  <si>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</si>
  <si>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</si>
  <si>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</si>
  <si>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</si>
  <si>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</si>
  <si>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</si>
  <si>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</si>
  <si>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</si>
  <si>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</si>
  <si>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</si>
  <si>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</si>
  <si>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</si>
  <si>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</si>
  <si>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</si>
  <si>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</si>
  <si>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</si>
  <si>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</si>
  <si>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</si>
  <si>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</si>
  <si>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</si>
  <si>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</si>
  <si>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</si>
  <si>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</si>
  <si>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</si>
  <si>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</si>
  <si>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</si>
  <si>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</si>
  <si>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</si>
  <si>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</si>
  <si>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</si>
  <si>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</si>
  <si>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</si>
  <si>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</si>
  <si>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</si>
  <si>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</si>
  <si>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</si>
  <si>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</si>
  <si>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</si>
  <si>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</si>
  <si>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</si>
  <si>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</si>
  <si>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</si>
  <si>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</si>
  <si>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</si>
  <si>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</si>
  <si>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</si>
  <si>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</si>
  <si>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</si>
  <si>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</si>
  <si>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</si>
  <si>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</si>
  <si>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</si>
  <si>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</si>
  <si>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</si>
  <si>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</si>
  <si>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</si>
  <si>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</si>
  <si>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</si>
  <si>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</si>
  <si>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</si>
  <si>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</si>
  <si>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</si>
  <si>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</si>
  <si>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</si>
  <si>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</si>
  <si>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</si>
  <si>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</si>
  <si>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</si>
  <si>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</si>
  <si>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</si>
  <si>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</si>
  <si>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</si>
  <si>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</si>
  <si>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</si>
  <si>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</si>
  <si>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</si>
  <si>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</si>
  <si>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</si>
  <si>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</si>
  <si>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</si>
  <si>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</si>
  <si>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</si>
  <si>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</si>
  <si>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</si>
  <si>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</si>
  <si>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</si>
  <si>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</si>
  <si>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</si>
  <si>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</si>
  <si>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</si>
  <si>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</si>
  <si>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</si>
  <si>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</si>
  <si>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</si>
  <si>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</si>
  <si>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</si>
  <si>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</si>
  <si>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</si>
  <si>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</si>
  <si>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</si>
  <si>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</si>
  <si>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</si>
  <si>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</si>
  <si>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</si>
  <si>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</si>
  <si>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</si>
  <si>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</si>
  <si>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</si>
  <si>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</si>
  <si>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</si>
  <si>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</si>
  <si>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</si>
  <si>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</si>
  <si>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</si>
  <si>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</si>
  <si>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</si>
  <si>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</si>
  <si>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</si>
  <si>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</si>
  <si>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</si>
  <si>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</si>
  <si>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</si>
  <si>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</si>
  <si>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</si>
  <si>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</si>
  <si>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</si>
  <si>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</si>
  <si>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</si>
  <si>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</si>
  <si>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</si>
  <si>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</si>
  <si>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</si>
  <si>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</si>
  <si>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</si>
  <si>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</si>
  <si>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</si>
  <si>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</si>
  <si>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</si>
  <si>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</si>
  <si>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</si>
  <si>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</si>
  <si>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</si>
  <si>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</si>
  <si>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</si>
  <si>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</si>
  <si>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</si>
  <si>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</si>
  <si>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</si>
  <si>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</si>
  <si>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</si>
  <si>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</si>
  <si>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</si>
  <si>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</si>
  <si>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</si>
  <si>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</si>
  <si>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</si>
  <si>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</si>
  <si>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</si>
  <si>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</si>
  <si>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</si>
  <si>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</si>
  <si>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</si>
  <si>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</si>
  <si>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</si>
  <si>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</si>
  <si>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</si>
  <si>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</si>
  <si>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</si>
  <si>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</si>
  <si>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</si>
  <si>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</si>
  <si>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</si>
  <si>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</si>
  <si>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</si>
  <si>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</si>
  <si>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</si>
  <si>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</si>
  <si>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</si>
  <si>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</si>
  <si>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</si>
  <si>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</si>
  <si>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</si>
  <si>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</si>
  <si>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</si>
  <si>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</si>
  <si>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</si>
  <si>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</si>
  <si>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</si>
  <si>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</si>
  <si>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</si>
  <si>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</si>
  <si>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</si>
  <si>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</si>
  <si>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</si>
  <si>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</si>
  <si>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</si>
  <si>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</si>
  <si>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</si>
  <si>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</si>
  <si>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</si>
  <si>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</si>
  <si>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</si>
  <si>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</si>
  <si>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</si>
  <si>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</si>
  <si>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</si>
  <si>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</si>
  <si>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</si>
  <si>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</si>
  <si>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</si>
  <si>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</si>
  <si>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</si>
  <si>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</si>
  <si>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</si>
  <si>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</si>
  <si>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</si>
  <si>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</si>
  <si>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</si>
  <si>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</si>
  <si>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</si>
  <si>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</si>
  <si>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</si>
  <si>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</si>
  <si>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</si>
  <si>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</si>
  <si>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</si>
  <si>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</si>
  <si>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</si>
  <si>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</si>
  <si>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</si>
  <si>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</si>
  <si>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</si>
  <si>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</si>
  <si>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</si>
  <si>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</si>
  <si>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</si>
  <si>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</si>
  <si>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</si>
  <si>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</si>
  <si>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</si>
  <si>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</si>
  <si>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</si>
  <si>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</si>
  <si>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</si>
  <si>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</si>
  <si>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</si>
  <si>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</si>
  <si>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</si>
  <si>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</si>
  <si>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</si>
  <si>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</si>
  <si>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</si>
  <si>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</si>
  <si>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</si>
  <si>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</si>
  <si>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</si>
  <si>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</si>
  <si>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</si>
  <si>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</si>
  <si>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</si>
  <si>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</si>
  <si>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</si>
  <si>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</si>
  <si>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</si>
  <si>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</si>
  <si>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</si>
  <si>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</si>
  <si>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</si>
  <si>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</si>
  <si>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</si>
  <si>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</si>
  <si>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</si>
  <si>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</si>
  <si>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</si>
  <si>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</si>
  <si>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</si>
  <si>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</si>
  <si>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</si>
  <si>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</si>
  <si>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</si>
  <si>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</si>
  <si>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</si>
  <si>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</si>
  <si>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</si>
  <si>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</si>
  <si>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</si>
  <si>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</si>
  <si>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</si>
  <si>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</si>
  <si>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</si>
  <si>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</si>
  <si>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</si>
  <si>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</si>
  <si>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</si>
  <si>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</si>
  <si>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</si>
  <si>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</si>
  <si>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</si>
  <si>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</si>
  <si>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</si>
  <si>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</si>
  <si>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</si>
  <si>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</si>
  <si>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</si>
  <si>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</si>
  <si>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</si>
  <si>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</si>
  <si>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</si>
  <si>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</si>
  <si>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</si>
  <si>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</si>
  <si>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</si>
  <si>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</si>
  <si>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</si>
  <si>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</si>
  <si>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</si>
  <si>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</si>
  <si>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</si>
  <si>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</si>
  <si>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</si>
  <si>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</si>
  <si>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</si>
  <si>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</si>
  <si>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</si>
  <si>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</si>
  <si>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</si>
  <si>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</si>
  <si>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</si>
  <si>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</si>
  <si>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</si>
  <si>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</si>
  <si>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</si>
  <si>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</si>
  <si>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</si>
  <si>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</si>
  <si>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</si>
  <si>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</si>
  <si>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</si>
  <si>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</si>
  <si>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</si>
  <si>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</si>
  <si>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</si>
  <si>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</si>
  <si>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</si>
  <si>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</si>
  <si>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</si>
  <si>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</si>
  <si>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</si>
  <si>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</si>
  <si>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</si>
  <si>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</si>
  <si>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</si>
  <si>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</si>
  <si>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</si>
  <si>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</si>
  <si>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</si>
  <si>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</si>
  <si>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</si>
  <si>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</si>
  <si>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</si>
  <si>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</si>
  <si>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</si>
  <si>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</si>
  <si>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</si>
  <si>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</si>
  <si>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</si>
  <si>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</si>
  <si>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</si>
  <si>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</si>
  <si>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</si>
  <si>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</si>
  <si>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</si>
  <si>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</si>
  <si>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</si>
  <si>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</si>
  <si>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</si>
  <si>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</si>
  <si>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</si>
  <si>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</si>
  <si>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</si>
  <si>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</si>
  <si>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</si>
  <si>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</si>
  <si>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</si>
  <si>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</si>
  <si>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</si>
  <si>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</si>
  <si>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</si>
  <si>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</si>
  <si>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</si>
  <si>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</si>
  <si>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</si>
  <si>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</si>
  <si>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</si>
  <si>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</si>
  <si>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</si>
  <si>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</si>
  <si>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</si>
  <si>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</si>
  <si>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</si>
  <si>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</si>
  <si>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</si>
  <si>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</si>
  <si>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</si>
  <si>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</si>
  <si>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</si>
  <si>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</si>
  <si>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</si>
  <si>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</si>
  <si>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</si>
  <si>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</si>
  <si>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</si>
  <si>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</si>
  <si>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</si>
  <si>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</si>
  <si>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</si>
  <si>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</si>
  <si>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</si>
  <si>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</si>
  <si>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</si>
  <si>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</si>
  <si>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</si>
  <si>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</si>
  <si>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</si>
  <si>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</si>
  <si>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</si>
  <si>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</si>
  <si>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</si>
  <si>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</si>
  <si>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</si>
  <si>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</si>
  <si>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</si>
  <si>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</si>
  <si>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</si>
  <si>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</si>
  <si>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</si>
  <si>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</si>
  <si>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</si>
  <si>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</si>
  <si>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</si>
  <si>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</si>
  <si>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</si>
  <si>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</si>
  <si>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</si>
  <si>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</si>
  <si>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</si>
  <si>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</si>
  <si>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</si>
  <si>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</si>
  <si>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</si>
  <si>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</si>
  <si>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</si>
  <si>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</si>
  <si>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</si>
  <si>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</si>
  <si>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</si>
  <si>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</si>
  <si>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</si>
  <si>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</si>
  <si>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</si>
  <si>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</si>
  <si>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</si>
  <si>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</si>
  <si>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</si>
  <si>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</si>
  <si>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</si>
  <si>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</si>
  <si>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</si>
  <si>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</si>
  <si>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</si>
  <si>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</si>
  <si>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</si>
  <si>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</si>
  <si>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</si>
  <si>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</si>
  <si>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</si>
  <si>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</si>
  <si>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</si>
  <si>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</si>
  <si>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</si>
  <si>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</si>
  <si>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</si>
  <si>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</si>
  <si>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</si>
  <si>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</si>
  <si>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</si>
  <si>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</si>
  <si>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</si>
  <si>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</si>
  <si>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</si>
  <si>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</si>
  <si>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</si>
  <si>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</si>
  <si>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</si>
  <si>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</si>
  <si>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</si>
  <si>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</si>
  <si>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</si>
  <si>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</si>
  <si>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</si>
  <si>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</si>
  <si>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</si>
  <si>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</si>
  <si>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</si>
  <si>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</si>
  <si>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</si>
  <si>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</si>
  <si>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</si>
  <si>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</si>
  <si>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</si>
  <si>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</si>
  <si>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</si>
  <si>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</si>
  <si>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</si>
  <si>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</si>
  <si>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</si>
  <si>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</si>
  <si>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</si>
  <si>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</si>
  <si>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</si>
  <si>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</si>
  <si>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</si>
  <si>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</si>
  <si>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</si>
  <si>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</si>
  <si>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</si>
  <si>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</si>
  <si>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</si>
  <si>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</si>
  <si>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</si>
  <si>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</si>
  <si>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</si>
  <si>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</si>
  <si>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</si>
  <si>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</si>
  <si>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</si>
  <si>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</si>
  <si>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</si>
  <si>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</si>
  <si>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</si>
  <si>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</si>
  <si>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</si>
  <si>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</si>
  <si>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</si>
  <si>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</si>
  <si>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</si>
  <si>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</si>
  <si>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</si>
  <si>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</si>
  <si>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</si>
  <si>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</si>
  <si>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</si>
  <si>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</si>
  <si>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</si>
  <si>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</si>
  <si>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</si>
  <si>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</si>
  <si>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</si>
  <si>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</si>
  <si>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</si>
  <si>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</si>
  <si>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</si>
  <si>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</si>
  <si>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</si>
  <si>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</si>
  <si>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</si>
  <si>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</si>
  <si>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</si>
  <si>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</si>
  <si>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</si>
  <si>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</si>
  <si>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</si>
  <si>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</si>
  <si>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</si>
  <si>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</si>
  <si>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</si>
  <si>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</si>
  <si>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</si>
  <si>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</si>
  <si>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</si>
  <si>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</si>
  <si>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</si>
  <si>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</si>
  <si>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</si>
  <si>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</si>
  <si>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</si>
  <si>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</si>
  <si>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</si>
  <si>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</si>
  <si>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</si>
  <si>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</si>
  <si>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</si>
  <si>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</si>
  <si>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</si>
  <si>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</si>
  <si>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</si>
  <si>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</si>
  <si>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</si>
  <si>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</si>
  <si>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</si>
  <si>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</si>
  <si>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</si>
  <si>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</si>
  <si>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</si>
  <si>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</si>
  <si>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</si>
  <si>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</si>
  <si>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</si>
  <si>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</si>
  <si>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</si>
  <si>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</si>
  <si>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</si>
  <si>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</si>
  <si>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</si>
  <si>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</si>
  <si>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</si>
  <si>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</si>
  <si>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</si>
  <si>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</si>
  <si>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</si>
  <si>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</si>
  <si>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</si>
  <si>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</si>
  <si>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</si>
  <si>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</si>
  <si>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</si>
  <si>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</si>
  <si>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</si>
  <si>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</si>
  <si>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</si>
  <si>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</si>
  <si>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</si>
  <si>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</si>
  <si>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</si>
  <si>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</si>
  <si>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</si>
  <si>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</si>
  <si>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</si>
  <si>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</si>
  <si>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</si>
  <si>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</si>
  <si>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</si>
  <si>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</si>
  <si>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</si>
  <si>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</si>
  <si>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</si>
  <si>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</si>
  <si>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</si>
  <si>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</si>
  <si>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</si>
  <si>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</si>
  <si>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</si>
  <si>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</si>
  <si>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</si>
  <si>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</si>
  <si>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</si>
  <si>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</si>
  <si>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</si>
  <si>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</si>
  <si>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</si>
  <si>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</si>
  <si>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</si>
  <si>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</si>
  <si>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</si>
  <si>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</si>
  <si>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</si>
  <si>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</si>
  <si>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</si>
  <si>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</si>
  <si>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</si>
  <si>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</si>
  <si>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</si>
  <si>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</si>
  <si>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</si>
  <si>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</si>
  <si>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</si>
  <si>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</si>
  <si>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</si>
  <si>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</si>
  <si>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</si>
  <si>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</si>
  <si>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</si>
  <si>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</si>
  <si>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</si>
  <si>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</si>
  <si>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</si>
  <si>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</si>
  <si>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</si>
  <si>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</si>
  <si>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</si>
  <si>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</si>
  <si>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</si>
  <si>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</si>
  <si>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</si>
  <si>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</si>
  <si>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</si>
  <si>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</si>
  <si>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</si>
  <si>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</si>
  <si>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</si>
  <si>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</si>
  <si>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</si>
  <si>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</si>
  <si>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</si>
  <si>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</si>
  <si>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</si>
  <si>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</si>
  <si>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</si>
  <si>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</si>
  <si>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</si>
  <si>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</si>
  <si>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</si>
  <si>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</si>
  <si>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</si>
  <si>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</si>
  <si>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</si>
  <si>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</si>
  <si>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</si>
  <si>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</si>
  <si>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</si>
  <si>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</si>
  <si>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</si>
  <si>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</si>
  <si>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</si>
  <si>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</si>
  <si>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</si>
  <si>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</si>
  <si>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</si>
  <si>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</si>
  <si>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</si>
  <si>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</si>
  <si>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</si>
  <si>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</si>
  <si>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</si>
  <si>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</si>
  <si>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</si>
  <si>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</si>
  <si>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</si>
  <si>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</si>
  <si>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</si>
  <si>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</si>
  <si>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</si>
  <si>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</si>
  <si>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</si>
  <si>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</si>
  <si>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</si>
  <si>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</si>
  <si>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</si>
  <si>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</si>
  <si>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</si>
  <si>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</si>
  <si>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</si>
  <si>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</si>
  <si>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</si>
  <si>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</si>
  <si>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</si>
  <si>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</si>
  <si>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</si>
  <si>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</si>
  <si>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</si>
  <si>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</si>
  <si>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</si>
  <si>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</si>
  <si>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</si>
  <si>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</si>
  <si>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</si>
  <si>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</si>
  <si>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</si>
  <si>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</si>
  <si>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</si>
  <si>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</si>
  <si>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</si>
  <si>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</si>
  <si>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</si>
  <si>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</si>
  <si>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</si>
  <si>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</si>
  <si>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</si>
  <si>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</si>
  <si>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</si>
  <si>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</si>
  <si>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</si>
  <si>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</si>
  <si>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</si>
  <si>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</si>
  <si>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</si>
  <si>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</si>
  <si>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</si>
  <si>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</si>
  <si>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</si>
  <si>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</si>
  <si>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</si>
  <si>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</si>
  <si>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</si>
  <si>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</si>
  <si>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</si>
  <si>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</si>
  <si>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</si>
  <si>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</si>
  <si>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</si>
  <si>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</si>
  <si>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</si>
  <si>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</si>
  <si>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</si>
  <si>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</si>
  <si>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</si>
  <si>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</si>
  <si>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</si>
  <si>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</si>
  <si>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</si>
  <si>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</si>
  <si>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</si>
  <si>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</si>
  <si>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</si>
  <si>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</si>
  <si>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</si>
  <si>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</si>
  <si>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</si>
  <si>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</si>
  <si>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</si>
  <si>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</si>
  <si>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</si>
  <si>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</si>
  <si>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</si>
  <si>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</si>
  <si>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</si>
  <si>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</si>
  <si>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</si>
  <si>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</si>
  <si>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</si>
  <si>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</si>
  <si>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</si>
  <si>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</si>
  <si>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</si>
  <si>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</si>
  <si>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</si>
  <si>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</si>
  <si>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</si>
  <si>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</si>
  <si>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</si>
  <si>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</si>
  <si>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</si>
  <si>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</si>
  <si>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</si>
  <si>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</si>
  <si>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</si>
  <si>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</si>
  <si>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</si>
  <si>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</si>
  <si>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</si>
  <si>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</si>
  <si>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</si>
  <si>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</si>
  <si>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</si>
  <si>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</si>
  <si>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</si>
  <si>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</si>
  <si>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</si>
  <si>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</si>
  <si>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</si>
  <si>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</si>
  <si>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</si>
  <si>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</si>
  <si>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</si>
  <si>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</si>
  <si>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</si>
  <si>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</si>
  <si>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</si>
  <si>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</si>
  <si>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</si>
  <si>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</si>
  <si>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</si>
  <si>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</si>
  <si>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</si>
  <si>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</si>
  <si>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</si>
  <si>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</si>
  <si>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</si>
  <si>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</si>
  <si>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</si>
  <si>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</si>
  <si>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</si>
  <si>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</si>
  <si>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</si>
  <si>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</si>
  <si>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</si>
  <si>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</si>
  <si>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</si>
  <si>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</si>
  <si>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</si>
  <si>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</si>
  <si>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</si>
  <si>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</si>
  <si>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</si>
  <si>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</si>
  <si>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</si>
  <si>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</si>
  <si>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</si>
  <si>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</si>
  <si>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</si>
  <si>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</si>
  <si>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</si>
  <si>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</si>
  <si>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</si>
  <si>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</si>
  <si>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</si>
  <si>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</si>
  <si>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</si>
  <si>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</si>
  <si>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</si>
  <si>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</si>
  <si>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</si>
  <si>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</si>
  <si>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</si>
  <si>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</si>
  <si>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</si>
  <si>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</si>
  <si>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</si>
  <si>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</si>
  <si>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</si>
  <si>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</si>
  <si>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</si>
  <si>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</si>
  <si>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</si>
  <si>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</si>
  <si>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</si>
  <si>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</si>
  <si>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</si>
  <si>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</si>
  <si>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</si>
  <si>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</si>
  <si>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</si>
  <si>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</si>
  <si>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</si>
  <si>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</si>
  <si>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</si>
  <si>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</si>
  <si>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</si>
  <si>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</si>
  <si>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</si>
  <si>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</si>
  <si>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</si>
  <si>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</si>
  <si>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</si>
  <si>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</si>
  <si>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</si>
  <si>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</si>
  <si>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</si>
  <si>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</si>
  <si>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</si>
  <si>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</si>
  <si>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</si>
  <si>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</si>
  <si>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</si>
  <si>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</si>
  <si>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</si>
  <si>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</si>
  <si>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</si>
  <si>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</si>
  <si>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</si>
  <si>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</si>
  <si>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</si>
  <si>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</si>
  <si>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</si>
  <si>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</si>
  <si>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</si>
  <si>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</si>
  <si>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</si>
  <si>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</si>
  <si>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</si>
  <si>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</si>
  <si>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</si>
  <si>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</si>
  <si>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</si>
  <si>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</si>
  <si>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</si>
  <si>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</si>
  <si>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</si>
  <si>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</si>
  <si>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</si>
  <si>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</si>
  <si>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</si>
  <si>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</si>
  <si>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</si>
  <si>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</si>
  <si>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</si>
  <si>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</si>
  <si>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</si>
  <si>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</si>
  <si>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</si>
  <si>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</si>
  <si>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</si>
  <si>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</si>
  <si>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</si>
  <si>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</si>
  <si>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</si>
  <si>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</si>
  <si>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</si>
  <si>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</si>
  <si>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</si>
  <si>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</si>
  <si>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</si>
  <si>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</si>
  <si>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</si>
  <si>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</si>
  <si>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</si>
  <si>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</si>
  <si>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</si>
  <si>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</si>
  <si>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</si>
  <si>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</si>
  <si>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</si>
  <si>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</si>
  <si>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</si>
  <si>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</si>
  <si>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</si>
  <si>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</si>
  <si>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</si>
  <si>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</si>
  <si>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</si>
  <si>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</si>
  <si>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</si>
  <si>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</si>
  <si>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</si>
  <si>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</si>
  <si>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</si>
  <si>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</si>
  <si>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</si>
  <si>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</si>
  <si>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</si>
  <si>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</si>
  <si>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</si>
  <si>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</si>
  <si>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</si>
  <si>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</si>
  <si>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</si>
  <si>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</si>
  <si>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</si>
  <si>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</si>
  <si>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</si>
  <si>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</si>
  <si>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</si>
  <si>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</si>
  <si>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</si>
  <si>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</si>
  <si>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</si>
  <si>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</si>
  <si>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</si>
  <si>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</si>
  <si>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</si>
  <si>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</si>
  <si>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</si>
  <si>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</si>
  <si>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</si>
  <si>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</si>
  <si>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</si>
  <si>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</si>
  <si>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</si>
  <si>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</si>
  <si>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</si>
  <si>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</si>
  <si>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</si>
  <si>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</si>
  <si>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</si>
  <si>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</si>
  <si>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</si>
  <si>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</si>
  <si>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</si>
  <si>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</si>
  <si>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</si>
  <si>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</si>
  <si>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</si>
  <si>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</si>
  <si>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</si>
  <si>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</si>
  <si>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</si>
  <si>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</si>
  <si>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</si>
  <si>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</si>
  <si>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</si>
  <si>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</si>
  <si>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</si>
  <si>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</si>
  <si>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</si>
  <si>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</si>
  <si>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</si>
  <si>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</si>
  <si>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</si>
  <si>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</si>
  <si>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</si>
  <si>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</si>
  <si>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</si>
  <si>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</si>
  <si>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</si>
  <si>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</si>
  <si>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</si>
  <si>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</si>
  <si>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</si>
  <si>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</si>
  <si>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</si>
  <si>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</si>
  <si>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</si>
  <si>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</si>
  <si>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</si>
  <si>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</si>
  <si>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</si>
  <si>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</si>
  <si>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</si>
  <si>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</si>
  <si>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</si>
  <si>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</si>
  <si>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</si>
  <si>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</si>
  <si>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</si>
  <si>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</si>
  <si>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</si>
  <si>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</si>
  <si>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</si>
  <si>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</si>
  <si>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</si>
  <si>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</si>
  <si>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</si>
  <si>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</si>
  <si>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</si>
  <si>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</si>
  <si>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</si>
  <si>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</si>
  <si>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</si>
  <si>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</si>
  <si>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</si>
  <si>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</si>
  <si>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</si>
  <si>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</si>
  <si>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</si>
  <si>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</si>
  <si>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</si>
  <si>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</si>
  <si>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</si>
  <si>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</si>
  <si>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</si>
  <si>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</si>
  <si>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</si>
  <si>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</si>
  <si>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</si>
  <si>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</si>
  <si>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</si>
  <si>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</si>
  <si>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</si>
  <si>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</si>
  <si>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</si>
  <si>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</si>
  <si>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</si>
  <si>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</si>
  <si>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</si>
  <si>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</si>
  <si>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</si>
  <si>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</si>
  <si>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</si>
  <si>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</si>
  <si>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</si>
  <si>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</si>
  <si>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</si>
  <si>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</si>
  <si>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</si>
  <si>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</si>
  <si>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</si>
  <si>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</si>
  <si>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</si>
  <si>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</si>
  <si>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</si>
  <si>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</si>
  <si>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</si>
  <si>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</si>
  <si>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</si>
  <si>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</si>
  <si>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</si>
  <si>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</si>
  <si>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</si>
  <si>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</si>
  <si>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</si>
  <si>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</si>
  <si>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</si>
  <si>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</si>
  <si>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</si>
  <si>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</si>
  <si>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</si>
  <si>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</si>
  <si>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</si>
  <si>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</si>
  <si>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</si>
  <si>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</si>
  <si>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</si>
  <si>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</si>
  <si>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</si>
  <si>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</si>
  <si>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</si>
  <si>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</si>
  <si>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</si>
  <si>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</si>
  <si>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</si>
  <si>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</si>
  <si>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</si>
  <si>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</si>
  <si>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</si>
  <si>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</si>
  <si>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</si>
  <si>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</si>
  <si>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</si>
  <si>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</si>
  <si>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</si>
  <si>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</si>
  <si>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</si>
  <si>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</si>
  <si>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</si>
  <si>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</si>
  <si>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</si>
  <si>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</si>
  <si>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</si>
  <si>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</si>
  <si>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</si>
  <si>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</si>
  <si>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</si>
  <si>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</si>
  <si>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</si>
  <si>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</si>
  <si>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</si>
  <si>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</si>
  <si>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</si>
  <si>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</si>
  <si>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</si>
  <si>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</si>
  <si>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</si>
  <si>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</si>
  <si>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</si>
  <si>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</si>
  <si>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</si>
  <si>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</si>
  <si>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</si>
  <si>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</si>
  <si>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</si>
  <si>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</si>
  <si>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</si>
  <si>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</si>
  <si>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</si>
  <si>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</si>
  <si>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</si>
  <si>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</si>
  <si>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</si>
  <si>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</si>
  <si>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</si>
  <si>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</si>
  <si>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</si>
  <si>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</si>
  <si>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</si>
  <si>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</si>
  <si>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</si>
  <si>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</si>
  <si>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</si>
  <si>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</si>
  <si>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</si>
  <si>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</si>
  <si>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</si>
  <si>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</si>
  <si>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</si>
  <si>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</si>
  <si>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</si>
  <si>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</si>
  <si>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</si>
  <si>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</si>
  <si>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</si>
  <si>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</si>
  <si>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</si>
  <si>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</si>
  <si>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</si>
  <si>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</si>
  <si>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</si>
  <si>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</si>
  <si>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</si>
  <si>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</si>
  <si>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</si>
  <si>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</si>
  <si>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</si>
  <si>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</si>
  <si>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</si>
  <si>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</si>
  <si>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</si>
  <si>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</si>
  <si>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</si>
  <si>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</si>
  <si>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</si>
  <si>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</si>
  <si>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</si>
  <si>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</si>
  <si>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</si>
  <si>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</si>
  <si>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</si>
  <si>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</si>
  <si>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</si>
  <si>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</si>
  <si>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</si>
  <si>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</si>
  <si>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</si>
  <si>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</si>
  <si>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</si>
  <si>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</si>
  <si>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</si>
  <si>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</si>
  <si>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</si>
  <si>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</si>
  <si>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</si>
  <si>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</si>
  <si>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</si>
  <si>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</si>
  <si>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</si>
  <si>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</si>
  <si>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</si>
  <si>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</si>
  <si>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</si>
  <si>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</si>
  <si>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</si>
  <si>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</si>
  <si>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</si>
  <si>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</si>
  <si>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</si>
  <si>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</si>
  <si>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</si>
  <si>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</si>
  <si>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</si>
  <si>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</si>
  <si>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</si>
  <si>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</si>
  <si>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</si>
  <si>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</si>
  <si>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</si>
  <si>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</si>
  <si>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</si>
  <si>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</si>
  <si>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</si>
  <si>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</si>
  <si>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</si>
  <si>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</si>
  <si>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</si>
  <si>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</si>
  <si>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</si>
  <si>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</si>
  <si>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</si>
  <si>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</si>
  <si>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</si>
  <si>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</si>
  <si>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</si>
  <si>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</si>
  <si>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</si>
  <si>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</si>
  <si>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</si>
  <si>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</si>
  <si>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</si>
  <si>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</si>
  <si>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</si>
  <si>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</si>
  <si>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</si>
  <si>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</si>
  <si>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</si>
  <si>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</si>
  <si>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</si>
  <si>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</si>
  <si>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</si>
  <si>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</si>
  <si>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</si>
  <si>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</si>
  <si>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</si>
  <si>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</si>
  <si>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</si>
  <si>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</si>
  <si>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</si>
  <si>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</si>
  <si>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</si>
  <si>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</si>
  <si>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</si>
  <si>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</si>
  <si>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</si>
  <si>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</si>
  <si>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</si>
  <si>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</si>
  <si>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</si>
  <si>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</si>
  <si>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</si>
  <si>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</si>
  <si>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</si>
  <si>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</si>
  <si>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</si>
  <si>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</si>
  <si>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</si>
  <si>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</si>
  <si>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</si>
  <si>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</si>
  <si>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</si>
  <si>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</si>
  <si>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</si>
  <si>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</si>
  <si>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</si>
  <si>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</si>
  <si>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</si>
  <si>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</si>
  <si>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</si>
  <si>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</si>
  <si>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</si>
  <si>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</si>
  <si>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</si>
  <si>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</si>
  <si>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</si>
  <si>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</si>
  <si>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</si>
  <si>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</si>
  <si>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</si>
  <si>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</si>
  <si>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</si>
  <si>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</si>
  <si>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</si>
  <si>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</si>
  <si>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</si>
  <si>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</si>
  <si>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</si>
  <si>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</si>
  <si>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</si>
  <si>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</si>
  <si>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</si>
  <si>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</si>
  <si>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</si>
  <si>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</si>
  <si>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</si>
  <si>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</si>
  <si>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</si>
  <si>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</si>
  <si>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</si>
  <si>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</si>
  <si>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</si>
  <si>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</si>
  <si>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</si>
  <si>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</si>
  <si>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</si>
  <si>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</si>
  <si>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</si>
  <si>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</si>
  <si>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</si>
  <si>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</si>
  <si>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</si>
  <si>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</si>
  <si>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</si>
  <si>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</si>
  <si>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</si>
  <si>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</si>
  <si>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</si>
  <si>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</si>
  <si>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</si>
  <si>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</si>
  <si>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</si>
  <si>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</si>
  <si>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</si>
  <si>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</si>
  <si>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</si>
  <si>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</si>
  <si>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</si>
  <si>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</si>
  <si>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</si>
  <si>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</si>
  <si>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</si>
  <si>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</si>
  <si>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</si>
  <si>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</si>
  <si>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</si>
  <si>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</si>
  <si>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</si>
  <si>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</si>
  <si>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</si>
  <si>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</si>
  <si>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</si>
  <si>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</si>
  <si>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</si>
  <si>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</si>
  <si>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</si>
  <si>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</si>
  <si>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</si>
  <si>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</si>
  <si>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</si>
  <si>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</si>
  <si>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</si>
  <si>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</si>
  <si>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</si>
  <si>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</si>
  <si>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</si>
  <si>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</si>
  <si>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</si>
  <si>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</si>
  <si>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</si>
  <si>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</si>
  <si>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</si>
  <si>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</si>
  <si>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</si>
  <si>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</si>
  <si>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</si>
  <si>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</si>
  <si>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</si>
  <si>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</si>
  <si>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</si>
  <si>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</si>
  <si>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</si>
  <si>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</si>
  <si>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</si>
  <si>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</si>
  <si>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</si>
  <si>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</si>
  <si>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</si>
  <si>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</si>
  <si>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</si>
  <si>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</si>
  <si>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</si>
  <si>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</si>
  <si>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</si>
  <si>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</si>
  <si>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</si>
  <si>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</si>
  <si>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</si>
  <si>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</si>
  <si>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</si>
  <si>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</si>
  <si>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</si>
  <si>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</si>
  <si>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</si>
  <si>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</si>
  <si>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</si>
  <si>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</si>
  <si>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</si>
  <si>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</si>
  <si>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</si>
  <si>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</si>
  <si>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</si>
  <si>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</si>
  <si>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</si>
  <si>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</si>
  <si>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</si>
  <si>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</si>
  <si>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</si>
  <si>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</si>
  <si>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</si>
  <si>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</si>
  <si>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</si>
  <si>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</si>
  <si>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</si>
  <si>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</si>
  <si>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</si>
  <si>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</si>
  <si>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</si>
  <si>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</si>
  <si>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</si>
  <si>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</si>
  <si>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</si>
  <si>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</si>
  <si>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</si>
  <si>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</si>
  <si>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</si>
  <si>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</si>
  <si>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</si>
  <si>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</si>
  <si>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</si>
  <si>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</si>
  <si>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</si>
  <si>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</si>
  <si>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</si>
  <si>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</si>
  <si>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</si>
  <si>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</si>
  <si>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</si>
  <si>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</si>
  <si>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</si>
  <si>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</si>
  <si>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</si>
  <si>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</si>
  <si>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</si>
  <si>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</si>
  <si>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</si>
  <si>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</si>
  <si>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</si>
  <si>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</si>
  <si>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</si>
  <si>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</si>
  <si>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</si>
  <si>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</si>
  <si>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</si>
  <si>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</si>
  <si>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</si>
  <si>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</si>
  <si>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</si>
  <si>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</si>
  <si>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</si>
  <si>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</si>
  <si>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</si>
  <si>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</si>
  <si>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</si>
  <si>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</si>
  <si>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</si>
  <si>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</si>
  <si>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</si>
  <si>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</si>
  <si>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</si>
  <si>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</si>
  <si>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</si>
  <si>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</si>
  <si>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</si>
  <si>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</si>
  <si>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</si>
  <si>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</si>
  <si>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</si>
  <si>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</si>
  <si>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</si>
  <si>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</si>
  <si>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</si>
  <si>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</si>
  <si>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</si>
  <si>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</si>
  <si>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</si>
  <si>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</si>
  <si>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</si>
  <si>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</si>
  <si>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</si>
  <si>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</si>
  <si>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</si>
  <si>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</si>
  <si>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</si>
  <si>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</si>
  <si>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</si>
  <si>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</si>
  <si>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</si>
  <si>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</si>
  <si>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</si>
  <si>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</si>
  <si>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</si>
  <si>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</si>
  <si>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</si>
  <si>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</si>
  <si>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</si>
  <si>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</si>
  <si>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</si>
  <si>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</si>
  <si>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</si>
  <si>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</si>
  <si>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</si>
  <si>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</si>
  <si>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</si>
  <si>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</si>
  <si>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</si>
  <si>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</si>
  <si>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</si>
  <si>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</si>
  <si>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</si>
  <si>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</si>
  <si>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</si>
  <si>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</si>
  <si>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</si>
  <si>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</si>
  <si>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</si>
  <si>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</si>
  <si>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</si>
  <si>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</si>
  <si>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</si>
  <si>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</si>
  <si>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</si>
  <si>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</si>
  <si>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</si>
  <si>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</si>
  <si>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</si>
  <si>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</si>
  <si>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</si>
  <si>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</si>
  <si>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</si>
  <si>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</si>
  <si>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</si>
  <si>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</si>
  <si>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</si>
  <si>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</si>
  <si>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</si>
  <si>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</si>
  <si>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</si>
  <si>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</si>
  <si>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</si>
  <si>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</si>
  <si>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</si>
  <si>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</si>
  <si>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</si>
  <si>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</si>
  <si>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</si>
  <si>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</si>
  <si>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</si>
  <si>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</si>
  <si>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</si>
  <si>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</si>
  <si>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</si>
  <si>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</si>
  <si>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</si>
  <si>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</si>
  <si>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</si>
  <si>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</si>
  <si>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</si>
  <si>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</si>
  <si>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</si>
  <si>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</si>
  <si>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</si>
  <si>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</si>
  <si>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</si>
  <si>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</si>
  <si>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</si>
  <si>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</si>
  <si>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</si>
  <si>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</si>
  <si>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</si>
  <si>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</si>
  <si>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</si>
  <si>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</si>
  <si>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</si>
  <si>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</si>
  <si>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</si>
  <si>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</si>
  <si>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</si>
  <si>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</si>
  <si>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</si>
  <si>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</si>
  <si>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</si>
  <si>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</si>
  <si>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</si>
  <si>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</si>
  <si>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</si>
  <si>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</si>
  <si>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</si>
  <si>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</si>
  <si>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</si>
  <si>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</si>
  <si>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</si>
  <si>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</si>
  <si>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</si>
  <si>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</si>
  <si>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</si>
  <si>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</si>
  <si>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</si>
  <si>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</si>
  <si>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</si>
  <si>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</si>
  <si>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</si>
  <si>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</si>
  <si>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</si>
  <si>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</si>
  <si>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</si>
  <si>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</si>
  <si>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</si>
  <si>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</si>
  <si>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</si>
  <si>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</si>
  <si>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</si>
  <si>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</si>
  <si>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</si>
  <si>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</si>
  <si>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</si>
  <si>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</si>
  <si>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</si>
  <si>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</si>
  <si>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</si>
  <si>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</si>
  <si>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</si>
  <si>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</si>
  <si>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</si>
  <si>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</si>
  <si>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</si>
  <si>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</si>
  <si>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</si>
  <si>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</si>
  <si>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</si>
  <si>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</si>
  <si>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</si>
  <si>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</si>
  <si>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</si>
  <si>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</si>
  <si>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</si>
  <si>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</si>
  <si>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</si>
  <si>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</si>
  <si>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</si>
  <si>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</si>
  <si>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</si>
  <si>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</si>
  <si>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</si>
  <si>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</si>
  <si>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</si>
  <si>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</si>
  <si>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</si>
  <si>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</si>
  <si>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</si>
  <si>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</si>
  <si>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</si>
  <si>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</si>
  <si>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</si>
  <si>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</si>
  <si>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</si>
  <si>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</si>
  <si>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</si>
  <si>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</si>
  <si>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</si>
  <si>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</si>
  <si>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</si>
  <si>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</si>
  <si>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</si>
  <si>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</si>
  <si>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</si>
  <si>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</si>
  <si>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</si>
  <si>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</si>
  <si>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</si>
  <si>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</si>
  <si>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</si>
  <si>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</si>
  <si>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</si>
  <si>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</si>
  <si>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</si>
  <si>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</si>
  <si>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</si>
  <si>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</si>
  <si>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</si>
  <si>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</si>
  <si>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</si>
  <si>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</si>
  <si>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</si>
  <si>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</si>
  <si>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</si>
  <si>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</si>
  <si>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</si>
  <si>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</si>
  <si>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</si>
  <si>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</si>
  <si>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</si>
  <si>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</si>
  <si>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</si>
  <si>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</si>
  <si>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</si>
  <si>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</si>
  <si>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</si>
  <si>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</si>
  <si>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</si>
  <si>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</si>
  <si>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</si>
  <si>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</si>
  <si>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</si>
  <si>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</si>
  <si>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</si>
  <si>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</si>
  <si>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</si>
  <si>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</si>
  <si>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</si>
  <si>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</si>
  <si>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</si>
  <si>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</si>
  <si>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</si>
  <si>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</si>
  <si>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</si>
  <si>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</si>
  <si>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</si>
  <si>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</si>
  <si>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</si>
  <si>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</si>
  <si>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</si>
  <si>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</si>
  <si>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</si>
  <si>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</si>
  <si>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</si>
  <si>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</si>
  <si>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</si>
  <si>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</si>
  <si>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</si>
  <si>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</si>
  <si>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</si>
  <si>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</si>
  <si>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</si>
  <si>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</si>
  <si>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</si>
  <si>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</si>
  <si>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</si>
  <si>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</si>
  <si>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</si>
  <si>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</si>
  <si>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</si>
  <si>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</si>
  <si>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</si>
  <si>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</si>
  <si>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</si>
  <si>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</si>
  <si>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</si>
  <si>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</si>
  <si>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</si>
  <si>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</si>
  <si>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</si>
  <si>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</si>
  <si>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</si>
  <si>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</si>
  <si>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</si>
  <si>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</si>
  <si>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</si>
  <si>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</si>
  <si>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</si>
  <si>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</si>
  <si>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</si>
  <si>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</si>
  <si>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</si>
  <si>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</si>
  <si>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</si>
  <si>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</si>
  <si>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</si>
  <si>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</si>
  <si>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</si>
  <si>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</si>
  <si>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</si>
  <si>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</si>
  <si>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</si>
  <si>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</si>
  <si>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</si>
  <si>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</si>
  <si>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</si>
  <si>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</si>
  <si>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</si>
  <si>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</si>
  <si>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</si>
  <si>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</si>
  <si>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</si>
  <si>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</si>
  <si>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</si>
  <si>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</si>
  <si>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</si>
  <si>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</si>
  <si>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</si>
  <si>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</si>
  <si>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</si>
  <si>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</si>
  <si>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</si>
  <si>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</si>
  <si>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</si>
  <si>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</si>
  <si>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</si>
  <si>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</si>
  <si>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</si>
  <si>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</si>
  <si>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</si>
  <si>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</si>
  <si>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</si>
  <si>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</si>
  <si>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</si>
  <si>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</si>
  <si>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</si>
  <si>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</si>
  <si>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</si>
  <si>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</si>
  <si>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</si>
  <si>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</si>
  <si>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</si>
  <si>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</si>
  <si>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</si>
  <si>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</si>
  <si>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</si>
  <si>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</si>
  <si>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</si>
  <si>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</si>
  <si>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</si>
  <si>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</si>
  <si>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</si>
  <si>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</si>
  <si>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</si>
  <si>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</si>
  <si>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</si>
  <si>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</si>
  <si>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</si>
  <si>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</si>
  <si>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</si>
  <si>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</si>
  <si>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</si>
  <si>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</si>
  <si>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</si>
  <si>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</si>
  <si>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</si>
  <si>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</si>
  <si>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</si>
  <si>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</si>
  <si>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</si>
  <si>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</si>
  <si>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</si>
  <si>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</si>
  <si>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</si>
  <si>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</si>
  <si>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</si>
  <si>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</si>
  <si>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</si>
  <si>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</si>
  <si>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</si>
  <si>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</si>
  <si>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</si>
  <si>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</si>
  <si>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</si>
  <si>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</si>
  <si>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</si>
  <si>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</si>
  <si>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</si>
  <si>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</si>
  <si>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</si>
  <si>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</si>
  <si>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</si>
  <si>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</si>
  <si>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</si>
  <si>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</si>
  <si>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</si>
  <si>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</si>
  <si>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</si>
  <si>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</si>
  <si>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</si>
  <si>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</si>
  <si>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</si>
  <si>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</si>
  <si>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</si>
  <si>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</si>
  <si>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</si>
  <si>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</si>
  <si>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</si>
  <si>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</si>
  <si>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</si>
  <si>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</si>
  <si>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</si>
  <si>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</si>
  <si>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</si>
  <si>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</si>
  <si>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</si>
  <si>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</si>
  <si>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</si>
  <si>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</si>
  <si>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</si>
  <si>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</si>
  <si>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</si>
  <si>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</si>
  <si>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</si>
  <si>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</si>
  <si>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</si>
  <si>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</si>
  <si>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</si>
  <si>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</si>
  <si>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</si>
  <si>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</si>
  <si>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</si>
  <si>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</si>
  <si>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</si>
  <si>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</si>
  <si>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</si>
  <si>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</si>
  <si>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</si>
  <si>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</si>
  <si>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</si>
  <si>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</si>
  <si>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</si>
  <si>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</si>
  <si>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</si>
  <si>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</si>
  <si>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Row Labels</t>
  </si>
  <si>
    <t>Grand Total</t>
  </si>
  <si>
    <t>Count of TX ID</t>
  </si>
  <si>
    <t>Sum of Quantity</t>
  </si>
  <si>
    <t>Sum of Amount</t>
  </si>
  <si>
    <t>Average of Rating C</t>
  </si>
  <si>
    <t>Average of Days to Deliver</t>
  </si>
  <si>
    <t>Unknown</t>
  </si>
  <si>
    <t>Male</t>
  </si>
  <si>
    <t>Female</t>
  </si>
  <si>
    <t>Other</t>
  </si>
  <si>
    <t>Column Labels</t>
  </si>
  <si>
    <t>Fe</t>
  </si>
  <si>
    <t>6 TO 10</t>
  </si>
  <si>
    <t>More than 10</t>
  </si>
  <si>
    <t>Jan</t>
  </si>
  <si>
    <t>Feb</t>
  </si>
  <si>
    <t>Mar</t>
  </si>
  <si>
    <t>STATE</t>
  </si>
  <si>
    <t>COUNTRY</t>
  </si>
  <si>
    <t>COMBINATION OF STATE &amp; COUNTRY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</si>
</sst>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9" formatCode="0.0%"/>
  </numFmts>
  <fonts count="3" x14ac:knownFonts="1">
    <font>
      <sz val="11"/>
      <color theme="1"/>
      <name val="Aptos Narrow"/>
      <family val="2"/>
      <scheme val="minor"/>
    </font>
    <font>
      <b/>
      <sz val="11"/>
      <color theme="1"/>
      <name val="Aptos Narrow"/>
      <family val="2"/>
      <scheme val="minor"/>
    </font>
    <font>
      <sz val="11"/>
      <color rgb="FF000000"/>
      <name val="Aptos Narrow"/>
      <family val="2"/>
      <scheme val="minor"/>
    </font>
  </fonts>
  <fills count="24">
    <fill>
      <patternFill patternType="none"/>
    </fill>
    <fill>
      <patternFill patternType="gray125"/>
    </fill>
    <fill>
      <patternFill patternType="solid">
        <fgColor theme="9"/>
        <bgColor indexed="64"/>
      </patternFill>
    </fill>
    <fill>
      <patternFill patternType="solid">
        <fgColor theme="9" tint="0.39997558519241921"/>
        <bgColor indexed="64"/>
      </patternFill>
    </fill>
    <fill>
      <patternFill patternType="solid">
        <fgColor rgb="FF5A8AC6"/>
        <bgColor rgb="FF000000"/>
      </patternFill>
    </fill>
    <fill>
      <patternFill patternType="solid">
        <fgColor rgb="FFA1BCDF"/>
        <bgColor rgb="FF000000"/>
      </patternFill>
    </fill>
    <fill>
      <patternFill patternType="solid">
        <fgColor rgb="FFF98E91"/>
        <bgColor rgb="FF000000"/>
      </patternFill>
    </fill>
    <fill>
      <patternFill patternType="solid">
        <fgColor rgb="FFFBE2E5"/>
        <bgColor rgb="FF000000"/>
      </patternFill>
    </fill>
    <fill>
      <patternFill patternType="solid">
        <fgColor rgb="FFEFF3FB"/>
        <bgColor rgb="FF000000"/>
      </patternFill>
    </fill>
    <fill>
      <patternFill patternType="solid">
        <fgColor rgb="FFF6F8FD"/>
        <bgColor rgb="FF000000"/>
      </patternFill>
    </fill>
    <fill>
      <patternFill patternType="solid">
        <fgColor rgb="FFF8696B"/>
        <bgColor rgb="FF000000"/>
      </patternFill>
    </fill>
    <fill>
      <patternFill patternType="solid">
        <fgColor rgb="FFF9ACAE"/>
        <bgColor rgb="FF000000"/>
      </patternFill>
    </fill>
    <fill>
      <patternFill patternType="solid">
        <fgColor rgb="FFE1E9F6"/>
        <bgColor rgb="FF000000"/>
      </patternFill>
    </fill>
    <fill>
      <patternFill patternType="solid">
        <fgColor rgb="FFF3F6FC"/>
        <bgColor rgb="FF000000"/>
      </patternFill>
    </fill>
    <fill>
      <patternFill patternType="solid">
        <fgColor rgb="FFF87173"/>
        <bgColor rgb="FF000000"/>
      </patternFill>
    </fill>
    <fill>
      <patternFill patternType="solid">
        <fgColor rgb="FFBED1EA"/>
        <bgColor rgb="FF000000"/>
      </patternFill>
    </fill>
    <fill>
      <patternFill patternType="solid">
        <fgColor rgb="FFDCE5F4"/>
        <bgColor rgb="FF000000"/>
      </patternFill>
    </fill>
    <fill>
      <patternFill patternType="solid">
        <fgColor rgb="FFF87577"/>
        <bgColor rgb="FF000000"/>
      </patternFill>
    </fill>
    <fill>
      <patternFill patternType="solid">
        <fgColor rgb="FFF99799"/>
        <bgColor rgb="FF000000"/>
      </patternFill>
    </fill>
    <fill>
      <patternFill patternType="solid">
        <fgColor rgb="FF9FBBDF"/>
        <bgColor rgb="FF000000"/>
      </patternFill>
    </fill>
    <fill>
      <patternFill patternType="solid">
        <fgColor rgb="FFC3D4EB"/>
        <bgColor rgb="FF000000"/>
      </patternFill>
    </fill>
    <fill>
      <patternFill patternType="solid">
        <fgColor rgb="FFF8797B"/>
        <bgColor rgb="FF000000"/>
      </patternFill>
    </fill>
    <fill>
      <patternFill patternType="solid">
        <fgColor rgb="FFF99395"/>
        <bgColor rgb="FF000000"/>
      </patternFill>
    </fill>
    <fill>
      <patternFill patternType="solid">
        <fgColor theme="0"/>
        <bgColor indexed="64"/>
      </patternFill>
    </fill>
  </fills>
  <borders count="18">
    <border>
      <left/>
      <right/>
      <top/>
      <bottom/>
      <diagonal/>
    </border>
    <border>
      <left/>
      <right/>
      <top/>
      <bottom style="thin">
        <color theme="4" tint="0.39997558519241921"/>
      </bottom>
      <diagonal/>
    </border>
    <border>
      <left/>
      <right style="thick">
        <color theme="0"/>
      </right>
      <top/>
      <bottom style="thick">
        <color theme="0"/>
      </bottom>
      <diagonal/>
    </border>
    <border>
      <left style="thick">
        <color theme="0"/>
      </left>
      <right style="thick">
        <color theme="0"/>
      </right>
      <top/>
      <bottom style="thick">
        <color theme="0"/>
      </bottom>
      <diagonal/>
    </border>
    <border>
      <left style="thick">
        <color theme="0"/>
      </left>
      <right/>
      <top/>
      <bottom style="thick">
        <color theme="0"/>
      </bottom>
      <diagonal/>
    </border>
    <border>
      <left/>
      <right style="thick">
        <color theme="0"/>
      </right>
      <top style="thick">
        <color theme="0"/>
      </top>
      <bottom style="thick">
        <color theme="0"/>
      </bottom>
      <diagonal/>
    </border>
    <border>
      <left style="thick">
        <color theme="0"/>
      </left>
      <right style="thick">
        <color theme="0"/>
      </right>
      <top style="thick">
        <color theme="0"/>
      </top>
      <bottom style="thick">
        <color theme="0"/>
      </bottom>
      <diagonal/>
    </border>
    <border>
      <left style="thick">
        <color theme="0"/>
      </left>
      <right/>
      <top style="thick">
        <color theme="0"/>
      </top>
      <bottom style="thick">
        <color theme="0"/>
      </bottom>
      <diagonal/>
    </border>
    <border>
      <left/>
      <right style="thick">
        <color theme="0"/>
      </right>
      <top style="thick">
        <color theme="0"/>
      </top>
      <bottom/>
      <diagonal/>
    </border>
    <border>
      <left style="thick">
        <color theme="0"/>
      </left>
      <right style="thick">
        <color theme="0"/>
      </right>
      <top style="thick">
        <color theme="0"/>
      </top>
      <bottom/>
      <diagonal/>
    </border>
    <border>
      <left style="thick">
        <color theme="0"/>
      </left>
      <right/>
      <top style="thick">
        <color theme="0"/>
      </top>
      <bottom/>
      <diagonal/>
    </border>
    <border>
      <left/>
      <right style="thick">
        <color rgb="FFFFFFFF"/>
      </right>
      <top/>
      <bottom style="thick">
        <color rgb="FFFFFFFF"/>
      </bottom>
      <diagonal/>
    </border>
    <border>
      <left/>
      <right/>
      <top/>
      <bottom style="thick">
        <color rgb="FFFFFFFF"/>
      </bottom>
      <diagonal/>
    </border>
    <border>
      <left style="thick">
        <color rgb="FFFFFFFF"/>
      </left>
      <right style="thick">
        <color rgb="FFFFFFFF"/>
      </right>
      <top style="thick">
        <color rgb="FFFFFFFF"/>
      </top>
      <bottom style="thick">
        <color rgb="FFFFFFFF"/>
      </bottom>
      <diagonal/>
    </border>
    <border>
      <left style="thick">
        <color rgb="FFFFFFFF"/>
      </left>
      <right/>
      <top style="thick">
        <color rgb="FFFFFFFF"/>
      </top>
      <bottom style="thick">
        <color rgb="FFFFFFFF"/>
      </bottom>
      <diagonal/>
    </border>
    <border>
      <left/>
      <right style="thick">
        <color rgb="FFFFFFFF"/>
      </right>
      <top/>
      <bottom/>
      <diagonal/>
    </border>
    <border>
      <left style="thick">
        <color rgb="FFFFFFFF"/>
      </left>
      <right style="thick">
        <color rgb="FFFFFFFF"/>
      </right>
      <top style="thick">
        <color rgb="FFFFFFFF"/>
      </top>
      <bottom/>
      <diagonal/>
    </border>
    <border>
      <left style="thick">
        <color rgb="FFFFFFFF"/>
      </left>
      <right/>
      <top style="thick">
        <color rgb="FFFFFFFF"/>
      </top>
      <bottom/>
      <diagonal/>
    </border>
  </borders>
  <cellStyleXfs count="1">
    <xf numFmtId="0" fontId="0" fillId="0" borderId="0"/>
  </cellStyleXfs>
  <cellXfs count="60">
    <xf numFmtId="0" fontId="0" fillId="0" borderId="0" xfId="0"/>
    <xf numFmtId="15" fontId="0" fillId="0" borderId="0" xfId="0" applyNumberFormat="1"/>
    <xf numFmtId="0" fontId="0" fillId="2" borderId="0" xfId="0" applyFill="1"/>
    <xf numFmtId="0" fontId="1" fillId="2" borderId="0" xfId="0" applyFont="1" applyFill="1"/>
    <xf numFmtId="0" fontId="0" fillId="0" borderId="0" xfId="0" applyAlignment="1">
      <alignment horizontal="left" indent="1"/>
    </xf>
    <xf numFmtId="0" fontId="0" fillId="0" borderId="0" xfId="0" pivotButton="1"/>
    <xf numFmtId="0" fontId="0" fillId="0" borderId="0" xfId="0" applyAlignment="1">
      <alignment horizontal="left"/>
    </xf>
    <xf numFmtId="0" fontId="0" fillId="0" borderId="0" xfId="0" applyNumberFormat="1"/>
    <xf numFmtId="0" fontId="0" fillId="3" borderId="0" xfId="0" applyFill="1"/>
    <xf numFmtId="0" fontId="0" fillId="0" borderId="0" xfId="0" applyBorder="1"/>
    <xf numFmtId="0" fontId="1" fillId="0" borderId="0" xfId="0" applyFont="1"/>
    <xf numFmtId="0" fontId="0" fillId="3" borderId="0" xfId="0" applyFill="1" applyAlignment="1">
      <alignment horizontal="left"/>
    </xf>
    <xf numFmtId="0" fontId="0" fillId="3" borderId="0" xfId="0" applyNumberFormat="1" applyFill="1"/>
    <xf numFmtId="164" fontId="0" fillId="0" borderId="0" xfId="0" applyNumberFormat="1"/>
    <xf numFmtId="164" fontId="0" fillId="3" borderId="0" xfId="0" applyNumberFormat="1" applyFill="1"/>
    <xf numFmtId="169" fontId="0" fillId="0" borderId="0" xfId="0" applyNumberFormat="1"/>
    <xf numFmtId="169" fontId="0" fillId="0" borderId="0" xfId="0" applyNumberFormat="1" applyAlignment="1">
      <alignment horizontal="center" vertical="center"/>
    </xf>
    <xf numFmtId="10" fontId="0" fillId="0" borderId="0" xfId="0" applyNumberFormat="1" applyAlignment="1">
      <alignment horizontal="center"/>
    </xf>
    <xf numFmtId="10" fontId="0" fillId="3" borderId="0" xfId="0" applyNumberFormat="1" applyFill="1" applyAlignment="1">
      <alignment horizontal="center"/>
    </xf>
    <xf numFmtId="0" fontId="2" fillId="0" borderId="5" xfId="0" applyFont="1" applyBorder="1"/>
    <xf numFmtId="169" fontId="2" fillId="0" borderId="6" xfId="0" applyNumberFormat="1" applyFont="1" applyBorder="1" applyAlignment="1">
      <alignment horizontal="center" vertical="center"/>
    </xf>
    <xf numFmtId="169" fontId="2" fillId="0" borderId="7" xfId="0" applyNumberFormat="1" applyFont="1" applyBorder="1" applyAlignment="1">
      <alignment horizontal="center" vertical="center"/>
    </xf>
    <xf numFmtId="0" fontId="2" fillId="0" borderId="8" xfId="0" applyFont="1" applyBorder="1"/>
    <xf numFmtId="169" fontId="2" fillId="0" borderId="9" xfId="0" applyNumberFormat="1" applyFont="1" applyBorder="1" applyAlignment="1">
      <alignment horizontal="center" vertical="center"/>
    </xf>
    <xf numFmtId="169" fontId="2" fillId="0" borderId="10" xfId="0" applyNumberFormat="1" applyFont="1" applyBorder="1" applyAlignment="1">
      <alignment horizontal="center" vertical="center"/>
    </xf>
    <xf numFmtId="0" fontId="2" fillId="0" borderId="2" xfId="0" applyFont="1" applyBorder="1" applyAlignment="1">
      <alignment horizontal="center"/>
    </xf>
    <xf numFmtId="0" fontId="2" fillId="0" borderId="3" xfId="0" applyFont="1" applyBorder="1" applyAlignment="1">
      <alignment horizontal="center"/>
    </xf>
    <xf numFmtId="0" fontId="2" fillId="0" borderId="4" xfId="0" applyFont="1" applyBorder="1" applyAlignment="1">
      <alignment horizontal="center"/>
    </xf>
    <xf numFmtId="0" fontId="2" fillId="0" borderId="11" xfId="0" applyFont="1" applyBorder="1" applyAlignment="1">
      <alignment horizontal="center"/>
    </xf>
    <xf numFmtId="0" fontId="2" fillId="0" borderId="12" xfId="0" applyFont="1" applyBorder="1" applyAlignment="1">
      <alignment horizontal="center"/>
    </xf>
    <xf numFmtId="0" fontId="2" fillId="0" borderId="11" xfId="0" applyFont="1" applyBorder="1"/>
    <xf numFmtId="169" fontId="2" fillId="4" borderId="13" xfId="0" applyNumberFormat="1" applyFont="1" applyFill="1" applyBorder="1" applyAlignment="1">
      <alignment horizontal="center" vertical="center"/>
    </xf>
    <xf numFmtId="169" fontId="2" fillId="5" borderId="13" xfId="0" applyNumberFormat="1" applyFont="1" applyFill="1" applyBorder="1" applyAlignment="1">
      <alignment horizontal="center" vertical="center"/>
    </xf>
    <xf numFmtId="169" fontId="2" fillId="6" borderId="13" xfId="0" applyNumberFormat="1" applyFont="1" applyFill="1" applyBorder="1" applyAlignment="1">
      <alignment horizontal="center" vertical="center"/>
    </xf>
    <xf numFmtId="169" fontId="2" fillId="7" borderId="14" xfId="0" applyNumberFormat="1" applyFont="1" applyFill="1" applyBorder="1" applyAlignment="1">
      <alignment horizontal="center" vertical="center"/>
    </xf>
    <xf numFmtId="169" fontId="2" fillId="8" borderId="13" xfId="0" applyNumberFormat="1" applyFont="1" applyFill="1" applyBorder="1" applyAlignment="1">
      <alignment horizontal="center" vertical="center"/>
    </xf>
    <xf numFmtId="169" fontId="2" fillId="9" borderId="13" xfId="0" applyNumberFormat="1" applyFont="1" applyFill="1" applyBorder="1" applyAlignment="1">
      <alignment horizontal="center" vertical="center"/>
    </xf>
    <xf numFmtId="169" fontId="2" fillId="10" borderId="13" xfId="0" applyNumberFormat="1" applyFont="1" applyFill="1" applyBorder="1" applyAlignment="1">
      <alignment horizontal="center" vertical="center"/>
    </xf>
    <xf numFmtId="169" fontId="2" fillId="11" borderId="14" xfId="0" applyNumberFormat="1" applyFont="1" applyFill="1" applyBorder="1" applyAlignment="1">
      <alignment horizontal="center" vertical="center"/>
    </xf>
    <xf numFmtId="169" fontId="2" fillId="12" borderId="13" xfId="0" applyNumberFormat="1" applyFont="1" applyFill="1" applyBorder="1" applyAlignment="1">
      <alignment horizontal="center" vertical="center"/>
    </xf>
    <xf numFmtId="169" fontId="2" fillId="13" borderId="13" xfId="0" applyNumberFormat="1" applyFont="1" applyFill="1" applyBorder="1" applyAlignment="1">
      <alignment horizontal="center" vertical="center"/>
    </xf>
    <xf numFmtId="169" fontId="2" fillId="14" borderId="14" xfId="0" applyNumberFormat="1" applyFont="1" applyFill="1" applyBorder="1" applyAlignment="1">
      <alignment horizontal="center" vertical="center"/>
    </xf>
    <xf numFmtId="169" fontId="2" fillId="15" borderId="13" xfId="0" applyNumberFormat="1" applyFont="1" applyFill="1" applyBorder="1" applyAlignment="1">
      <alignment horizontal="center" vertical="center"/>
    </xf>
    <xf numFmtId="169" fontId="2" fillId="16" borderId="13" xfId="0" applyNumberFormat="1" applyFont="1" applyFill="1" applyBorder="1" applyAlignment="1">
      <alignment horizontal="center" vertical="center"/>
    </xf>
    <xf numFmtId="169" fontId="2" fillId="17" borderId="13" xfId="0" applyNumberFormat="1" applyFont="1" applyFill="1" applyBorder="1" applyAlignment="1">
      <alignment horizontal="center" vertical="center"/>
    </xf>
    <xf numFmtId="169" fontId="2" fillId="18" borderId="14" xfId="0" applyNumberFormat="1" applyFont="1" applyFill="1" applyBorder="1" applyAlignment="1">
      <alignment horizontal="center" vertical="center"/>
    </xf>
    <xf numFmtId="0" fontId="2" fillId="0" borderId="15" xfId="0" applyFont="1" applyBorder="1"/>
    <xf numFmtId="169" fontId="2" fillId="19" borderId="16" xfId="0" applyNumberFormat="1" applyFont="1" applyFill="1" applyBorder="1" applyAlignment="1">
      <alignment horizontal="center" vertical="center"/>
    </xf>
    <xf numFmtId="169" fontId="2" fillId="20" borderId="16" xfId="0" applyNumberFormat="1" applyFont="1" applyFill="1" applyBorder="1" applyAlignment="1">
      <alignment horizontal="center" vertical="center"/>
    </xf>
    <xf numFmtId="169" fontId="2" fillId="21" borderId="16" xfId="0" applyNumberFormat="1" applyFont="1" applyFill="1" applyBorder="1" applyAlignment="1">
      <alignment horizontal="center" vertical="center"/>
    </xf>
    <xf numFmtId="169" fontId="2" fillId="22" borderId="17" xfId="0" applyNumberFormat="1" applyFont="1" applyFill="1" applyBorder="1" applyAlignment="1">
      <alignment horizontal="center" vertical="center"/>
    </xf>
    <xf numFmtId="0" fontId="0" fillId="23" borderId="0" xfId="0" applyFill="1" applyAlignment="1">
      <alignment horizontal="left"/>
    </xf>
    <xf numFmtId="0" fontId="0" fillId="2" borderId="0" xfId="0" applyFill="1" applyAlignment="1">
      <alignment horizontal="left"/>
    </xf>
    <xf numFmtId="0" fontId="0" fillId="2" borderId="0" xfId="0" applyNumberFormat="1" applyFill="1"/>
    <xf numFmtId="0" fontId="0" fillId="0" borderId="0" xfId="0" applyAlignment="1">
      <alignment horizontal="center"/>
    </xf>
    <xf numFmtId="0" fontId="0" fillId="0" borderId="0" xfId="0" applyNumberFormat="1" applyAlignment="1">
      <alignment horizontal="center"/>
    </xf>
    <xf numFmtId="0" fontId="0" fillId="2" borderId="0" xfId="0" applyFill="1" applyAlignment="1">
      <alignment horizontal="center"/>
    </xf>
    <xf numFmtId="0" fontId="0" fillId="2" borderId="0" xfId="0" applyNumberFormat="1" applyFill="1" applyAlignment="1">
      <alignment horizontal="center"/>
    </xf>
    <xf numFmtId="0" fontId="1" fillId="0" borderId="1" xfId="0" applyFont="1" applyBorder="1"/>
    <xf numFmtId="0" fontId="1" fillId="2" borderId="1" xfId="0" applyFont="1" applyFill="1" applyBorder="1"/>
  </cellXfs>
  <cellStyles count="1">
    <cellStyle name="Normal" xfId="0" builtinId="0"/>
  </cellStyles>
  <dxfs count="67">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bgColor theme="0"/>
        </patternFill>
      </fill>
    </dxf>
    <dxf>
      <alignment horizontal="center"/>
    </dxf>
    <dxf>
      <alignment horizontal="center"/>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alignment horizontal="center"/>
    </dxf>
    <dxf>
      <alignment horizontal="center"/>
    </dxf>
    <dxf>
      <alignment horizontal="center"/>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numFmt numFmtId="14" formatCode="0.00%"/>
    </dxf>
    <dxf>
      <alignment horizontal="center"/>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numFmt numFmtId="164" formatCode="&quot;$&quot;#,##0"/>
    </dxf>
    <dxf>
      <numFmt numFmtId="0" formatCode="General"/>
    </dxf>
    <dxf>
      <numFmt numFmtId="0" formatCode="General"/>
    </dxf>
    <dxf>
      <numFmt numFmtId="0" formatCode="General"/>
    </dxf>
    <dxf>
      <numFmt numFmtId="20" formatCode="d\-mmm\-yy"/>
    </dxf>
    <dxf>
      <numFmt numFmtId="20" formatCode="d\-mmm\-yy"/>
    </dxf>
  </dxfs>
  <tableStyles count="0" defaultTableStyle="TableStyleMedium2" defaultPivotStyle="PivotStyleLight16"/>
  <colors>
    <mruColors>
      <color rgb="FFB9FFD9"/>
      <color rgb="FFF06E02"/>
      <color rgb="FFFD8A2B"/>
      <color rgb="FFFEDDC2"/>
      <color rgb="FF00EA6A"/>
      <color rgb="FF004C2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[ecommerce_sales_data.xlsx]PT1!PivotTable2</c:name>
    <c:fmtId val="7"/>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C0000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tx2">
                <a:lumMod val="50000"/>
                <a:lumOff val="50000"/>
              </a:schemeClr>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41785369721971"/>
          <c:y val="0.19764327722829708"/>
          <c:w val="0.75213071392316122"/>
          <c:h val="0.69851194560494834"/>
        </c:manualLayout>
      </c:layout>
      <c:lineChart>
        <c:grouping val="standard"/>
        <c:varyColors val="0"/>
        <c:ser>
          <c:idx val="0"/>
          <c:order val="0"/>
          <c:tx>
            <c:strRef>
              <c:f>'PT1'!$B$9</c:f>
              <c:strCache>
                <c:ptCount val="1"/>
                <c:pt idx="0">
                  <c:v>Sum of Quantity</c:v>
                </c:pt>
              </c:strCache>
            </c:strRef>
          </c:tx>
          <c:spPr>
            <a:ln w="28575" cap="rnd">
              <a:solidFill>
                <a:srgbClr val="C00000"/>
              </a:solidFill>
              <a:round/>
            </a:ln>
            <a:effectLst/>
          </c:spPr>
          <c:marker>
            <c:symbol val="circle"/>
            <c:size val="5"/>
            <c:spPr>
              <a:solidFill>
                <a:schemeClr val="accent1"/>
              </a:solidFill>
              <a:ln w="9525">
                <a:solidFill>
                  <a:schemeClr val="accent1"/>
                </a:solidFill>
              </a:ln>
              <a:effectLst/>
            </c:spPr>
          </c:marker>
          <c:cat>
            <c:strRef>
              <c:f>'PT1'!$A$10:$A$23</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'PT1'!$B$10:$B$23</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0-4951-411E-BD38-9072A0FE9B19}"/>
            </c:ext>
          </c:extLst>
        </c:ser>
        <c:dLbls>
          <c:showLegendKey val="0"/>
          <c:showVal val="0"/>
          <c:showCatName val="0"/>
          <c:showSerName val="0"/>
          <c:showPercent val="0"/>
          <c:showBubbleSize val="0"/>
        </c:dLbls>
        <c:marker val="1"/>
        <c:smooth val="0"/>
        <c:axId val="2116331599"/>
        <c:axId val="2116332079"/>
      </c:lineChart>
      <c:lineChart>
        <c:grouping val="standard"/>
        <c:varyColors val="0"/>
        <c:ser>
          <c:idx val="1"/>
          <c:order val="1"/>
          <c:tx>
            <c:strRef>
              <c:f>'PT1'!$C$9</c:f>
              <c:strCache>
                <c:ptCount val="1"/>
                <c:pt idx="0">
                  <c:v>Sum of Amount</c:v>
                </c:pt>
              </c:strCache>
            </c:strRef>
          </c:tx>
          <c:spPr>
            <a:ln w="28575" cap="rnd">
              <a:solidFill>
                <a:schemeClr val="tx2">
                  <a:lumMod val="50000"/>
                  <a:lumOff val="50000"/>
                </a:schemeClr>
              </a:solidFill>
              <a:round/>
            </a:ln>
            <a:effectLst/>
          </c:spPr>
          <c:marker>
            <c:symbol val="circle"/>
            <c:size val="5"/>
            <c:spPr>
              <a:solidFill>
                <a:schemeClr val="accent2"/>
              </a:solidFill>
              <a:ln w="9525">
                <a:solidFill>
                  <a:schemeClr val="accent2"/>
                </a:solidFill>
              </a:ln>
              <a:effectLst/>
            </c:spPr>
          </c:marker>
          <c:cat>
            <c:strRef>
              <c:f>'PT1'!$A$10:$A$23</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'PT1'!$C$10:$C$23</c:f>
              <c:numCache>
                <c:formatCode>"$"#,##0</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1-4951-411E-BD38-9072A0FE9B19}"/>
            </c:ext>
          </c:extLst>
        </c:ser>
        <c:dLbls>
          <c:showLegendKey val="0"/>
          <c:showVal val="0"/>
          <c:showCatName val="0"/>
          <c:showSerName val="0"/>
          <c:showPercent val="0"/>
          <c:showBubbleSize val="0"/>
        </c:dLbls>
        <c:marker val="1"/>
        <c:smooth val="0"/>
        <c:axId val="466503679"/>
        <c:axId val="530301631"/>
      </c:lineChart>
      <c:catAx>
        <c:axId val="2116331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6332079"/>
        <c:crosses val="autoZero"/>
        <c:auto val="1"/>
        <c:lblAlgn val="ctr"/>
        <c:lblOffset val="100"/>
        <c:noMultiLvlLbl val="0"/>
      </c:catAx>
      <c:valAx>
        <c:axId val="2116332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6331599"/>
        <c:crosses val="autoZero"/>
        <c:crossBetween val="between"/>
      </c:valAx>
      <c:valAx>
        <c:axId val="530301631"/>
        <c:scaling>
          <c:orientation val="minMax"/>
        </c:scaling>
        <c:delete val="0"/>
        <c:axPos val="r"/>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6503679"/>
        <c:crosses val="max"/>
        <c:crossBetween val="between"/>
      </c:valAx>
      <c:catAx>
        <c:axId val="466503679"/>
        <c:scaling>
          <c:orientation val="minMax"/>
        </c:scaling>
        <c:delete val="1"/>
        <c:axPos val="b"/>
        <c:numFmt formatCode="General" sourceLinked="1"/>
        <c:majorTickMark val="out"/>
        <c:minorTickMark val="none"/>
        <c:tickLblPos val="nextTo"/>
        <c:crossAx val="530301631"/>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[ecommerce_sales_data.xlsx]PT3!PivotTable5</c:name>
    <c:fmtId val="1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6">
                  <a:alpha val="0"/>
                </a:schemeClr>
              </a:gs>
              <a:gs pos="50000">
                <a:schemeClr val="accent6"/>
              </a:gs>
            </a:gsLst>
            <a:lin ang="5400000" scaled="0"/>
          </a:gradFill>
          <a:ln>
            <a:noFill/>
          </a:ln>
          <a:effectLst/>
          <a:sp3d/>
        </c:spPr>
        <c:marker>
          <c:symbol val="circle"/>
          <c:size val="6"/>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5400000" scaled="0"/>
            </a:gradFill>
            <a:ln w="9525" cap="flat" cmpd="sng" algn="ctr">
              <a:solidFill>
                <a:schemeClr val="accent6">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'PT3'!$B$3</c:f>
              <c:strCache>
                <c:ptCount val="1"/>
                <c:pt idx="0">
                  <c:v>Total</c:v>
                </c:pt>
              </c:strCache>
            </c:strRef>
          </c:tx>
          <c:spPr>
            <a:gradFill>
              <a:gsLst>
                <a:gs pos="100000">
                  <a:schemeClr val="accent6">
                    <a:alpha val="0"/>
                  </a:schemeClr>
                </a:gs>
                <a:gs pos="50000">
                  <a:schemeClr val="accent6"/>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'PT3'!$A$4:$A$11</c:f>
              <c:strCache>
                <c:ptCount val="7"/>
                <c:pt idx="0">
                  <c:v>1</c:v>
                </c:pt>
                <c:pt idx="1">
                  <c:v>2</c:v>
                </c:pt>
                <c:pt idx="2">
                  <c:v>3</c:v>
                </c:pt>
                <c:pt idx="3">
                  <c:v>5</c:v>
                </c:pt>
                <c:pt idx="4">
                  <c:v>4</c:v>
                </c:pt>
                <c:pt idx="5">
                  <c:v>6 TO 10</c:v>
                </c:pt>
                <c:pt idx="6">
                  <c:v>More than 10</c:v>
                </c:pt>
              </c:strCache>
            </c:strRef>
          </c:cat>
          <c:val>
            <c:numRef>
              <c:f>'PT3'!$B$4:$B$11</c:f>
              <c:numCache>
                <c:formatCode>General</c:formatCode>
                <c:ptCount val="7"/>
                <c:pt idx="0">
                  <c:v>397</c:v>
                </c:pt>
                <c:pt idx="1">
                  <c:v>540</c:v>
                </c:pt>
                <c:pt idx="2">
                  <c:v>375</c:v>
                </c:pt>
                <c:pt idx="3">
                  <c:v>195</c:v>
                </c:pt>
                <c:pt idx="4">
                  <c:v>246</c:v>
                </c:pt>
                <c:pt idx="5">
                  <c:v>414</c:v>
                </c:pt>
                <c:pt idx="6">
                  <c:v>233</c:v>
                </c:pt>
              </c:numCache>
            </c:numRef>
          </c:val>
          <c:extLst>
            <c:ext xmlns:c16="http://schemas.microsoft.com/office/drawing/2014/chart" uri="{C3380CC4-5D6E-409C-BE32-E72D297353CC}">
              <c16:uniqueId val="{00000000-BE58-4034-82CD-D0FFB5E099C3}"/>
            </c:ext>
          </c:extLst>
        </c:ser>
        <c:dLbls>
          <c:showLegendKey val="0"/>
          <c:showVal val="1"/>
          <c:showCatName val="0"/>
          <c:showSerName val="0"/>
          <c:showPercent val="0"/>
          <c:showBubbleSize val="0"/>
        </c:dLbls>
        <c:gapWidth val="0"/>
        <c:gapDepth val="0"/>
        <c:shape val="box"/>
        <c:axId val="1864714879"/>
        <c:axId val="1864715839"/>
        <c:axId val="0"/>
      </c:bar3DChart>
      <c:catAx>
        <c:axId val="18647148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4715839"/>
        <c:crosses val="autoZero"/>
        <c:auto val="1"/>
        <c:lblAlgn val="ctr"/>
        <c:lblOffset val="100"/>
        <c:noMultiLvlLbl val="0"/>
      </c:catAx>
      <c:valAx>
        <c:axId val="18647158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4714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[ecommerce_sales_data.xlsx]PT4!PivotTable9</c:name>
    <c:fmtId val="16"/>
  </c:pivotSource>
  <c:chart>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292491197936373E-2"/>
          <c:y val="7.8856828344305727E-2"/>
          <c:w val="0.69493527832608337"/>
          <c:h val="0.90662164355061969"/>
        </c:manualLayout>
      </c:layout>
      <c:barChart>
        <c:barDir val="bar"/>
        <c:grouping val="stacked"/>
        <c:varyColors val="0"/>
        <c:ser>
          <c:idx val="0"/>
          <c:order val="0"/>
          <c:tx>
            <c:strRef>
              <c:f>'PT4'!$B$3:$B$4</c:f>
              <c:strCache>
                <c:ptCount val="1"/>
                <c:pt idx="0">
                  <c:v>Female</c:v>
                </c:pt>
              </c:strCache>
            </c:strRef>
          </c:tx>
          <c:spPr>
            <a:solidFill>
              <a:schemeClr val="accent6"/>
            </a:solidFill>
            <a:ln>
              <a:noFill/>
            </a:ln>
            <a:effectLst/>
          </c:spPr>
          <c:invertIfNegative val="0"/>
          <c:cat>
            <c:strRef>
              <c:f>'PT4'!$A$5:$A$25</c:f>
              <c:strCache>
                <c:ptCount val="20"/>
                <c:pt idx="0">
                  <c:v>T-Shirts</c:v>
                </c:pt>
                <c:pt idx="1">
                  <c:v>Jeans</c:v>
                </c:pt>
                <c:pt idx="2">
                  <c:v>Sneakers</c:v>
                </c:pt>
                <c:pt idx="3">
                  <c:v>Tank Tops</c:v>
                </c:pt>
                <c:pt idx="4">
                  <c:v>Bikinis</c:v>
                </c:pt>
                <c:pt idx="5">
                  <c:v>Sundresses</c:v>
                </c:pt>
                <c:pt idx="6">
                  <c:v>Graphic Tees</c:v>
                </c:pt>
                <c:pt idx="7">
                  <c:v>Shorts</c:v>
                </c:pt>
                <c:pt idx="8">
                  <c:v>Sandals</c:v>
                </c:pt>
                <c:pt idx="9">
                  <c:v>Hoodies &amp; Sweatshirts</c:v>
                </c:pt>
                <c:pt idx="10">
                  <c:v>Casual Dresses</c:v>
                </c:pt>
                <c:pt idx="11">
                  <c:v>Leggings</c:v>
                </c:pt>
                <c:pt idx="12">
                  <c:v>Maxi Dresses</c:v>
                </c:pt>
                <c:pt idx="13">
                  <c:v>Crop Tops</c:v>
                </c:pt>
                <c:pt idx="14">
                  <c:v>Workout Tops</c:v>
                </c:pt>
                <c:pt idx="15">
                  <c:v>Pajama Sets</c:v>
                </c:pt>
                <c:pt idx="16">
                  <c:v>Sunglasses</c:v>
                </c:pt>
                <c:pt idx="17">
                  <c:v>Tote Bags</c:v>
                </c:pt>
                <c:pt idx="18">
                  <c:v>Baseball Caps</c:v>
                </c:pt>
                <c:pt idx="19">
                  <c:v>Jewelry</c:v>
                </c:pt>
              </c:strCache>
            </c:strRef>
          </c:cat>
          <c:val>
            <c:numRef>
              <c:f>'PT4'!$B$5:$B$25</c:f>
              <c:numCache>
                <c:formatCode>General</c:formatCode>
                <c:ptCount val="20"/>
                <c:pt idx="0">
                  <c:v>744</c:v>
                </c:pt>
                <c:pt idx="1">
                  <c:v>716</c:v>
                </c:pt>
                <c:pt idx="2">
                  <c:v>627</c:v>
                </c:pt>
                <c:pt idx="3">
                  <c:v>568</c:v>
                </c:pt>
                <c:pt idx="4">
                  <c:v>482</c:v>
                </c:pt>
                <c:pt idx="5">
                  <c:v>445</c:v>
                </c:pt>
                <c:pt idx="6">
                  <c:v>431</c:v>
                </c:pt>
                <c:pt idx="7">
                  <c:v>428</c:v>
                </c:pt>
                <c:pt idx="8">
                  <c:v>296</c:v>
                </c:pt>
                <c:pt idx="9">
                  <c:v>264</c:v>
                </c:pt>
                <c:pt idx="10">
                  <c:v>234</c:v>
                </c:pt>
                <c:pt idx="11">
                  <c:v>189</c:v>
                </c:pt>
                <c:pt idx="12">
                  <c:v>179</c:v>
                </c:pt>
                <c:pt idx="13">
                  <c:v>153</c:v>
                </c:pt>
                <c:pt idx="14">
                  <c:v>146</c:v>
                </c:pt>
                <c:pt idx="15">
                  <c:v>127</c:v>
                </c:pt>
                <c:pt idx="16">
                  <c:v>99</c:v>
                </c:pt>
                <c:pt idx="17">
                  <c:v>75</c:v>
                </c:pt>
                <c:pt idx="18">
                  <c:v>43</c:v>
                </c:pt>
                <c:pt idx="19">
                  <c:v>26</c:v>
                </c:pt>
              </c:numCache>
            </c:numRef>
          </c:val>
          <c:extLst>
            <c:ext xmlns:c16="http://schemas.microsoft.com/office/drawing/2014/chart" uri="{C3380CC4-5D6E-409C-BE32-E72D297353CC}">
              <c16:uniqueId val="{00000000-446C-4D1F-AEAF-78651DA5420E}"/>
            </c:ext>
          </c:extLst>
        </c:ser>
        <c:ser>
          <c:idx val="1"/>
          <c:order val="1"/>
          <c:tx>
            <c:strRef>
              <c:f>'PT4'!$C$3:$C$4</c:f>
              <c:strCache>
                <c:ptCount val="1"/>
                <c:pt idx="0">
                  <c:v>Male</c:v>
                </c:pt>
              </c:strCache>
            </c:strRef>
          </c:tx>
          <c:spPr>
            <a:solidFill>
              <a:schemeClr val="accent5"/>
            </a:solidFill>
            <a:ln>
              <a:noFill/>
            </a:ln>
            <a:effectLst/>
          </c:spPr>
          <c:invertIfNegative val="0"/>
          <c:cat>
            <c:strRef>
              <c:f>'PT4'!$A$5:$A$25</c:f>
              <c:strCache>
                <c:ptCount val="20"/>
                <c:pt idx="0">
                  <c:v>T-Shirts</c:v>
                </c:pt>
                <c:pt idx="1">
                  <c:v>Jeans</c:v>
                </c:pt>
                <c:pt idx="2">
                  <c:v>Sneakers</c:v>
                </c:pt>
                <c:pt idx="3">
                  <c:v>Tank Tops</c:v>
                </c:pt>
                <c:pt idx="4">
                  <c:v>Bikinis</c:v>
                </c:pt>
                <c:pt idx="5">
                  <c:v>Sundresses</c:v>
                </c:pt>
                <c:pt idx="6">
                  <c:v>Graphic Tees</c:v>
                </c:pt>
                <c:pt idx="7">
                  <c:v>Shorts</c:v>
                </c:pt>
                <c:pt idx="8">
                  <c:v>Sandals</c:v>
                </c:pt>
                <c:pt idx="9">
                  <c:v>Hoodies &amp; Sweatshirts</c:v>
                </c:pt>
                <c:pt idx="10">
                  <c:v>Casual Dresses</c:v>
                </c:pt>
                <c:pt idx="11">
                  <c:v>Leggings</c:v>
                </c:pt>
                <c:pt idx="12">
                  <c:v>Maxi Dresses</c:v>
                </c:pt>
                <c:pt idx="13">
                  <c:v>Crop Tops</c:v>
                </c:pt>
                <c:pt idx="14">
                  <c:v>Workout Tops</c:v>
                </c:pt>
                <c:pt idx="15">
                  <c:v>Pajama Sets</c:v>
                </c:pt>
                <c:pt idx="16">
                  <c:v>Sunglasses</c:v>
                </c:pt>
                <c:pt idx="17">
                  <c:v>Tote Bags</c:v>
                </c:pt>
                <c:pt idx="18">
                  <c:v>Baseball Caps</c:v>
                </c:pt>
                <c:pt idx="19">
                  <c:v>Jewelry</c:v>
                </c:pt>
              </c:strCache>
            </c:strRef>
          </c:cat>
          <c:val>
            <c:numRef>
              <c:f>'PT4'!$C$5:$C$25</c:f>
              <c:numCache>
                <c:formatCode>General</c:formatCode>
                <c:ptCount val="20"/>
                <c:pt idx="0">
                  <c:v>713</c:v>
                </c:pt>
                <c:pt idx="1">
                  <c:v>598</c:v>
                </c:pt>
                <c:pt idx="2">
                  <c:v>393</c:v>
                </c:pt>
                <c:pt idx="3">
                  <c:v>306</c:v>
                </c:pt>
                <c:pt idx="4">
                  <c:v>295</c:v>
                </c:pt>
                <c:pt idx="5">
                  <c:v>202</c:v>
                </c:pt>
                <c:pt idx="6">
                  <c:v>187</c:v>
                </c:pt>
                <c:pt idx="7">
                  <c:v>293</c:v>
                </c:pt>
                <c:pt idx="8">
                  <c:v>275</c:v>
                </c:pt>
                <c:pt idx="9">
                  <c:v>318</c:v>
                </c:pt>
                <c:pt idx="10">
                  <c:v>93</c:v>
                </c:pt>
                <c:pt idx="11">
                  <c:v>168</c:v>
                </c:pt>
                <c:pt idx="12">
                  <c:v>76</c:v>
                </c:pt>
                <c:pt idx="13">
                  <c:v>246</c:v>
                </c:pt>
                <c:pt idx="14">
                  <c:v>94</c:v>
                </c:pt>
                <c:pt idx="15">
                  <c:v>118</c:v>
                </c:pt>
                <c:pt idx="16">
                  <c:v>69</c:v>
                </c:pt>
                <c:pt idx="17">
                  <c:v>103</c:v>
                </c:pt>
                <c:pt idx="18">
                  <c:v>90</c:v>
                </c:pt>
                <c:pt idx="19">
                  <c:v>35</c:v>
                </c:pt>
              </c:numCache>
            </c:numRef>
          </c:val>
          <c:extLst>
            <c:ext xmlns:c16="http://schemas.microsoft.com/office/drawing/2014/chart" uri="{C3380CC4-5D6E-409C-BE32-E72D297353CC}">
              <c16:uniqueId val="{00000001-446C-4D1F-AEAF-78651DA5420E}"/>
            </c:ext>
          </c:extLst>
        </c:ser>
        <c:ser>
          <c:idx val="2"/>
          <c:order val="2"/>
          <c:tx>
            <c:strRef>
              <c:f>'PT4'!$D$3:$D$4</c:f>
              <c:strCache>
                <c:ptCount val="1"/>
                <c:pt idx="0">
                  <c:v>Other</c:v>
                </c:pt>
              </c:strCache>
            </c:strRef>
          </c:tx>
          <c:spPr>
            <a:solidFill>
              <a:schemeClr val="accent4"/>
            </a:solidFill>
            <a:ln>
              <a:noFill/>
            </a:ln>
            <a:effectLst/>
          </c:spPr>
          <c:invertIfNegative val="0"/>
          <c:cat>
            <c:strRef>
              <c:f>'PT4'!$A$5:$A$25</c:f>
              <c:strCache>
                <c:ptCount val="20"/>
                <c:pt idx="0">
                  <c:v>T-Shirts</c:v>
                </c:pt>
                <c:pt idx="1">
                  <c:v>Jeans</c:v>
                </c:pt>
                <c:pt idx="2">
                  <c:v>Sneakers</c:v>
                </c:pt>
                <c:pt idx="3">
                  <c:v>Tank Tops</c:v>
                </c:pt>
                <c:pt idx="4">
                  <c:v>Bikinis</c:v>
                </c:pt>
                <c:pt idx="5">
                  <c:v>Sundresses</c:v>
                </c:pt>
                <c:pt idx="6">
                  <c:v>Graphic Tees</c:v>
                </c:pt>
                <c:pt idx="7">
                  <c:v>Shorts</c:v>
                </c:pt>
                <c:pt idx="8">
                  <c:v>Sandals</c:v>
                </c:pt>
                <c:pt idx="9">
                  <c:v>Hoodies &amp; Sweatshirts</c:v>
                </c:pt>
                <c:pt idx="10">
                  <c:v>Casual Dresses</c:v>
                </c:pt>
                <c:pt idx="11">
                  <c:v>Leggings</c:v>
                </c:pt>
                <c:pt idx="12">
                  <c:v>Maxi Dresses</c:v>
                </c:pt>
                <c:pt idx="13">
                  <c:v>Crop Tops</c:v>
                </c:pt>
                <c:pt idx="14">
                  <c:v>Workout Tops</c:v>
                </c:pt>
                <c:pt idx="15">
                  <c:v>Pajama Sets</c:v>
                </c:pt>
                <c:pt idx="16">
                  <c:v>Sunglasses</c:v>
                </c:pt>
                <c:pt idx="17">
                  <c:v>Tote Bags</c:v>
                </c:pt>
                <c:pt idx="18">
                  <c:v>Baseball Caps</c:v>
                </c:pt>
                <c:pt idx="19">
                  <c:v>Jewelry</c:v>
                </c:pt>
              </c:strCache>
            </c:strRef>
          </c:cat>
          <c:val>
            <c:numRef>
              <c:f>'PT4'!$D$5:$D$25</c:f>
              <c:numCache>
                <c:formatCode>General</c:formatCode>
                <c:ptCount val="20"/>
                <c:pt idx="0">
                  <c:v>90</c:v>
                </c:pt>
                <c:pt idx="1">
                  <c:v>18</c:v>
                </c:pt>
                <c:pt idx="2">
                  <c:v>29</c:v>
                </c:pt>
                <c:pt idx="3">
                  <c:v>22</c:v>
                </c:pt>
                <c:pt idx="4">
                  <c:v>8</c:v>
                </c:pt>
                <c:pt idx="5">
                  <c:v>14</c:v>
                </c:pt>
                <c:pt idx="6">
                  <c:v>14</c:v>
                </c:pt>
                <c:pt idx="8">
                  <c:v>9</c:v>
                </c:pt>
                <c:pt idx="9">
                  <c:v>15</c:v>
                </c:pt>
                <c:pt idx="10">
                  <c:v>19</c:v>
                </c:pt>
                <c:pt idx="11">
                  <c:v>10</c:v>
                </c:pt>
                <c:pt idx="12">
                  <c:v>3</c:v>
                </c:pt>
                <c:pt idx="13">
                  <c:v>30</c:v>
                </c:pt>
                <c:pt idx="14">
                  <c:v>4</c:v>
                </c:pt>
                <c:pt idx="15">
                  <c:v>13</c:v>
                </c:pt>
                <c:pt idx="16">
                  <c:v>3</c:v>
                </c:pt>
                <c:pt idx="17">
                  <c:v>4</c:v>
                </c:pt>
                <c:pt idx="18">
                  <c:v>8</c:v>
                </c:pt>
                <c:pt idx="19">
                  <c:v>4</c:v>
                </c:pt>
              </c:numCache>
            </c:numRef>
          </c:val>
          <c:extLst>
            <c:ext xmlns:c16="http://schemas.microsoft.com/office/drawing/2014/chart" uri="{C3380CC4-5D6E-409C-BE32-E72D297353CC}">
              <c16:uniqueId val="{00000002-446C-4D1F-AEAF-78651DA5420E}"/>
            </c:ext>
          </c:extLst>
        </c:ser>
        <c:ser>
          <c:idx val="3"/>
          <c:order val="3"/>
          <c:tx>
            <c:strRef>
              <c:f>'PT4'!$E$3:$E$4</c:f>
              <c:strCache>
                <c:ptCount val="1"/>
                <c:pt idx="0">
                  <c:v>Unknown</c:v>
                </c:pt>
              </c:strCache>
            </c:strRef>
          </c:tx>
          <c:spPr>
            <a:solidFill>
              <a:schemeClr val="accent6">
                <a:lumMod val="60000"/>
              </a:schemeClr>
            </a:solidFill>
            <a:ln>
              <a:noFill/>
            </a:ln>
            <a:effectLst/>
          </c:spPr>
          <c:invertIfNegative val="0"/>
          <c:cat>
            <c:strRef>
              <c:f>'PT4'!$A$5:$A$25</c:f>
              <c:strCache>
                <c:ptCount val="20"/>
                <c:pt idx="0">
                  <c:v>T-Shirts</c:v>
                </c:pt>
                <c:pt idx="1">
                  <c:v>Jeans</c:v>
                </c:pt>
                <c:pt idx="2">
                  <c:v>Sneakers</c:v>
                </c:pt>
                <c:pt idx="3">
                  <c:v>Tank Tops</c:v>
                </c:pt>
                <c:pt idx="4">
                  <c:v>Bikinis</c:v>
                </c:pt>
                <c:pt idx="5">
                  <c:v>Sundresses</c:v>
                </c:pt>
                <c:pt idx="6">
                  <c:v>Graphic Tees</c:v>
                </c:pt>
                <c:pt idx="7">
                  <c:v>Shorts</c:v>
                </c:pt>
                <c:pt idx="8">
                  <c:v>Sandals</c:v>
                </c:pt>
                <c:pt idx="9">
                  <c:v>Hoodies &amp; Sweatshirts</c:v>
                </c:pt>
                <c:pt idx="10">
                  <c:v>Casual Dresses</c:v>
                </c:pt>
                <c:pt idx="11">
                  <c:v>Leggings</c:v>
                </c:pt>
                <c:pt idx="12">
                  <c:v>Maxi Dresses</c:v>
                </c:pt>
                <c:pt idx="13">
                  <c:v>Crop Tops</c:v>
                </c:pt>
                <c:pt idx="14">
                  <c:v>Workout Tops</c:v>
                </c:pt>
                <c:pt idx="15">
                  <c:v>Pajama Sets</c:v>
                </c:pt>
                <c:pt idx="16">
                  <c:v>Sunglasses</c:v>
                </c:pt>
                <c:pt idx="17">
                  <c:v>Tote Bags</c:v>
                </c:pt>
                <c:pt idx="18">
                  <c:v>Baseball Caps</c:v>
                </c:pt>
                <c:pt idx="19">
                  <c:v>Jewelry</c:v>
                </c:pt>
              </c:strCache>
            </c:strRef>
          </c:cat>
          <c:val>
            <c:numRef>
              <c:f>'PT4'!$E$5:$E$25</c:f>
              <c:numCache>
                <c:formatCode>General</c:formatCode>
                <c:ptCount val="20"/>
                <c:pt idx="0">
                  <c:v>98</c:v>
                </c:pt>
                <c:pt idx="1">
                  <c:v>214</c:v>
                </c:pt>
                <c:pt idx="2">
                  <c:v>137</c:v>
                </c:pt>
                <c:pt idx="3">
                  <c:v>16</c:v>
                </c:pt>
                <c:pt idx="4">
                  <c:v>22</c:v>
                </c:pt>
                <c:pt idx="5">
                  <c:v>39</c:v>
                </c:pt>
                <c:pt idx="6">
                  <c:v>15</c:v>
                </c:pt>
                <c:pt idx="7">
                  <c:v>24</c:v>
                </c:pt>
                <c:pt idx="8">
                  <c:v>23</c:v>
                </c:pt>
                <c:pt idx="9">
                  <c:v>9</c:v>
                </c:pt>
                <c:pt idx="10">
                  <c:v>24</c:v>
                </c:pt>
                <c:pt idx="11">
                  <c:v>31</c:v>
                </c:pt>
                <c:pt idx="13">
                  <c:v>8</c:v>
                </c:pt>
                <c:pt idx="14">
                  <c:v>28</c:v>
                </c:pt>
                <c:pt idx="15">
                  <c:v>12</c:v>
                </c:pt>
                <c:pt idx="16">
                  <c:v>24</c:v>
                </c:pt>
                <c:pt idx="17">
                  <c:v>6</c:v>
                </c:pt>
                <c:pt idx="18">
                  <c:v>6</c:v>
                </c:pt>
              </c:numCache>
            </c:numRef>
          </c:val>
          <c:extLst>
            <c:ext xmlns:c16="http://schemas.microsoft.com/office/drawing/2014/chart" uri="{C3380CC4-5D6E-409C-BE32-E72D297353CC}">
              <c16:uniqueId val="{00000003-446C-4D1F-AEAF-78651DA5420E}"/>
            </c:ext>
          </c:extLst>
        </c:ser>
        <c:dLbls>
          <c:showLegendKey val="0"/>
          <c:showVal val="0"/>
          <c:showCatName val="0"/>
          <c:showSerName val="0"/>
          <c:showPercent val="0"/>
          <c:showBubbleSize val="0"/>
        </c:dLbls>
        <c:gapWidth val="16"/>
        <c:overlap val="100"/>
        <c:axId val="2106968511"/>
        <c:axId val="2106970431"/>
      </c:barChart>
      <c:catAx>
        <c:axId val="2106968511"/>
        <c:scaling>
          <c:orientation val="maxMin"/>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6970431"/>
        <c:crosses val="autoZero"/>
        <c:auto val="1"/>
        <c:lblAlgn val="ctr"/>
        <c:lblOffset val="100"/>
        <c:noMultiLvlLbl val="0"/>
      </c:catAx>
      <c:valAx>
        <c:axId val="2106970431"/>
        <c:scaling>
          <c:orientation val="minMax"/>
        </c:scaling>
        <c:delete val="0"/>
        <c:axPos val="t"/>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6968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[ecommerce_sales_data.xlsx]PT4!PivotTable10</c:name>
    <c:fmtId val="3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5"/>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6">
              <a:lumMod val="50000"/>
            </a:schemeClr>
          </a:solidFill>
          <a:ln w="19050">
            <a:solidFill>
              <a:schemeClr val="lt1"/>
            </a:solidFill>
          </a:ln>
          <a:effectLst/>
        </c:spPr>
        <c:dLbl>
          <c:idx val="0"/>
          <c:layout>
            <c:manualLayout>
              <c:x val="9.0612696850393706E-2"/>
              <c:y val="0.1739428404782735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1750555920093323"/>
                  <c:h val="0.30969026158551888"/>
                </c:manualLayout>
              </c15:layout>
            </c:ext>
          </c:extLst>
        </c:dLbl>
      </c:pivotFmt>
      <c:pivotFmt>
        <c:idx val="8"/>
        <c:spPr>
          <a:solidFill>
            <a:schemeClr val="accent5">
              <a:shade val="86000"/>
            </a:schemeClr>
          </a:solidFill>
          <a:ln w="19050">
            <a:solidFill>
              <a:schemeClr val="lt1"/>
            </a:solidFill>
          </a:ln>
          <a:effectLst/>
        </c:spPr>
        <c:dLbl>
          <c:idx val="0"/>
          <c:layout>
            <c:manualLayout>
              <c:x val="-0.1076555023923445"/>
              <c:y val="1.26023944549464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5">
              <a:tint val="86000"/>
            </a:schemeClr>
          </a:solidFill>
          <a:ln w="19050">
            <a:solidFill>
              <a:schemeClr val="lt1"/>
            </a:solidFill>
          </a:ln>
          <a:effectLst/>
        </c:spPr>
        <c:dLbl>
          <c:idx val="0"/>
          <c:layout>
            <c:manualLayout>
              <c:x val="-0.19401776410848365"/>
              <c:y val="-3.17094445893813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9583561169437153"/>
                  <c:h val="0.19474116123081514"/>
                </c:manualLayout>
              </c15:layout>
            </c:ext>
          </c:extLst>
        </c:dLbl>
      </c:pivotFmt>
      <c:pivotFmt>
        <c:idx val="10"/>
        <c:spPr>
          <a:solidFill>
            <a:schemeClr val="accent5">
              <a:tint val="58000"/>
            </a:schemeClr>
          </a:solidFill>
          <a:ln w="19050">
            <a:solidFill>
              <a:schemeClr val="lt1"/>
            </a:solidFill>
          </a:ln>
          <a:effectLst/>
        </c:spPr>
        <c:dLbl>
          <c:idx val="0"/>
          <c:layout>
            <c:manualLayout>
              <c:x val="8.7207152117598191E-2"/>
              <c:y val="-8.821690669844739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7024779454651504"/>
                  <c:h val="0.15734060374236167"/>
                </c:manualLayout>
              </c15:layout>
            </c:ext>
          </c:extLst>
        </c:dLbl>
      </c:pivotFmt>
    </c:pivotFmts>
    <c:plotArea>
      <c:layout>
        <c:manualLayout>
          <c:layoutTarget val="inner"/>
          <c:xMode val="edge"/>
          <c:yMode val="edge"/>
          <c:x val="0.18966216462525518"/>
          <c:y val="0.3346829708301966"/>
          <c:w val="0.3749353250700122"/>
          <c:h val="0.59252539084788314"/>
        </c:manualLayout>
      </c:layout>
      <c:doughnutChart>
        <c:varyColors val="1"/>
        <c:ser>
          <c:idx val="0"/>
          <c:order val="0"/>
          <c:tx>
            <c:strRef>
              <c:f>'PT4'!$K$3</c:f>
              <c:strCache>
                <c:ptCount val="1"/>
                <c:pt idx="0">
                  <c:v>Total</c:v>
                </c:pt>
              </c:strCache>
            </c:strRef>
          </c:tx>
          <c:dPt>
            <c:idx val="0"/>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1-C24C-4871-96CF-F71F9AEEFB88}"/>
              </c:ext>
            </c:extLst>
          </c:dPt>
          <c:dPt>
            <c:idx val="1"/>
            <c:bubble3D val="0"/>
            <c:spPr>
              <a:solidFill>
                <a:schemeClr val="accent5">
                  <a:shade val="86000"/>
                </a:schemeClr>
              </a:solidFill>
              <a:ln w="19050">
                <a:solidFill>
                  <a:schemeClr val="lt1"/>
                </a:solidFill>
              </a:ln>
              <a:effectLst/>
            </c:spPr>
            <c:extLst>
              <c:ext xmlns:c16="http://schemas.microsoft.com/office/drawing/2014/chart" uri="{C3380CC4-5D6E-409C-BE32-E72D297353CC}">
                <c16:uniqueId val="{00000003-C24C-4871-96CF-F71F9AEEFB88}"/>
              </c:ext>
            </c:extLst>
          </c:dPt>
          <c:dPt>
            <c:idx val="2"/>
            <c:bubble3D val="0"/>
            <c:spPr>
              <a:solidFill>
                <a:schemeClr val="accent5">
                  <a:tint val="86000"/>
                </a:schemeClr>
              </a:solidFill>
              <a:ln w="19050">
                <a:solidFill>
                  <a:schemeClr val="lt1"/>
                </a:solidFill>
              </a:ln>
              <a:effectLst/>
            </c:spPr>
            <c:extLst>
              <c:ext xmlns:c16="http://schemas.microsoft.com/office/drawing/2014/chart" uri="{C3380CC4-5D6E-409C-BE32-E72D297353CC}">
                <c16:uniqueId val="{00000005-C24C-4871-96CF-F71F9AEEFB88}"/>
              </c:ext>
            </c:extLst>
          </c:dPt>
          <c:dPt>
            <c:idx val="3"/>
            <c:bubble3D val="0"/>
            <c:spPr>
              <a:solidFill>
                <a:schemeClr val="accent5">
                  <a:tint val="58000"/>
                </a:schemeClr>
              </a:solidFill>
              <a:ln w="19050">
                <a:solidFill>
                  <a:schemeClr val="lt1"/>
                </a:solidFill>
              </a:ln>
              <a:effectLst/>
            </c:spPr>
            <c:extLst>
              <c:ext xmlns:c16="http://schemas.microsoft.com/office/drawing/2014/chart" uri="{C3380CC4-5D6E-409C-BE32-E72D297353CC}">
                <c16:uniqueId val="{00000007-C24C-4871-96CF-F71F9AEEFB88}"/>
              </c:ext>
            </c:extLst>
          </c:dPt>
          <c:dLbls>
            <c:dLbl>
              <c:idx val="0"/>
              <c:layout>
                <c:manualLayout>
                  <c:x val="9.0612696850393706E-2"/>
                  <c:y val="0.17394284047827355"/>
                </c:manualLayout>
              </c:layout>
              <c:showLegendKey val="0"/>
              <c:showVal val="1"/>
              <c:showCatName val="1"/>
              <c:showSerName val="0"/>
              <c:showPercent val="1"/>
              <c:showBubbleSize val="0"/>
              <c:extLst>
                <c:ext xmlns:c15="http://schemas.microsoft.com/office/drawing/2012/chart" uri="{CE6537A1-D6FC-4f65-9D91-7224C49458BB}">
                  <c15:layout>
                    <c:manualLayout>
                      <c:w val="0.21750555920093323"/>
                      <c:h val="0.30969026158551888"/>
                    </c:manualLayout>
                  </c15:layout>
                </c:ext>
                <c:ext xmlns:c16="http://schemas.microsoft.com/office/drawing/2014/chart" uri="{C3380CC4-5D6E-409C-BE32-E72D297353CC}">
                  <c16:uniqueId val="{00000001-C24C-4871-96CF-F71F9AEEFB88}"/>
                </c:ext>
              </c:extLst>
            </c:dLbl>
            <c:dLbl>
              <c:idx val="1"/>
              <c:layout>
                <c:manualLayout>
                  <c:x val="-0.1076555023923445"/>
                  <c:y val="1.2602394454946439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24C-4871-96CF-F71F9AEEFB88}"/>
                </c:ext>
              </c:extLst>
            </c:dLbl>
            <c:dLbl>
              <c:idx val="2"/>
              <c:layout>
                <c:manualLayout>
                  <c:x val="-0.19401776410848365"/>
                  <c:y val="-3.17094445893813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9583561169437153"/>
                      <c:h val="0.19474116123081514"/>
                    </c:manualLayout>
                  </c15:layout>
                </c:ext>
                <c:ext xmlns:c16="http://schemas.microsoft.com/office/drawing/2014/chart" uri="{C3380CC4-5D6E-409C-BE32-E72D297353CC}">
                  <c16:uniqueId val="{00000005-C24C-4871-96CF-F71F9AEEFB88}"/>
                </c:ext>
              </c:extLst>
            </c:dLbl>
            <c:dLbl>
              <c:idx val="3"/>
              <c:layout>
                <c:manualLayout>
                  <c:x val="8.7207152117598191E-2"/>
                  <c:y val="-8.8216906698447395E-2"/>
                </c:manualLayout>
              </c:layout>
              <c:showLegendKey val="0"/>
              <c:showVal val="1"/>
              <c:showCatName val="1"/>
              <c:showSerName val="0"/>
              <c:showPercent val="1"/>
              <c:showBubbleSize val="0"/>
              <c:extLst>
                <c:ext xmlns:c15="http://schemas.microsoft.com/office/drawing/2012/chart" uri="{CE6537A1-D6FC-4f65-9D91-7224C49458BB}">
                  <c15:layout>
                    <c:manualLayout>
                      <c:w val="0.27024779454651504"/>
                      <c:h val="0.15734060374236167"/>
                    </c:manualLayout>
                  </c15:layout>
                </c:ext>
                <c:ext xmlns:c16="http://schemas.microsoft.com/office/drawing/2014/chart" uri="{C3380CC4-5D6E-409C-BE32-E72D297353CC}">
                  <c16:uniqueId val="{00000007-C24C-4871-96CF-F71F9AEEFB8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'PT4'!$J$4:$J$8</c:f>
              <c:strCache>
                <c:ptCount val="4"/>
                <c:pt idx="0">
                  <c:v>Female</c:v>
                </c:pt>
                <c:pt idx="1">
                  <c:v>Male</c:v>
                </c:pt>
                <c:pt idx="2">
                  <c:v>Other</c:v>
                </c:pt>
                <c:pt idx="3">
                  <c:v>Unknown</c:v>
                </c:pt>
              </c:strCache>
            </c:strRef>
          </c:cat>
          <c:val>
            <c:numRef>
              <c:f>'PT4'!$K$4:$K$8</c:f>
              <c:numCache>
                <c:formatCode>General</c:formatCode>
                <c:ptCount val="4"/>
                <c:pt idx="0">
                  <c:v>6272</c:v>
                </c:pt>
                <c:pt idx="1">
                  <c:v>4672</c:v>
                </c:pt>
                <c:pt idx="2">
                  <c:v>317</c:v>
                </c:pt>
                <c:pt idx="3">
                  <c:v>736</c:v>
                </c:pt>
              </c:numCache>
            </c:numRef>
          </c:val>
          <c:extLst>
            <c:ext xmlns:c16="http://schemas.microsoft.com/office/drawing/2014/chart" uri="{C3380CC4-5D6E-409C-BE32-E72D297353CC}">
              <c16:uniqueId val="{00000008-C24C-4871-96CF-F71F9AEEFB88}"/>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layout>
        <c:manualLayout>
          <c:xMode val="edge"/>
          <c:yMode val="edge"/>
          <c:x val="0.71277978273549136"/>
          <c:y val="0.32165998630016207"/>
          <c:w val="0.27564614319043451"/>
          <c:h val="0.5813994180959938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[ecommerce_sales_data.xlsx]PT6,7!PivotTable13</c:name>
    <c:fmtId val="25"/>
  </c:pivotSource>
  <c:chart>
    <c:title>
      <c:tx>
        <c:rich>
          <a:bodyPr rot="0" spcFirstLastPara="1" vertOverflow="ellipsis" vert="horz" wrap="square" anchor="ctr" anchorCtr="1"/>
          <a:lstStyle/>
          <a:p>
            <a:pPr algn="ctr">
              <a:defRPr sz="1400" b="1" i="0" u="none" strike="noStrike" kern="1200" spc="0" baseline="0">
                <a:solidFill>
                  <a:schemeClr val="tx1"/>
                </a:solidFill>
                <a:latin typeface="+mn-lt"/>
                <a:ea typeface="+mn-ea"/>
                <a:cs typeface="+mn-cs"/>
              </a:defRPr>
            </a:pPr>
            <a:r>
              <a:rPr lang="en-US" b="1">
                <a:solidFill>
                  <a:schemeClr val="tx1"/>
                </a:solidFill>
              </a:rPr>
              <a:t>How</a:t>
            </a:r>
            <a:r>
              <a:rPr lang="en-US" b="1" baseline="0">
                <a:solidFill>
                  <a:schemeClr val="tx1"/>
                </a:solidFill>
              </a:rPr>
              <a:t> long we take to ship?</a:t>
            </a:r>
            <a:endParaRPr lang="en-US" b="1">
              <a:solidFill>
                <a:schemeClr val="tx1"/>
              </a:solidFill>
            </a:endParaRPr>
          </a:p>
        </c:rich>
      </c:tx>
      <c:overlay val="0"/>
      <c:spPr>
        <a:solidFill>
          <a:schemeClr val="bg1"/>
        </a:solidFill>
        <a:ln>
          <a:noFill/>
        </a:ln>
        <a:effectLst/>
      </c:spPr>
      <c:txPr>
        <a:bodyPr rot="0" spcFirstLastPara="1" vertOverflow="ellipsis" vert="horz" wrap="square" anchor="ctr" anchorCtr="1"/>
        <a:lstStyle/>
        <a:p>
          <a:pPr algn="ct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solidFill>
          <a:ln>
            <a:noFill/>
          </a:ln>
          <a:effectLst/>
          <a:sp3d/>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'PT6,7'!$B$21</c:f>
              <c:strCache>
                <c:ptCount val="1"/>
                <c:pt idx="0">
                  <c:v>Total</c:v>
                </c:pt>
              </c:strCache>
            </c:strRef>
          </c:tx>
          <c:spPr>
            <a:solidFill>
              <a:schemeClr val="accent6"/>
            </a:solidFill>
            <a:ln>
              <a:noFill/>
            </a:ln>
            <a:effectLst/>
            <a:sp3d/>
          </c:spPr>
          <c:invertIfNegative val="0"/>
          <c:cat>
            <c:strRef>
              <c:f>'PT6,7'!$A$22:$A$37</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'PT6,7'!$B$22:$B$37</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7B99-4085-8B02-DB8CAB535208}"/>
            </c:ext>
          </c:extLst>
        </c:ser>
        <c:dLbls>
          <c:showLegendKey val="0"/>
          <c:showVal val="0"/>
          <c:showCatName val="0"/>
          <c:showSerName val="0"/>
          <c:showPercent val="0"/>
          <c:showBubbleSize val="0"/>
        </c:dLbls>
        <c:gapWidth val="45"/>
        <c:shape val="box"/>
        <c:axId val="554454415"/>
        <c:axId val="539740079"/>
        <c:axId val="0"/>
      </c:bar3DChart>
      <c:catAx>
        <c:axId val="5544544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9740079"/>
        <c:crosses val="autoZero"/>
        <c:auto val="1"/>
        <c:lblAlgn val="ctr"/>
        <c:lblOffset val="100"/>
        <c:noMultiLvlLbl val="0"/>
      </c:catAx>
      <c:valAx>
        <c:axId val="5397400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454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[ecommerce_sales_data.xlsx]PT6,7!PivotTable12</c:name>
    <c:fmtId val="46"/>
  </c:pivotSource>
  <c:chart>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066999554376393"/>
          <c:y val="9.506453648367838E-2"/>
          <c:w val="0.85785049007103054"/>
          <c:h val="0.80846879620563983"/>
        </c:manualLayout>
      </c:layout>
      <c:barChart>
        <c:barDir val="col"/>
        <c:grouping val="clustered"/>
        <c:varyColors val="0"/>
        <c:ser>
          <c:idx val="0"/>
          <c:order val="0"/>
          <c:tx>
            <c:strRef>
              <c:f>'PT6,7'!$B$3:$B$4</c:f>
              <c:strCache>
                <c:ptCount val="1"/>
                <c:pt idx="0">
                  <c:v>1</c:v>
                </c:pt>
              </c:strCache>
            </c:strRef>
          </c:tx>
          <c:spPr>
            <a:solidFill>
              <a:schemeClr val="accent6"/>
            </a:solidFill>
            <a:ln>
              <a:noFill/>
            </a:ln>
            <a:effectLst/>
          </c:spPr>
          <c:invertIfNegative val="0"/>
          <c:cat>
            <c:strRef>
              <c:f>'PT6,7'!$A$5:$A$8</c:f>
              <c:strCache>
                <c:ptCount val="3"/>
                <c:pt idx="0">
                  <c:v>Jan</c:v>
                </c:pt>
                <c:pt idx="1">
                  <c:v>Feb</c:v>
                </c:pt>
                <c:pt idx="2">
                  <c:v>Mar</c:v>
                </c:pt>
              </c:strCache>
            </c:strRef>
          </c:cat>
          <c:val>
            <c:numRef>
              <c:f>'PT6,7'!$B$5:$B$8</c:f>
              <c:numCache>
                <c:formatCode>General</c:formatCode>
                <c:ptCount val="3"/>
                <c:pt idx="0">
                  <c:v>7</c:v>
                </c:pt>
                <c:pt idx="1">
                  <c:v>8</c:v>
                </c:pt>
                <c:pt idx="2">
                  <c:v>6</c:v>
                </c:pt>
              </c:numCache>
            </c:numRef>
          </c:val>
          <c:extLst>
            <c:ext xmlns:c16="http://schemas.microsoft.com/office/drawing/2014/chart" uri="{C3380CC4-5D6E-409C-BE32-E72D297353CC}">
              <c16:uniqueId val="{00000000-BAC3-4BB1-8E8D-FADB7CD3063B}"/>
            </c:ext>
          </c:extLst>
        </c:ser>
        <c:ser>
          <c:idx val="1"/>
          <c:order val="1"/>
          <c:tx>
            <c:strRef>
              <c:f>'PT6,7'!$C$3:$C$4</c:f>
              <c:strCache>
                <c:ptCount val="1"/>
                <c:pt idx="0">
                  <c:v>2</c:v>
                </c:pt>
              </c:strCache>
            </c:strRef>
          </c:tx>
          <c:spPr>
            <a:solidFill>
              <a:schemeClr val="accent5"/>
            </a:solidFill>
            <a:ln>
              <a:noFill/>
            </a:ln>
            <a:effectLst/>
          </c:spPr>
          <c:invertIfNegative val="0"/>
          <c:cat>
            <c:strRef>
              <c:f>'PT6,7'!$A$5:$A$8</c:f>
              <c:strCache>
                <c:ptCount val="3"/>
                <c:pt idx="0">
                  <c:v>Jan</c:v>
                </c:pt>
                <c:pt idx="1">
                  <c:v>Feb</c:v>
                </c:pt>
                <c:pt idx="2">
                  <c:v>Mar</c:v>
                </c:pt>
              </c:strCache>
            </c:strRef>
          </c:cat>
          <c:val>
            <c:numRef>
              <c:f>'PT6,7'!$C$5:$C$8</c:f>
              <c:numCache>
                <c:formatCode>General</c:formatCode>
                <c:ptCount val="3"/>
                <c:pt idx="0">
                  <c:v>37</c:v>
                </c:pt>
                <c:pt idx="1">
                  <c:v>51</c:v>
                </c:pt>
                <c:pt idx="2">
                  <c:v>39</c:v>
                </c:pt>
              </c:numCache>
            </c:numRef>
          </c:val>
          <c:extLst>
            <c:ext xmlns:c16="http://schemas.microsoft.com/office/drawing/2014/chart" uri="{C3380CC4-5D6E-409C-BE32-E72D297353CC}">
              <c16:uniqueId val="{00000001-BAC3-4BB1-8E8D-FADB7CD3063B}"/>
            </c:ext>
          </c:extLst>
        </c:ser>
        <c:ser>
          <c:idx val="2"/>
          <c:order val="2"/>
          <c:tx>
            <c:strRef>
              <c:f>'PT6,7'!$D$3:$D$4</c:f>
              <c:strCache>
                <c:ptCount val="1"/>
                <c:pt idx="0">
                  <c:v>3</c:v>
                </c:pt>
              </c:strCache>
            </c:strRef>
          </c:tx>
          <c:spPr>
            <a:solidFill>
              <a:schemeClr val="accent4"/>
            </a:solidFill>
            <a:ln>
              <a:noFill/>
            </a:ln>
            <a:effectLst/>
          </c:spPr>
          <c:invertIfNegative val="0"/>
          <c:cat>
            <c:strRef>
              <c:f>'PT6,7'!$A$5:$A$8</c:f>
              <c:strCache>
                <c:ptCount val="3"/>
                <c:pt idx="0">
                  <c:v>Jan</c:v>
                </c:pt>
                <c:pt idx="1">
                  <c:v>Feb</c:v>
                </c:pt>
                <c:pt idx="2">
                  <c:v>Mar</c:v>
                </c:pt>
              </c:strCache>
            </c:strRef>
          </c:cat>
          <c:val>
            <c:numRef>
              <c:f>'PT6,7'!$D$5:$D$8</c:f>
              <c:numCache>
                <c:formatCode>General</c:formatCode>
                <c:ptCount val="3"/>
                <c:pt idx="0">
                  <c:v>150</c:v>
                </c:pt>
                <c:pt idx="1">
                  <c:v>182</c:v>
                </c:pt>
                <c:pt idx="2">
                  <c:v>163</c:v>
                </c:pt>
              </c:numCache>
            </c:numRef>
          </c:val>
          <c:extLst>
            <c:ext xmlns:c16="http://schemas.microsoft.com/office/drawing/2014/chart" uri="{C3380CC4-5D6E-409C-BE32-E72D297353CC}">
              <c16:uniqueId val="{00000002-BAC3-4BB1-8E8D-FADB7CD3063B}"/>
            </c:ext>
          </c:extLst>
        </c:ser>
        <c:ser>
          <c:idx val="3"/>
          <c:order val="3"/>
          <c:tx>
            <c:strRef>
              <c:f>'PT6,7'!$E$3:$E$4</c:f>
              <c:strCache>
                <c:ptCount val="1"/>
                <c:pt idx="0">
                  <c:v>4</c:v>
                </c:pt>
              </c:strCache>
            </c:strRef>
          </c:tx>
          <c:spPr>
            <a:solidFill>
              <a:schemeClr val="accent6">
                <a:lumMod val="60000"/>
              </a:schemeClr>
            </a:solidFill>
            <a:ln>
              <a:noFill/>
            </a:ln>
            <a:effectLst/>
          </c:spPr>
          <c:invertIfNegative val="0"/>
          <c:cat>
            <c:strRef>
              <c:f>'PT6,7'!$A$5:$A$8</c:f>
              <c:strCache>
                <c:ptCount val="3"/>
                <c:pt idx="0">
                  <c:v>Jan</c:v>
                </c:pt>
                <c:pt idx="1">
                  <c:v>Feb</c:v>
                </c:pt>
                <c:pt idx="2">
                  <c:v>Mar</c:v>
                </c:pt>
              </c:strCache>
            </c:strRef>
          </c:cat>
          <c:val>
            <c:numRef>
              <c:f>'PT6,7'!$E$5:$E$8</c:f>
              <c:numCache>
                <c:formatCode>General</c:formatCode>
                <c:ptCount val="3"/>
                <c:pt idx="0">
                  <c:v>312</c:v>
                </c:pt>
                <c:pt idx="1">
                  <c:v>373</c:v>
                </c:pt>
                <c:pt idx="2">
                  <c:v>351</c:v>
                </c:pt>
              </c:numCache>
            </c:numRef>
          </c:val>
          <c:extLst>
            <c:ext xmlns:c16="http://schemas.microsoft.com/office/drawing/2014/chart" uri="{C3380CC4-5D6E-409C-BE32-E72D297353CC}">
              <c16:uniqueId val="{00000003-BAC3-4BB1-8E8D-FADB7CD3063B}"/>
            </c:ext>
          </c:extLst>
        </c:ser>
        <c:ser>
          <c:idx val="4"/>
          <c:order val="4"/>
          <c:tx>
            <c:strRef>
              <c:f>'PT6,7'!$F$3:$F$4</c:f>
              <c:strCache>
                <c:ptCount val="1"/>
                <c:pt idx="0">
                  <c:v>5</c:v>
                </c:pt>
              </c:strCache>
            </c:strRef>
          </c:tx>
          <c:spPr>
            <a:solidFill>
              <a:schemeClr val="accent5">
                <a:lumMod val="60000"/>
              </a:schemeClr>
            </a:solidFill>
            <a:ln>
              <a:noFill/>
            </a:ln>
            <a:effectLst/>
          </c:spPr>
          <c:invertIfNegative val="0"/>
          <c:cat>
            <c:strRef>
              <c:f>'PT6,7'!$A$5:$A$8</c:f>
              <c:strCache>
                <c:ptCount val="3"/>
                <c:pt idx="0">
                  <c:v>Jan</c:v>
                </c:pt>
                <c:pt idx="1">
                  <c:v>Feb</c:v>
                </c:pt>
                <c:pt idx="2">
                  <c:v>Mar</c:v>
                </c:pt>
              </c:strCache>
            </c:strRef>
          </c:cat>
          <c:val>
            <c:numRef>
              <c:f>'PT6,7'!$F$5:$F$8</c:f>
              <c:numCache>
                <c:formatCode>General</c:formatCode>
                <c:ptCount val="3"/>
                <c:pt idx="0">
                  <c:v>224</c:v>
                </c:pt>
                <c:pt idx="1">
                  <c:v>247</c:v>
                </c:pt>
                <c:pt idx="2">
                  <c:v>250</c:v>
                </c:pt>
              </c:numCache>
            </c:numRef>
          </c:val>
          <c:extLst>
            <c:ext xmlns:c16="http://schemas.microsoft.com/office/drawing/2014/chart" uri="{C3380CC4-5D6E-409C-BE32-E72D297353CC}">
              <c16:uniqueId val="{00000007-BAC3-4BB1-8E8D-FADB7CD3063B}"/>
            </c:ext>
          </c:extLst>
        </c:ser>
        <c:dLbls>
          <c:showLegendKey val="0"/>
          <c:showVal val="0"/>
          <c:showCatName val="0"/>
          <c:showSerName val="0"/>
          <c:showPercent val="0"/>
          <c:showBubbleSize val="0"/>
        </c:dLbls>
        <c:gapWidth val="219"/>
        <c:overlap val="-27"/>
        <c:axId val="556349551"/>
        <c:axId val="556347631"/>
      </c:barChart>
      <c:catAx>
        <c:axId val="556349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6347631"/>
        <c:crosses val="autoZero"/>
        <c:auto val="1"/>
        <c:lblAlgn val="ctr"/>
        <c:lblOffset val="100"/>
        <c:noMultiLvlLbl val="0"/>
      </c:catAx>
      <c:valAx>
        <c:axId val="5563476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6349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rich>
          <a:bodyPr spcFirstLastPara="1" vertOverflow="ellipsis" horzOverflow="overflow" wrap="square" lIns="0" tIns="0" rIns="0" bIns="0" anchor="ctr" anchorCtr="1"/>
          <a:lstStyle/>
          <a:p>
            <a:pPr algn="ctr" rtl="0">
              <a:defRPr/>
            </a:pPr>
            <a:r>
              <a:rPr lang="en-US" sz="1400" b="1" i="0" u="none" strike="noStrike" baseline="0">
                <a:solidFill>
                  <a:schemeClr val="tx1"/>
                </a:solidFill>
                <a:latin typeface="Aptos Narrow" panose="02110004020202020204"/>
              </a:rPr>
              <a:t>Where do our </a:t>
            </a:r>
            <a:r>
              <a:rPr lang="en-US" sz="1200" b="1" i="0" u="none" strike="noStrike" baseline="0">
                <a:solidFill>
                  <a:schemeClr val="tx1"/>
                </a:solidFill>
                <a:latin typeface="Aptos Narrow" panose="02110004020202020204"/>
              </a:rPr>
              <a:t>Coustomers</a:t>
            </a:r>
            <a:r>
              <a:rPr lang="en-US" sz="1400" b="1" i="0" u="none" strike="noStrike" baseline="0">
                <a:solidFill>
                  <a:schemeClr val="tx1"/>
                </a:solidFill>
                <a:latin typeface="Aptos Narrow" panose="02110004020202020204"/>
              </a:rPr>
              <a:t> live?</a:t>
            </a:r>
          </a:p>
        </cx:rich>
      </cx:tx>
    </cx:title>
    <cx:plotArea>
      <cx:plotAreaRegion>
        <cx:plotSurface>
          <cx:spPr>
            <a:ln>
              <a:noFill/>
            </a:ln>
          </cx:spPr>
        </cx:plotSurface>
        <cx:series layoutId="regionMap" uniqueId="{6743E610-F8F0-472F-B7C1-C280FA6A55E7}">
          <cx:tx>
            <cx:txData>
              <cx:f>_xlchart.v5.2</cx:f>
              <cx:v>Quantity</cx:v>
            </cx:txData>
          </cx:tx>
          <cx:spPr>
            <a:ln>
              <a:solidFill>
                <a:schemeClr val="accent6">
                  <a:lumMod val="60000"/>
                  <a:lumOff val="40000"/>
                </a:schemeClr>
              </a:solidFill>
            </a:ln>
          </cx:spPr>
          <cx:dataId val="0"/>
          <cx:layoutPr>
            <cx:geography cultureLanguage="en-US" cultureRegion="US" attribution="Powered by Bing">
              <cx:geoCache provider="{E9337A44-BEBE-4D9F-B70C-5C5E7DAFC167}">
                <cx:binary>7F1Zc9s4tv4rqTxfurGQBDA1PVVNipK823HWfmEptgLuIMGdv/4e2U4mouQMXRXVrVFdpZMumzzQ
IT/g4Oz45333j/tkvdJvujTJyn/cd3++Daoq/8cff5T3wTpdlSdpeK9Vqb5VJ/cq/UN9+xber/94
0Ks2zOQfBGHzj/tgpat19/Zf/4TR5FpdqPtVFarstl7r/t26rJOq/MW1vZferB7SMJuFZaXD+wr/
+dZdJeE3pbNw9Xb7Gvnz7V/JKl0/rN64qs6q/u2bdVaFVf++z9d/vt0ah7x988f463ZYe5MA91X9
AMSUnXBkcsJtKh4/7O2bRGXy+bKBCTkhjJjMhpGfvvUKWHkVR4/8rB4e9Los4cke/787wNZjwNv4
6z+/hfvN29gAIAGLP99+yMJq/fDmrlpV6/Ltm7BUj69L967aPOqHu8d388c2hP/65+gX8LZGv/kJ
5fGr/U+XtoH8DyDfrbJq9cZZ6a8rfQiozROTIG4zgZ+gFiOosTixBacmpvbTDduIv5q9/bjvH2YC
+vsJj28OvDlTq6IOs4MsdmExyyQwDx4/dDQDCD4hgpimENbjdbwzA17D3Iv47wwyDf0dsiPD/q8k
D7P1AWDnsK6pZWMLgN18+Ah2WPgMPpbFzG3Ap3O0H+sR/QSYRxRHhrCrYL/aiPYSBP3j5vRb93J+
gjAXglK2H2fYyzE1ucUwzICfN/PX8rUf7b2jTMB8L92RIX+nklWmDoI5sbDJGaNPIh1E9lh/Q6bg
FjLtbcync7Qf7RH9BJxHFEeG8F/p6kHpgyBMQf1GhINw3oYWgdgmRFAk9u3W0xnaD/CIfgLAI4oj
A/g06w+xgG0wwIhFEHvenHe0cn4C+rptcz4S2lP52Y/uFvUEbLfuPzJkZ+vkzZUCC//3r14Tn4DC
Dct0szFvPjv2tXlCkEnBvh4Z2K9iaj/Gu0NMAHqX6MjQBj/LqlnrVfn70aabtWoTTBh72o0B07HI
tjkShI5341cxtR/t3SEmoL1LdGRoO3V1iHVNxYmFAUb0kk0FprRlmTbGZGRET2ZoP8rb5BMQ3iY4
MnQ/ghVTH8hZRjjiFL1kS4HNDJoXRjYabcuvYGk/wuMBJmA8JjkylC9XDyCvDyCu7ROQ1tQi7Mnd
hXaMJ3SCbLCYTQxa2c8G83SO9mM8op8A8YjiyBB2VVKXh0AYVulmuwXf1wsbMjlBsMxtYVrbCE/n
aD/CI/oJCI8ojgxhiMpkYZms6kOoXezENhEDF+ezE2RH7cKAMjHBMTYS1q/jaj/Se8aYgPYeqiND
/CZZ3a8P4xDhAoJYJn9ye6A9UQzETNibyZPJNZLd0/naj/eIfgLWI4ojw9lL3syUBufXATZofsKI
sC3yHJwWY+cIAReY2EwFy97nAnsVa/vR3h1iAuC7REeG+eVa30Oo3T1AOgJFtrC5/ewuAXk9NqBN
jgXDzNwH+HS+9qM9op8A9YjiyHBeJOvsEIFosJ4JsrAgEJTYxhdCVIJj2MtH7rDJnOwHdpt8Aq7b
BEcG6xxScQ4SjbJPGMW2ZeGXU0wYt+APHqnb0znaj++IfgLAI4ojQ3hZp19V8lD9fhFtwpbLbWya
u2vXPME2pgiyyZ4Ur22L6jUs7Qd5Z4QJMO/QHBnQp2m+1uEq+f1AUwK6FeHWRpN+/Iz1bGydWLDW
LQzRyc1n5Oh8DWf78d4ZYQLeOzRHhvf5Wh9iQ7ZOKHv0Zj9BueMJA3fnJrcEUwIBrJ89YVP52Y/w
FvUEdLfuPzJkn/IbXV0PB1jL4OlkJjYRfk7t3NGrwQ9GOEdIjNNEHpNSp3K1H+U9TzYB6z1UR4b4
1So/hM+TQ2QCUrYh8vQolnf9I5DSzQWErvhIx57Kz36Ut6gn4Lt1/5Ehew6lA4dwdNonIIABW9P6
4draMp82KdxwDaAfi+mpDO3Hdvt5JoC7TXBk6F6s4gOkikBIGRJBMEOQ0PX42fFikxOBLWxzNpLR
U/nZj+0W9QRot+4/OmTLcn0A/QqMJhPSr7l4TrzflckIFi4IZSjP2NavLlZTOXoJ3S36SfhuURwZ
wqBVvJnrVXYflvfq+6v+PYVUDNQnBml6+0UzJF9D2QW2OB3FI7Y4mqL67Qd6/zAT8N5PeGSw3yQ1
lPpNebuvrJ8TJ4LaDCIUzx6vnfw+dAKrWlhQgPF9tj0V0E3naD/eI/oJQI8ojgzhC1W++SuT62R9
CJjNE2QRQvl3xWtsP2FQuiG+bEJg4nHvHvlCXsncfsT3DTIB9n1kR4b9RoRdQtXnIUKQ7ATyfxiD
9fsk13cWOFhThGNTmCPMX8XUfsR3h5iA9y7RkaF9udKHqo5kJtRHoudo83iNww5uUbwpoIUrP/vA
JjO0H+Vt8gkIbxMcIbq5Okgy2ONShmQ//qyFj9P9wHoWtsk4ARvs8bML81TOXkZ6a4SJYG/RHBve
6+xB3YcHCUeKE5DLUHPBnj1hY8AJhfRAZlO6KcvYWtGvYeoFrHeGmAL2DtGxoa0A7N+vhkOZjSkQ
aNnf/ds7eQXoBOreIVkfQxRrC+mpDL2A8hb5FIS3CI4M3Y3qMQvX8hB6GEQjMWzOEJEcpYxgBmFn
yjH/rqFtA/wqnvaDvDvEBKB3iY4M7Et1EJkNhhQ0IviRALZTMLcpvIBIlYA9ehvoqfzsx3iLegK8
W/cfH7LVWq/73y+nqX1iM3tTrP5cIDfOKYCyKduyTZuO+w3B+57M04sIb48wDeVtmiND+mrdrA7S
VgoWqU0Y1E89113swRlhKLowx/Hm6RztR3lEPwHjEcWRIXwNvm55iGgVhewgSLzm9ktNZaCzmAWt
CexxXtB0jvYjPKKfgPCI4sgQfhdCNXMZPhwGZMGRRelzVtBuWhCDvCGGINw82oxfxdR+nHeHmAD1
LtGRoX23utfQgC+rDqFj8xOLQasoE0rUHz87vs6NmbX5A6lim8+Ox/M1vO1Hfc/zTYB9D9XR4b5p
Dugmh2kNCMsYYheQePBS2QU+gcAmhv16FMUCK+c1bL2E+e4gk0DfJTs+1N84a+hreYjVDp1nLGge
BQXQT6t9p7gKVjsiCHK9R/kmG9N2OlcvYj4eYxrkY6qjRFxnK/1wGJ8oJOlDwTN4S56zjMaaObhT
CCQHQoXltnn9BPprGPsV8DvjTAZ/h/IIJ8BFHZZvrr+GZX6IdW9B+iexwfqCfJXnXXwriRCKKm1Q
+KB1yZ4p8ErWXp4D+waaOAn2kR7bLAhW5SF6REIiGnT5BHcpfalDETkBXyriMENG638yRy9gvk0/
BeptimNDOFzrgzQ1gdpKG1EownrS0felGsJFaAQNTSGfl//PAZG7yXy9gPM2/RSctymODucyDntV
/35n6qa3HIWEQvK9d/uOAkdObGiKYUEPm9FaDqfz9BLKoxEm4TyiOTakISCSgo3224vi+YlJhQ01
HS85zR9jY7YJiUojnCdz9ALK2/RTMN6m+C9A+Ncsbj3ypn//X9/f8J6c4defvQARaduGfvyPgnjX
uwbVHBhQx9B/6vHz/bufMkihd9+PAyOeJPg+nvYj+zPt1jM+PeKvX8p/38kKmyaAh2hFAwkmlBBo
+PgM0Dg2vQlnbfoz74Q57iZztB+/Ef0eCLd+BUeIjCiODOH362B1CNkL+jKUN9uQ/PtCR4PN+Shw
ZAZ0enxKKhu5RKfztR/nEf0WqPsPSRlRHBnOX+qvh9hhN4liGCrZIavg8bNTegXdPKHsioPltC2D
p/KzH90t6gnYbt1/ZMi+h6ReONPo96tPm4YVUDUJuUPPtc87UQ2oq4NqWDj2Zrx4p7O0H9/xM02A
eExybCjXEME4RKQSKmMp2sjgl3UpIjYxDGu0gt9P5ugFjLfpp0C8TXF0CEMvz/Qg59iwE8HBNw3a
1H59GRyX4PfAmJMdjKfz9BLKoxEm4TyiOTKkv6jkEO5pOK2IwWEIIJFHiZ6gTMMFhqHJ0GgTnsjI
fmi3HmMCrFv3/19A+vLxdD9O+putqpX3eEbgTyfU/frq48uBsw1HpM/J0vssy+dLpw9/vrUghPiT
9bsZYyvL+mdz88lU/TfVGjzdf741MIbI1KbADsFRCBb0CIMB2/XTJQJH120yyaDLKwdzeVNplcF5
DcGfb03oW4I32aJoYyPDKQtggZWq3lyC/kWQuQK1W+DrBHc3NK/5cX7jjUp6qbIfL+T55zdZnd6o
MKvKP99i+I786bZHVpElQMWH4nsbkhcpHKEGszO/X73b9FWAu/+nGqjKi7rurrKWCq9p/SB3FI1Y
7MasbW5tw+rPoq7JYg+huPpSKbP5EJtlVzilyIpPP729fdyAzjLmBmJ00AsC+iDC8Y2bFfEzN2bW
57EI6uaKFBm+kvGQ+U7NlB24XVMp4TStWX9hTW6Ejk55VbhFpGPp+EPJTBeSa7MHUVXoGsYI6hlJ
EvxhsAyOF71t+WvcG7ib/5pjAq6oHY4h9xNK4OEMOugRhkYchywAbPvqinaWlDO7G5IPDZxcROcV
65XlNH2Ho1nIfO4MzO5Dp48RXaSN7vFMN6p6CLqyxG5o5NashMM5G6dKA9Q4TFux9KSKgpu4Fmdp
KYJyBmq++FgGxXmctFbnhaVhX4Y6aNLFr59qFwZoNIugTRac3wFJ6I8P/dOkYL0hWyNPyqus8sVH
JTkmjhkTmBp5Vnc3bafFXe7j5POvv3Yz136ei1BlCmd4MQqdraFYjdANWz99rYU6aealzK4yPuAr
HAf1VVZqN+R+8PHX3wTLZ+ebBCQBMOhMANYRH82zPDP7odCBuuI5MldFq3Sy8CveEyfOAw8VdTK4
FPVcuRG12vQ/TZrNpNh+UJgocDqOCQdmQGu58ddDInEYyCwNr1gRW6s0qq1VnGx4sIa09GytlNMj
gH7RJkVLnCJWbF0lojxtRW9edDbVyKVtpGI3Yln6geqc0FnA+36dG00+Q8aQMtcSytRLi9pD7fz6
7W26Go75ZxuxAQ3G4QxV2NW2gUJ2bWWW5RuXuPbTVairUjrYiKvMdGjfZ/KsDcL4q+Qiv+iGIpjb
yuxCl+CGfavYMCi3DyRzTRU161BT9tBYecDOfs2kae2ATE0Kk2hjHkG9lMVAe/p5Otmah0gHFb2M
zCL3BZ9VIhgWXdVRMa+aunZ1V6DbJu2t2gmCgLkaZ4uS6HyRmDlx46RI3+WJlXYOS1r5qY1SddqX
VeXkVpF/sMuYz/wi891aRVHohBWNWsePyuyqzY3yujAG6kmJReQYg5+lLmmCdGnZVfKORPJG9hnt
nKRmxVXlF+8rkhp0ZjcEXmTYE5ANZj0MDmp5dJEEFv/io9o8C2yOLwbZNcJtUWCm0Hu9D08NrvvU
aXs+zHBrGbMh6u7zsqjuamSwwGnTis39sqhPTZ+Q90WA23jhMwOHzhDE/ldIn9KNE2aF8XedsnSW
5yU5jVWWn+JCJA9hk9uw7mka34XC75jTFKY8076u3R7ewwKbRFwXbdp5ZquLOcYdbrwEDuuTbtNK
XrgNCXwvLame1bm4DnxDohnGqlrCVkNaN0OR7fCKJZ+7FAXnRIv8zqKVtahFZJB5aafDittKeyXq
omHexFzOja5DK1Im7bdS5rnlDqRCtZNJ0sh5V0UKFkfber1saj7Xyg9mSUXTZQa3OlApqRW86LRh
TlRGkeEyv2UOU1Y3OGaV+C6tjCxdaDv2pFn36Lal2ITzjjVKnAhmUjWnVSvKRUdZd2HHw5D4t3Vb
VGnq9GHSZ/oh8ANChi9la3QsDRyhQZSre9KnUUU1nGtS1zm6quIqjbszERbDohF15Z+mOgxzJyKJ
ukPMoKdRT2nt1oCB7/QFEh3AlXI+y3wf9sMqidvCs+NWIlcnFfavgwLZTC3jnrXBrO8SUV3YZUVh
RrW+wmXr1rAXzm0jiPzrBpaOLd2C5xwmHI3LdJ4loRZOUsDm5XtdE9qu4YOL33J6H2UmnP3op6kb
iLr1523CktQrfdAK5lYm08HlgwUSMyOxWbtpoI3EacpeljdlaKSpp2TIvxl1w0I0Q4pUi9DkNb+y
DF/6ZxllFbMiN+vKYuiXJUT9dODlMmCp55fNUMyFLrNw3id22i9RWaa5a5E+CV3WWX2y0GERGi7A
Sj4ZeTrgGaT9xukM/iLjOomQUcIrz7JPUZqK9JRqUSVeHFT2u6GuKJ1HhiL4PGiDkmUOC0hQLXzd
5NkdbMb0LJIDied1Dhx4qkrk4HHcDcLlUZ+3lynvYWobsFT0zMe4PtPUspKZ9KmsZyxrAM6QlaCf
ZENEh3USQzhsxoGBdEb7NChOMQrNpQxZbLskjgs6C1Xoz4bajy3HaHUubiK/jUyXhkU0OGkeDcY5
8hNzjnNfWsCuYLmH+2BQp0GIW+nFwgxaZ3Ofg0UoMpg+khZu14bG4FRdaPyt4Ti43nBCWEfkCg9Z
OIQOb0yDvu+TltRXdi56NctEUV1adQZbkixZDAQipfC2/DDA2ZcBJ1lwVvRp0s3L1hrCc1zJ6r0Z
EWtldX7qOxzD5J3XWceoV9pDCMzXOEpnCS3i0uWt74U4LL4kbQuaRSSj5q607PZrrgO6bFgrfY/H
FiJOxn0Yx0pU1M0z3eCrocupeVtWFn6PKwPuaG2j5G6Fe9Z5DUmjcKk7QtrTjMmSXIcGEx8zVGwm
ZxQV5YIlZVDedL1ZcRcVLWATtBkwpkoQuuewg4mPlCOY3SlIST2Dnt2dOq1K4ZObSNdx/I7wTJin
nRm19WXVVRvlM+i7Gys27M5TbQpfrdQwNE5H0mpYoJhtHn7DegvyCfjKU3xlWhk8RV1Y8KqCWMWD
K+IGlk6eyDi8zTSDJa9r0AokXAOZSqosuC6w2evMoXmAAO5Wd/VlagR56YSoLrp5B7VJ1OubgmyE
BiwmF54IBEgn8EZPrrL0ow8N6c94E4bc4YEVw7zopb1qMwpsdDrq39GqQ+W5BDU3Old5Fkd3HHaL
RZkhfFUIWXyBxEq7cAIzCMmZ4lLU536gZDPrNStaUHB7usgJvFYXsaK/j5PYuunqEqllgfom/tTa
qSyXqW+k3/pBbGRIWCTBDOwATr2Q9EE5z+1UfDKQn87TNpeFw0wQc71ug3ehqspzkcaRNbOIJhLE
HhxR5zQBER91ZDTSS0gGy2QwfCpOzUzhYp2CQO7PoDE3rI12I7G9yDLgjXbN0HiwybTFOdY1sV1f
JFUDOy1tEKjeRfS3Fo14b/Sgpp8NotL4oSqzvnRSjFlzGrYEhupSHAyu2UpbnuYAS+sasbDng2qa
6rLrWXIXNWXhcFYuzbRrrOXQ2gBOjHA5LPIkVuoyszvzwqiQqbygyNLmXPZtHrjcKtPgPWgi5QMS
GYgREJ1l48RB2ZaOaBtewC7QF3eJLHD4GauB8sYZQAPrP+QVNQQMVvraC5gRyzPDz9uvgURG4yas
tOPTUCB825WGPyx0XZShFw41TNKQVBG96eJksK5SO08Sp8gbZF+aODA7twftpvTaIAfUWp6F0tED
S0F2lGXi4Y52etYkhOvFwAuY/bHZSTbr/R6Vrp+XdvGptXr8Pgo0zDXY6cRHmOtpeZOJDIOAJbmI
5jwN7Nbp6i+E1y3HThw37INFsqKdtZaszEvTT3jzrvBLoWFzhxnt5SEFNMFw6LuLkFaxumA6D+gN
6VBin/qdEvBcXWfIy1gbeTtLSx9kBmhjdXWZJD7wr0Us52XA42DWdgid9oUJ6763bRY6ph+wy0et
9Nl3cfOk5D8Z4Pcq73Uog2r047/eqxT+++eG5sc9j26Kf/90Gd5rVapv1S/vWqzVJmRejm/aGhm+
/Zm7jfti64cdV8oLzpJ367JOqhcuvuxJ+dGGc+NpgFYF1IK/Pynx+9wpT0cYfveDbRN+96iAPxSK
7DaHh4KRCv+A8fbDowJtqQQEvChUzENTsk215bNHBc4wtDblH3AMA4g9cHfApe8eFSjpgkgKHLWz
OTEJusnar/GogC9mZB1teqFtCsRsgUD3hUMdtu2OTPKmSRqurhFK5DKX/iKQBnc0bc9r1vRuW5Py
oquJWlA00IXo6pssMsHgzNKv2iRqVhrlMukDyxNU965sbepEZlC4dWAOTmS0ZBZU3HBYYQ8zo+3S
m0KKT4E1aLfRlLodGs5h37zQlrnkSoC4NIJF0eeffC6VOxT8ctB95TEVN0vA/UymUQEL1jobeJg6
0mSXNjE/SCuvnSrkt6Jl8SzT4W2F9AoyPzIQT/Jjk1q504IZC4oba9y4GS7tjH3qfNjfMaWfRaI+
2V1zLmJ80bLkvWGllxVvcxdE+YdM+8gxMKjkfnvOBvNdlkVzLI0vJOxcWch5hQrmljq/yJn6TLh9
RYM0cgKrWzSdlTkwKVZVwksn65LAMVjlhfYQOLhLkhnVnQ06a9F7nGe11zRND1ZZeq3bDvQJSZcq
IKHTtfVVmzS1I4cWL6y4mkd28a6Lm8i1Ypy5BhluqG/fkyp/H9f9HORR6lCZ3XSmPe+D9DSE7d3x
WXlj1+xDUPjSy83+sx2WYAm2Vj6D7JfYTbJQzWnYl7OMsEWlh1vdZWyOg+Ssw8k6GFLYHirywQ40
hu2M+K6txHXUMHKV+GzZcXlXXJnBqV1HG1Pw3O6jyIUkyHnIGuWYBYjuaoi8ilYNiHL+ObBt6dRF
RpxEhQucZpkTp+o+ZraaRVUfOaTA84SDYEbS66t+GfZN5KRp9FVruoZ2cOtWIbmUhXm12dS6ppDg
iGhSL+oT8yO1YtDfe04c5odw+nlxllr2aWJh0BSDueYynmMwIry+64hLpN0veJ0r5mRWXXltY9yG
efsghrjVroXCyEW6WAyFWTqsKs5MoyBuYeZLYavAUcSPQPljfAbZYUtiyGyhdLcC9fZ9iNSsKVMP
VciVMHVhHolPijbUDYqquStMXHihkJ0Xs7qHiQB2PR5q7FVJHjnUSt6JBtx0xKcOOGFOM2Ff+E2J
nTTW0SyREawLltQej3I8p4UiDhzrguZGQhMXwT553pPs1jeCeypb87by03dcm8jZuGRO8xKeJaha
0AOG2itNlTgSDddKwUqJ0q5zaJDf+My6CFKEZjmKTMeO4AVm9t9Vhc9KdRuaZu5ozW84T/3TzlZX
nZ+0TlO1Z4KoB7NMcqfoo1VqprnH4jKeGZ0Rz/IB5kdrFeCkKyw5CwZjQXs3Gv4mkj40+iKKTkvV
eqEqerfwYRo0qb/qN0oq6YtLf4ixk1HjrsvNZYYDA6zN4KMh43Vcw5IhmYK5nVvzUhSnqZHmjgCv
C2z2yXtwfnwTjWpd2cG8owlbmCqTngk+H8fIh8ppZJFdGKSzLnGWvjfCtLjqGjAmwNyPPCYGf9YN
jeHWvq9cqZECZby5bHTMHbDGIicR4V2gYTZbpsSnOokCz/QBcTAxwFHXD7fKz20HDxQ7ZdoMbt4b
72ih6xmCb3KCofAdo7HBxRDH/rzpq2imispcBoBXYwZnMVjkTk2L29Sk54kq75CP3vtWqGaYNGc+
VBl5dBi60CmV1tF13mH9ORZW2Xp2mdmRW9bReV030eBWDU3JPGz9bFZEYfmFCxmYFwfRHP77dAIM
Gfl//KxcbIVYnhrF7ioEG6rvCsGmwdVmv4V5R8ynYMkPhQBDAB1+zZmA6oDHXf97iAWfYA5eDgjA
QI4M+Jthm/6uEIgTBv2TYETomga14NCb5Tt/WxoehJWef94KsVjA2pa7dKOQQGQFatIQhDXA+b+t
EDS16Ixc2e1139KSeUHjRzDxmOhnsg8DMFv882qIJVhvUdPEH3GNDXCRIR5Wp/kQbmarPcQXZS/a
wYs6Ug1e3OaZKhww3WzrvrNbljpJrv3Bq6QOe0d2etnZWIpvAqW4uuvLstTzKmSmP/Nh4YtZkqvW
1k5g+MbgFbYkAwieuIW4yqCwCR7PWnbYS4nUgwexyxQ7Pqf5rKpjvKhRzPlCN9K0PiTYCOw5A+kX
EpzDBmub1RKc0P2yo30dfWsp7+Yy4gMCX2iUVh40qUPLIO42dglPvoZ+Zs+EbDFInbxvPCPRNoin
kDkiiAMHpQZIK0tbXxurDJxhSOmiQr0ROFYhzYXVB9/s1jCdNOPfoiwxIXgiU4/lcC03wClrNLVe
dEy154HMy3OOm8CRIUiPpIKtLdFG9hUxFjsEV6D1p6SJHY0M5NQWBr9YH6IliPfACf02W2GeDI49
KHmWg4PrxuxB9Ug6LBY8z9YxG6wFTSiIyqAxF6WqQg+BlHBiCaLOtOrkJkZ16RbgPEjzhjhpUbQe
NyBCJDldB6WhlpaOYVo0CXVSaRaeVpI5yDa+5rEvl/aQ1C4Wii8Crb+x1vfB0g4Dh6VgZM5aLXt4
JlAylErLM2GhaEbA03cJPINKp2x1FreNG9YRmkFOkelYrO1vhfCtRSsU2OF1YDngvYg9qk3utLXf
eNmggU1OPydZTBxZRGDybfY6cJdKR7Gkd6q8KZwaooULnNjFrewL7HSyrW5ZCB7loccFdoe+j2H3
Icl8ABemV8J24ZRml3sdZjWI7bLw/C6LlzjRAWxOUbr8f7H5ZEpBUOllsflXkofZeldsIqD6SWxC
8zAKcm7T0oRsbLMfYhNMLAbhajjr+zH+DAGef9tRAjx90AGFWpB3tGVHcWjjD23coZsVrGJIHn1d
ZHonfgMlIARikBSCGsAn3hhzP8dvpGZtFFGeXBu4+CLDChxMdfIV99ZpAqqtE9kDmAi1x6zUQQ2b
D1ReiL64ankKTrk2BW0lLFKnloarWU3m0kJzpOhdGzbE40zVbiP7C1T5M9tQ4KnF1ceQk9xNcHIR
WEXiNoZeJnG5Su0OtGpsPvgkLN3cSKUrre68481DXOPC5THqZ4hSz+4bC6RGNnioNpKZTq1uBr6M
ymW1qF2zR7ZbqayfZ6q/Ib1lzYhMzuvOog54Mz5TiEzNwMn0oJB9BkHLfFZ0We7IpoxBIFDHCiCQ
lzFxMwj8qfEH6UQ8jCFyZbROwir40Y5Cd5AghdNU+qCkn1JZzXumfKcAN49D2u7jEMjLimXnuZ+f
B/BMjupD7aSEvGvDeNaAQu3FGbn0MXnv90k1byApClRgCmHpsoHIVwyGrGnSZUr70PV5/olb2nBt
1MtaulZThPKuIlH+N/hWP/aD2Z5XvLzOaVUuEtxCAKXQf3cSHGhZvEjz1nbM2gJDpu0VKGI+cQKf
XwaSfKRFSZ06bK8NaKrkxXE9zIg1SG8Q4LuUWhgLQ9XvqBE8WImvFuDHdTF4Z8+Vvaq6Fbiw52Zu
r8qeqkWt0QJOaZaezttUfRQ4yO4SlOTxOpTDQ9sF7waKQOt/NFViHXC+0ji68mF+n6IqQ8uuIuqa
aF9cm6lfnvXCd01Re1nL7GWlQZtGAQrdwBT9FY0GcBuFKm0XEAH71GbtjIVpcEk7tQavGFkiJUXh
aJsHg/P/cg7k3KYLz6/lHDjAHlZjQfdE9l3QQYaVuTl7k0MUCFQ+BuHsH4IO6kIZZNPA8gQBiAlc
+i7oIC0PQUsQCG8D1JC9A5e+64fQcRXOD4PMaWirCm1DCHmVfrg5xGRbP4TDXqGvFLihIUoF52SM
HEa8k4WoeVBfR2GVn/FEmJc66855lhSuVeuPdpqCXVHFywy23WEdqLIwbuserNtiCF2ISCW3Isgz
p4r720qaZ6pM1bxIYMnjoYdUkhgbizBpTMfMg7mMm+AU4pVgPee+6YBHWQauaIpsnrI8qe96mX8R
ASxIA7RjMM07sNRzUppnTWcMZ1aedYHv9rwPz+oknvXEN5aVob9JkQ2QxYL8RY8VxNNxLE6TWjYf
8/9l78yaKzW2L/+JcDAkkDw2w5k1DyXVC1GqksgBSMhMxk//X5Svfauu7dvh7n7pCIcdDtsl6egM
7Fx7r9/aAF89+zySVzRoYRfzh25AI1zQZnF3nUd5PmrI3XhM2lwFa5DXNUfXGSWQG15ylrG2RV95
WWh9uwvn7pqGbEzHQCUoTuucOqWFC8Xa6aAnc+0Zk2S27V/1VF0WbyoYarNv/CuXVOdptSy1AnMt
juk5yifFLM7gUsY7nFalgyqgbfVRTir6vKxiLHd92LMUNjocTma8Q6KHeyaDByrcdjh2EXPsHffa
/gAjPGt7Fh36cDHtQ2TdBOJ6KOMxDeKS7ANvwqAlLMMPWQ7TcQtW7ge0pfnatLeLMNcR6U5tza57
1z9T6+yUmU5OE+VqxXS6b1MXXWbIu29T699zm7z+Uzy+iySCS+2vRdLD91Tff9YOtHz4rt9rBwoE
2fZnU4qEOeIyP9SOYCPx0FUCV0J92crKb7WDbjtIthufYMwHz3f7gb/VDgplFfj4WQRXPMbRf6t2
4CbBP9WOLetMsNOCYOgHDUfjDRH+USTJtsNR5gr3xg9CzXYhxRQYDvjwVQsMP4mc0UOV8oCrpM2E
lzyXFi1QqVmfY13lm23qh7iZkhS4Uo5sF9R9x98Gxz2asb9IR8BlC7VIeT/mZTTanQy8z1M8V+Bk
JnNGE3PsxyoLVn4DbOLYsOTKyCX1NK7CoRSAP5ZVpbGhh5aLYp2cPA5sbqdIZcpZb2U0lFnNp3s/
sK8Jjx0MX9u7RTpeqjrn0WFcZ+UoTNpzvqvK6FyLl5ovnwE9DKkIxb3Rwk11j5FzE54b+LyFWNv9
ohQu+I7cML6S1PXIeQ2767EdztSU37pkOnM/+uwvkbwjcz9mVVteTQS1ofKd10mHhQGO/UXDKE8n
QD6r0c/cd7+hkwNN08FPj+r6aY6db0M44onUyUFKerXUFSs8PIfSlVd87b4YocxuLCUvpsWCnfD7
cN+GJWwpBg1Am6elK2/MMH1uIqtSGfuXmfZ7S6SC2w6BO1JvR02178vwRvodFOC0HobJczOYp88i
SnbDFF5NI9u7lo6ZoeKubVySje18oWa9TIa6xVR2L5yFATCcXqR9Ip97s8Tw1uxLuE7nKeo1pF3z
oai+gnFSXZisrhM4vHlro2IyUK+e9Q+mREEzffXo1/rodgzHTmyT0xQNXeFH7FtbxQ9VuewHOc1F
o5rTAqwCms55n0l3XqN2Fwn7Cf8PZ1ioUzJSWijI6ZQJe9saUV+SuXmMLsqTdZqAQopwPeUsALsT
D+aj8fqDiPU+GnugL4OudvhC0Gd90SkIVFeOOBIc8+CNei9C+UoWb59AkqYdDc9GxDgTlCJ52zZ3
g2DLrjdyR+xaZysa3YXFXYqoMs3kqq+6pDYY15a28OFm+5U6y5Ds6mRYU5noOyKnk2BWZEwv1zrB
a0+26U1oU4fyePk6VEp/Yq0Fj1clDU0j1cb3fofdNVVKdePcuV3S3wOOaeq9N/OdDdydxAwlHfzy
Q1bzexkmbsZUDTCqj09xOz+bSL9ZOfRpp9RdXCV7h8k7r6uPmBKHGSytvJtjgIrxmPPa1Tsa2msv
qAmeXFf0ceykwSwOys6kYCWZ0qSO1wxTgybreJNbNe+CaPkyRz4ajvkzLWnhJssT3miWUuEcF+5c
cLbtmXQwLldpJL2sEnWeOOVBNMtO0rZKZ9qlC1lPQWc/eb3OWbhUud/Mu7EBYRRwcYl5LzOLSUIy
xxg6RMBZGrwhz1aL/TIPu4FO2dgMRw4qKJUtPIrG5IwnL40QMjWaXcYu8fK158lubqIhXWV7SHr3
OrDJVzMRXARLtswAYiRJ8qBbrsggjpMOOrQ3rj7704T3NkxLZzgMRn8d9HgjZpobQR5dXjVpsujL
CqskBZ1REImr0KUs7THh2XnSfQiH8r2PDD6dY3O0SUUzE48Hr4rnzOnDAwma29JdxzPreCp4CMSC
j+gKhqsJ7dbswIppZJ2Rir7WAYy1iB4G4JJ6cfdJPNzyaPzk+t2xJPMuGt24kAKeGZtbJ+0idR8M
ic34qm+IC0emEocaBbDj43UZrY89cNHet3elDwKpH9OoD4GfYLq4rv4uinQROB6gFDPmRqE3Xadg
l4T27LbrjrZkzBJM5PvOfatL46fWHz4HnNbZ5IfB0YurW69d0q6q7ryVXhK6jNm6OnwXrdPJjWSG
2RrLZFeJonF4go4zHPYJm2+D2tnJGn1uQj8Cf921TZebyBZGU2fHed9mk2NvFtvd2pg+zXxgWROG
wFWaMClmUHAvMigxIO3GD2GGM5vd53poj8KqC0vAQgya3w+rn/tcf4TVUgyD112zed6BlHqSnr+m
IUapqMCFacM77ZQKZkzy6kT609zP56kBzGzAO2ZBt+FDAA/RQ7I5vKmm6kysRRkny7HsE9GmHtxE
coiMkc9j7Uwy95zW2zmrnTI606J2+dEPMbtDg7nms2LfyBgM+TIq9PPa+5Ks642nm6CAXKjyyvd2
s15FWgb9R2xHmSVWXmE2i3K5zG3OFP+khH+rGv+eyBbujyLpzMxXjEty6MpT7Cw3JpqPq4/6pWMP
Q4GwfZoX57mb1SPEs9zmwnlXcy+ly3QzSgxKyEof1raDuh7EcKet4EVYx+JAWrdMo3Js5qzxgpGd
f9BTfzL79v8w+gYnDC7ej0IgPJgzQSP9KE9Mj+17C8ZFN95Dk76Eu/G2z8BDZcmXx3tzpU68UJk9
8AvmkDk7qB07hdVBXLH9PwL3u8D1/usU8Le7hP9R4m7f97vEDRBDwW6daGOlcSsYzNl+b4+RUMG9
GTHrQyuObajQsf+2T0iEOAsOru32cN87539JXCRTsWYLYPj2U3E7VkRe/oZ9sn1CfmTlEQMJsL4R
nxM0yeiRIcB//ATZYZl60LnT7eCeKpGBUlPm108H+Jo/d2hwv+CfHgTPwnfxKcU6A3jc27jxP1S0
5+gAp4zpboMpEa7BEWAkRmuB3wa3DD71mPcqmuXdqnhErzdY/EVXsS/vsGZ2yZjbzP7Jj7rMgBbs
GViksi6igBcr95Z0WINsWerbEmx2rXCgmuTg9OrBuh2KOfOKtY/vZ24OaEqblOHQRKLYy0PSn8As
3ThUvtWL/OKUJQjq7igggmHbY7TO2U1lTUH9+hgzkGberD/0EIMt41Ne9yTe8x5UodN4dQrW7dCP
ncyGWDzF9NAHJsPTe6ki9wjGDNa4150wcHyvkTRJy5mk3dK8lx1MWdp0NlXuTNMeLhJmBJfSxlNO
Wx2kekK56WL3bTbtKSBOk3ukfRy96gTW/EnPrE59bj/JZjEZW6avJiKnhegWZbq7atk85UkfB3nI
yzArlX5AdFmD+VO2qJbgqqlanVkT3NVTUmXrOLw4ItitaECK0IfnRX37IWKMain30Wb06rZV5BxP
moDG6Hlay14cIsRKUmBxVTaLoS1453epN1KJacj6yQPTH+DtTNXg3IeTg1Parx+nJoHNTeWr02uC
uWl3BEQprms7eRlz5Mk4YPJcryepR6tLZb8GQu2SIcp4M/kZegqTJXX7qVxHkpU9xWCj8k6aDjq3
Y7xf4/Brx+cJyL4GEUS+UtB+ORX8gzZAaSoCkL+3yWPVRx+ET+BU+TvvwynzjDgwX7Pcm2mmquZ2
9M2bJwQIcGKh8mR7rDnYZ4JGjVNA4kMgxowYOxXEcZMsbIfbIXGexgpOlFPbIwuYLjzCHqrZ9rmK
qyFry6CoidbFWMXFqvD+JVQ8+MGG+GDuMifjJ+muUcqX6EOI5HPoQSixyQ92wSzht5dMXrVNrSER
eZehrjzBFnpoSdidMDm5qeo4xhEHSNmD1hxFjU/P1IO3mPB6xPH6KqPyEQIIrp9o34k3RbtRu0+y
qp8MBwkwQ2VjTG2vmtj5sA59degCjEKyDDulTJ/PJZC/Il4j5QOLgfXU+fj0FxPRfXno8GokmJ73
j2E1rWkZSXzKk1o+SdjDx3CdxW0UTI997x+ctXtvTHvksqsB03TfANH2No15VQyW8p2c7BkSRHwi
xOZ1VNaZiZ5bKJf9whZxaTZDwXHu9SASRDNE3fO8bBA8GEHxOPGscsQcVGbqMExXfH6roNvPKrgi
JmyyWGO8HcNpwLW5MSPXRsUvjIbv3EXsDrWzT8nq7Zq6y0a2nDHd/OLMw3myHEDO8FoNBDbiGtzr
1iuAsdwrLzjCYL1flhhWR/Xsy+jV0DBXnntOpuoWUcPbBVPq1djdOkiwsMu3YQTDz2KRS2NlAWI3
k8BLYqMtxmbhTnfjdRyrQvdo1wBJQKiHU6qSGaQLyLTScSDt9HPDE1mUvnk3lu38fv7kmPdwwCdx
jOJdQETcZGU71dDe5cQxnxgWxynccYmf42qc932v/UxUoIlC2tnuWoIraxQBqbL2RTy2iD7UAnUr
lYp0S9qEoOnsonRGa4zhadA8y97stJ1epql+xtD01W10cOcO4XqLA6/f6br/0vvekeng21zSGwQQ
rpM6qfK2oTwNJdIEmHzQzBE13zVrkzwSMP9XVcMeeFW9CR/exySH+qzXJS66xgZ4Pu6SYZbw2vp4
Fyf2yLkSeRI4p2E0LwNY3QfqBM2udIyBndKbdOQ4ewCAowbANYpyM3TrjQPA7zESwZIvsP2LSquw
xVVuPpWJGXJi4+aAq5nmfW1zEo3jYfTstC99jexLo5b91LosG+suSSsrOS52Hh6mOvEORo6A1e29
IbBbI28vRjKmyim/cvi46Rp5j12oXrQ3P1Shjo4JGV5UMsGjqdby+r+LQ4iHH07274fudmvg7cQF
nwE68+eTPaqHDhs9++FWUSA13o2gjxF+63Cb7ZBP//2xflYR22MhQ4uonedtC6G9eItx/hAtNEbB
xpnMdEvLosQMZNkx5/n/7iH+Q+oiqlfX01BPt5jIZYsTp2z8TLqH/4MHQZ4NMD8AVySK/+N5MCln
0U7TbaDR911m59oZj//9If74tuCl+uEhNkn/w0tlB4D9QECmW0Ifmn63AtqACmnjL2L53zzSz6Ds
v96UHx5p+01+eKSajSFGX3gy/bKmXhthRHYaGky0irE5rc2/LLK/lHk/9yK/PhxCn3Bu4PYkcK9/
fjhbiXnV1ptu6/7Fs2BcoseKnZfm5fvr9/8a8f7/D9TaVPNfD9P/V/Plm9J/7DS27/q90/iOFeCG
ZZRAyuOe7z90Gt4vaA+3luI/fTgKGCtxsQVlW2WDfDDetn/P0nGLhhDgNgFvjRtYxn+n0YDhhw/A
j60GhvzYWRcjhuzhzMMOu58/IKoLVxkupblx6+BRAgj0DabKxNzJGezotDGDlYs8pUcOYllE3mxc
YTmCMLTzUKZu3/VpvExDjoTVvUvWNWMd2nqMlqPUrB4A6g3RTPCz2liB+8LhfEwqUDYdqx/0Rjyu
raKpp+Yrp4fwblrRZdNGSDpzWObxRk3Wo++kONL6axdIJW5KFF7F49pehO9DpEd+DyMLZre/wZgG
Hhrd+MyIsSpddfvIWooRwAZxutoce1CdJbVVYTAwgepu3hHWfUbQ0UlrPzwoMKHOBoeWvblaN1x0
Das3EPSYI4fDkmkwpa0+Cu/ibZwp+6KDDIOxg1JllU/jgODyBqbGi6zztp5l7q+mKzrwq9MKfTRb
/W0A2erZDjNJF09Ij+UR86FbFE9ME9vCWS8DwNiZ0M8hQFm1EbPJErp5AohWV/qWb1QtZslYWTB7
NzLSG3E7FB518ZYEsUltVZljvFFLiC/e+xuzmwDenQHxmpYivbRxvdxjHtQJWF9M9ED9RoBKuhIt
SL0xwaWcPEBh9ALa6rgMHOwUFLigLWhxA/N/Y4v7AIMkauDIRgmCsBHST0W10ciVdSEJAChXjhKp
4t2+d8XJyPiRJOsXb+Oam0WmFgCCGFmSK59BECMAmXZAoSd39LMIcHTg4bmswKWToBGZLL3Wve2I
bR9oCU6e6k1JqJuVaJzikzr6o7OJui+J4irVomohvb0XdLFXGgHO3KEEGwmm4B0Q/PsYL8vOWAi3
3tDygEzlW4NLNIWFgrkebFtgrcND6Fdwe6h7GoV47dbkvPYeDEnF9mpyLv2yYJjmgku3VemlSpZT
qo25tmLF5TM+sqp86xmazjZAilU4zUO5BgwJueFTH8RH2dvqQEMMgxYg02qJGtge7TGqwifNXHYa
7cbRifUBP3O69GM4ItSmFFjHSGffA4yjRhLVS7Y3bwb57EZllHsl+WSUQCZiHQCambY9GX+Ys9mJ
cTQvvE9rU9tsnY16qVwQdi1j+lZEYZJOARqJdoH7MjTP1MesroJ+ndFzp8ZXHG9Q1xZlDYPNcMlx
tVv/aPiGrYuI5dofju5K3WNP2TH2ynof4XdJ+yhYUpRFi34awVhh11T17YFYOBtOlAsFXloIGAtd
DftrDYnNkG+cMVVnMQhJk1viIaGKf3FIeCuqJMVE98mbxTnUw0kFUK5EP4wxMg2rafYgO2XaNuWa
ttK7HufhiUNCpoiV3DZkuJPV9EzlfGWa9cWUiNFJ7NdIGyWeo9E/kdk9gBl9tBQdSD+0buoqFcA4
mC8SwF7sarVrFuQvfD1flZDUsl3qYp68Iva7kz8MbbqY4YOE5WdeeTcI+kOmdLc9evWMjuatLMM5
HeT6UjNwPqSHGYQQ5mfTxAhnAdnHFLp7VIxgbt6pYqzxqcEiikU+B4MID5xELWIzG5/NFCLUG7H9
zxH+fVy4aey/PsL39Xvb/skJjm/6/QTHHVNwIzucjxv38v0w/n1WiH1z6DXxtxdi+hJAYv9mhye/
YCc/uOcEwSEXeyXxR78d4cm22wo/C//wcMT/PTvcizYd/9MRvjn1LlBv3EuRkO8BsB8lJSKasT8P
NLnxG73AIvbWbq8DVbV3gdMyvwgZIoCfkWDQd0EN9vjUjGg81zG5RCK56DaRWdfIN9mr09Ijxe7b
arcQgmu7C+q5yXSwHts56IthTO4knT62ECE6dhTbwUfX7meV4XkV9nu36va0Da7nzjk4vH4L9Rxk
sVCXSkx30ucijazOKx0dMD4/uEJ0aaCnjCcK6Wyx7LHV8dpf3RzO85BOLKx3g7scFjicaet4bwJI
Nrzr8Khp/NKR+Ljq6SvgnCuaIBdblHhurwmOL4spBxZWqHe90FwiD5+KxC6pdFV/szrObgbKgtUU
3qG36jzKeswmi+mLDByNhjZuj9jJjmfbAtExav3UmPEKy1m2mQbMIi2JLnweIBHs70UwVDstMWfz
MBstxOR9oVKfkVLB9JTEGrpmeG3m8vMgxANr1Q0isiC0mzLcNQbcZeu2x4mjOCfczFgn0oS5O23N
aUPVHlR1gPYYKwiw7uPSieWuCcEVIyuWMl98W5qRwq7bDDVVPtOaeAhrLV9af8BJ5Hkf1ndO3jgc
J7tchAY1WSYWIyakTA7JNEwXBeQvX4jjIMlj4QLW743TTi94P882/Lw2SMEC/UTmBb2DgO9VPkyo
4MiySWFyz0t6dnH8dliLlssK08a6VrB0AZUnSLxUYXysDSWgG+DVc0r1DKCzT6782GGnWKpxj2Nf
HfG6dG5BXKgEcJDJQwlWKMnqxZvbtFdrdBjDBVy7DkkNGwcMhrds87m41f4lruvhE1VwFaHY3H86
mn/FUWF1/HU5xF4I+/4n5RDf9EM53IIiWOfkbguTox8bGh+gz1Yn8Resle3+vr9ZJ+4v6GWw+XxL
iaJriVBf/10Otz1ScDrCMMDtvRPytzqaLcPyczlEMwNGm+K3A3CEZUM/dzRjNxss6GDBjZmJC60z
HqeF9LknAozuo36nAn9AN7F8in2Qd6YiX3VALxZHbR5uGXwxA16zmp0tgoEprtArR7g6pWs35LMZ
r2cdmZwkmDopNbwtSfvKMCHFYoh7ScS+XewJ2Zz7vkPLI/plSJPON7gg/UvbYMVF5cRPRiYqq5PG
Ih1fPq1KfAqx+gPyc52zaG5uwiq4wRS4SFCR47o/Sgz5jutY6myQPsUAdN5jTVjh0+4DdOP9MFXh
qUXkFtnsN4ooTGLW5xk8ZCp9xD4CrNlII9K0AATKzJ0Bgccde5684bNEJixD5uTgD6pNO4OC1bAA
cAzkZ8a74Fo2/amWJEgnBDD6kaH+OgoCsqY3vNFo1Kr+RoRjd5obi0g7RxMUN0oita+rLHGr8tpE
ys2hwDE+78n6QRE3uR5J/HXleHG7smF3PgLzKTP6ncHpvRKqPoaJA03kd8uetYbeGD4j3xJPeNeQ
Bk51ZatMNpidQ+UzzMy9aM9H+B2RHsEkzHF151aBt187pDf6itfoKQGiYD2OSnmDtIq71OIQBHNd
OJyjhrNt8RWgqSCakRuG6js0ZenBcACnUBPDd8Ttyh2ZgrrQjfX3VgVN0QbiAgryvFpxI1vvaJdq
zXlDP8pVRCmmvKRwDA/yZVhE4ZXxspdDVReuYLCUiLcAu+yTvRUIEYpZgx/wYfA3lcYmK6wJuQdp
TfdDF7Ii8FxxcF0YYUhYB6kJAueuxh2B0mbFM+3nCL4EUl07WjkWTuFE00VVXeFg+QiIJ8lPITqI
feWzx8U3t8PgtgWDgZAq272pGgNZziIsvEFI59QlUKYVIkDpsm4vEffbz5MJxVOLTSupYUl7WAZs
p/PnSqVQEt5NSNFks24tsXEACZlAAzShE444NhHMBOKBf5NbsMkVcQl3pXEOrhW7Iay3wxpNB3Yu
pE0C+wu7eWBtETGkjphorrumzqJRRHerN9+JebiPtqCO8YXHs9qvr7GryR6wzuPDtuubRcRpZztQ
AXVS6yuO1QxZMEd5rfvoGC1TeYmceNzTsiX3vjM8Q29YJ3ftMCOm7s+el/Kh+zrht4pXB+ckE3Vq
KOv3Dl8ePWcCvMCqKHPH5NQ2PgixafGAxAyAfQ04EWz3wmqiquBt65wc4h54EDyN21kJzPixweEZ
i/Z2grvhOPGVCT+XOGIHFY0vmBK8Tzh85+0UbrfzmG4n8/D9jN5Oa76d25V0Lz4ejXXsPI7ko8ca
G+R76yt3cr10TOLndVMBXKx0w9q+mRirybC56KggGbDt8TKEHGuzNjWBGb/aS+7B1BpZmM+LmjGL
h/7Q+PJ2UySxCcIdXBNw1H1zMzjVQw354kLGQHChCrrdmMeQOBxSZ5ZRhDkK1M9oVLVDhg+oc4DV
bVBIIBgxXtlUUw35ZOj0acDdTfLYIbeAoSgUDnQWDUN85aa9hk2FdZBjSGsdsPGizUZS7sSm2Pim
3WAAIz0/J7md9bvZ9F04wl5ifvQKxdCEhYIMbH37VUEWtkP4Ao0aHjkEo9DrG9ZzYQmVmg940vWO
beqy8VZ4WPE1g+xkm/70IURl4iiwJx6s6ugADz4Xm2Z1+HSHdZOX2jcYbEDWWpocYshcD3LXIf2+
wvIpvKfZXHv47/ALo5xnhg8fhscQT5MtRrUcbUNYMcR15hB5h4VBDs6CIauD5cxsfdckTu5x9lhj
AyKL2kM81G0+NBxwi80GP4ICLk2cNst6KLEQjcP/dSEZTeLD0nbfywHEEs4xZ9kD5DQUYyKQV1XU
3rscxuY/reKvrSKshb/WRoj32++3ecLtvP5EIuF7f5BIIdgRTNw9mC8AOH6Y+fq/IFsBFPrfOui3
jpHidn5QVEmICJgbAjD5t0SKf4GmCUMkJn4dCP8tugQc8x8k0rb/Mdl0EpTY920iP3aMSROvSYuZ
0k09cmyqy3Sv3BNyneTUQo0AOIkA6ooKF/DsXGiL6LsImxH9T5QzdEUQ+eJxruxZ0vlhdOfLUmI+
2rEoSbHEBtuI+Iolb/Z5apbruAmOIY+QlAeN1m/BqHk+RR24gRlpNb4i6t/gEJpKDHfKOJnRuQYf
Aa1sNn3PAHC5ANkM/EJLp09XSnZoGWhGNhgwMex1iTA6MTVZCpSJJnd190giDL/I4MBCBd8WdCvg
4cnCzQP2rNvyEyzB3PoRhrnGgMKY3qJBpqLsmzz04q8Y2HB4tfwl6meTRnF0DEAeDD1OMaxNe4kQ
s6Vxt2YlkEJGNRAE0xz8aAzzUdGDmZFbWQjKDSTJ26LKt8bON64C/QwH8pW7Cc8aIvewtI44O9ud
N0861yPqDq26b5VLUJW99qVTIfCUrWSXg32PSn+9BmT+hXdheUY5x97G0Ac3U0WF01Lv3od0ywm2
/mUcYD6mZHOynyZ59sJ+RDIfK1JQ/rTdYftktpKYY6dArHb1EsBNxhLAgjIsCKgScOuD35qrxaVz
LrGwdUcxv83L2lkyC1WfaiMZVBM2Ey4uL4vWNfyM5RT1niaTffDDcX3G7J7lysU2L2lq9wqTTcQU
JylflcaUDWdN9DKaprkHJdjfssjnR+rp+dInJRYsLLUCU9RryABCxAUR5G5bNjdfBr3Wfro2bvk2
U+7QHEsf+2Pru3dSJV7B2NQ9uQte+H2JFbufHZFUH4RiqUWz5VzQAg8FAtzZ0sAsMFsaZtxyMUZj
jRuCMnYBw4jgTI8AjUGQxt0SNU4/XOstY1NuaZvYHTG+2xI48ZbFQZr3mmzpnL5xsZB0y+sguIMt
heB4tyxPu6V6oi3fsxLpATsAwhFv6R/1PQjk84f412QQMkJqSwtBHY7PgKfpMcIqcoTUkSpyKPJF
BkGjeUscYRVePm8ZpH+K+fdi7v3XYn75It//WMS37/m9iG8pGBfjNqxMACgX/FjEg1/QpvpeGGBR
KAJx+KPfijhu2QcwEEHiGH+IpAt+4G99Lrahw5pCgxx7UeD+TUTwT1YuxVGIFCpW86Gxx01ecVz8
VMQDRBfcvkVOYqyrs1M1ffkwzxLJLFxUcj8hspouMdk2XoY52qD6SDSAqnBwwoMswYA1iw/jeXIT
VL8aRsaMViUl2EuZBo13oSG8uUkgKSthpjiJgOm2ln061+4OK+3QyaLjS1b6HgKrT8dlqvKyJCuG
Vaw6t/N0xm6CnUORvOG+GO7taODRzNHnek5aXIIsKSZP7GvsyVsBAk1+dd97LdaYRLgWofPHrG30
wa7edWKS97gc7nhAb7DI6Qiu4oHTLQ1rXpyKdue2VOeeJUfNCD96yfRSo0GkDnto/PAJazixhIaC
7yMy6B48U73iPsnHgHaFcMvXIKm/DAzLVLBEEBXLjtj8x7BigKOKBgEIMK27bVNqcu5RjVOpfQz3
6uu+9mHyieqqb8gXzeyNXdsPixc6TSzWTalpwhae7tTEMv4f9s5jOXIj7aKvMi+ACQAJuy1vWEUW
PblBkGw2vLeJp/9PUr+kbkkzE9proQhFdFcXWQUgP3Pvucsc7KsNiVdn4e8bJrO+GWBMaiJJrATo
Tlce5kB79proIkcrWGK02PchLujabee1L1mxeMW0qIzAWSZjuTPH+iWV4TYttXJpi2behJIONqyi
D4gwzVJWhr0qDLl1tPiQhT7kbbCXRWWZq7GDPEg9+FgFkQX24HvvSH3npI6/DsKaTsOG1eka37Wp
jTH8wrjNeg7dmHHx4Nb3Hjr2K83PdqndXDKohhwsPArxAyVdBXw5LNLFpIfyFTv4wQutb67dCpZ8
ib9EA/RiNRVKZ+sVVtelRuozNMbLWAUNw5joOw2z3JRj6q+rNjnnrtylHGKLxjJaNFLj5+Rhw9AM
G8F6FW4Ss/+QUTMCNxIbd0g/JC62klq/ajb4Ltv3AVHE1WTbzApzNTbsEMBmHBoME/n9nV3+NWEE
fMO0cWBs7i46z9UYf/A0WLG0R9ZWB7w4VZ84xNAU+2S3SuH0b3xNZ8YSpBoYsCqKdnLQr2duhov0
Enebat54qdC0gdsyD0IkAv+DvxA1r5njSrtOQnzt7qSXa8HVtmjsWjAvMSRTUBFPezR+NqCPMj54
3jRv3cEe12Ucd4hmxxDP/7AZu/zD08NrTGhIlEzjJKBfLZivXVgEhKs2S861gyHDNJ5Gz5Z3DYzE
l4Lx18Ks2cIJY2JP2GBG5dRjICbSdeGFiwH9/wLvPYgoumn6PI/rxqQpcQsdocoInz63rDWdv79A
jX9KzQHyKurEHqb4os9YmmFtem96bWuIylwM4FEKp2fTZXsHzRP2wQgzb1VWLBThiTavpouU1C6Q
QXHyYUCJkRoWkZsxRGmqDST2fDl3s/5RG+YzHNtg49NErsdm9LbFPPFUSjN7W+Zs8Frmc9uB9cXC
MNX3Gzj5YsahVONUgrZ6jpV1aZz7Q4KXKRr5rXXNBr1WHiG2bmNleyq/DFA4oSjpveUUsYsXXs83
hN2gwjfVKQNVjpMqsmNr1ShzVYnLylN2q7HStzH+Kx0fVo8fa04xZmVZQ3k2NmtQj6dWmbdkn1Od
4ecKqmrn4O8KldHL5vBYVYAT+HvIhk/elN/nX9awaLgplFmstGIfdxkGsrDWdzaOMomzbMRh1gfe
56QsZxnes06Z0EJj2rqO9Yv+6h9xj84m7b+1e4xv/qrR41W/1QjkmACWQWBnArBnD/hTo4eeRkfk
h6rmyy//Q43AMpE/ogWzWRL+2Oh5/1bwD+z58EiV8ufvNXrunxs9V6d8wcXAj+ChM/q5Rphoq4D0
BtZ1Oleu3CMRzsX7EIkuuAYAK/Kc2bZm7rxAjSX66E5aobVIMWYD7+vp8wInXiDyS9d4sawVQl19
p7P/WXmTYBg9lG+GnMMlDcnbXLfTKhcENjQtnlV2PYpsc5PUUE9D7rAqby3cnZBXPTkzIvMZokMS
CYCTp3SWWj6so6bLVpGDyLhAw2m48dNgOBz7xdbJ8maJs6gYZuT9QFEGPdd5NpeXmZ0+pJ99q564
cVYCle54MPuwYBmezW9+0lwchxunZ3DHMt+8MfUuO/XWXG7ALRcrM8hKSOf1dxGEb/iEumWuuetO
fo6Taa+kXa8HTYSrLC9Ok2k9VUWI7AOm485q4ds3ArpjWhnRQpRQQmYWkUtjmI6Yg5O12cyfvRds
+nI4UpZsDRfTflVuW9GuG3TRDDMHBof4E5pBfHZMctIR7YLPk3QWVwWTntkeXWAuHJGR23FOxfee
GgtlWbXLmRNNZXKf8YjuuuJSNfoxYp7Ealb5l/PLwFfaq5GTPsVNse00w9t4TnUw7Py9aCMkQG5w
xUjzCmZ3QT+tFsOe2hEbE+Pu16TJQnPdfq2RcX3JapsrU1yos2mDE6A8kRy7+OWYjXIOxxzItOMb
18S0MKqzOubQZtDN6a3O8XyYdp2MzlaB1RJ+J3ZUDv0Raxriafni6P59N08XYzBeBWWCTrkQq7rB
URWESykRm9NhVLVFFlGowIwgS0GA5VQViK2jJ6EkAWi8Yy2tXfUUK1JVLRg3EIeF3nWgKhoIJOgz
7FUfdcwPVdXTqfpndr8bSWmB5+4eB1Uh5apWyiiaUlU92ZRRYMa2k6qrGlVhaWX0Eab1vMx6iZ9w
RLGWUJCZWvsSUy6UqlIrVM0GK53xMFVcp+o5Aw7xpCo8pgY3kpKv6XRGIdSACcWgHUQhpHXqwzZA
NEPBCFl4l6kKEqv0obDbEZ9MxSSCKjNy0u8tZWdF+Tm0zLczBDupTM7ImI6VqlSBah6RmbsLU1Wx
CeVso+raRFW49QSQuFNVr0n5W6Tey4yuPc/svU55LFSdPGsOkNGI2hlV3AM727sJDZ5OcV2rKrui
3J6n+hio+jugEHcYpRNzcqc5Dg4L71rz20ukO5+VNZ9zCnmK1X45q9q+UlU+mQ+3w8AomvI/7ONt
o/qBVHUG3D3Oa0uzwIq7vw2++gcaCdY9R6dr0/U/ze9X8yv+q0fuBoLRW/vn9le96rejDd2qT3sJ
zkHta5UE9TfVC2wZ+k2XGponwldn/Pual4OGuSJt4q/muV/bXzpjcq9txpvG/xNp/oZDTrh/Eq5a
rto+81N4EG7o1H8+2iyGZwVuWXZQ2QgmJh4AzNVenZ4SjCnW3F64258CjgGz7rLtCC1YiyNg5lGw
sMtw6wdwReN0emg60m9EyTHB9UiUGWVVuHTyibFfSywBFZf2UoZ4u0LGfeG1wWTpVMbw9x1b+ivX
AMeSts644Nr+lll+spC9jc8q8F4gD2ZrT2gdu8PuZS7zHZahcCXs4SYeO7GuC43TUOjHeZikuk9P
KjMLSGL2WGg93o5G/4yr9vs4m988rUJ01+P5aczpLvcmlhWT9TJK7amZLWeBOwR9psNyePbPhSPl
kS3DrWOAwpkKVOVTkKxI1eQvBu13O+ghJsztB4h+uJ+lqfYc8YL23VyRZEHHV4oPPX225U1EkgEy
R8aKY7NDLqQWHUh4RsFOnfGqPuUU7QK+RSXkuG9ajOlvRmxBGIinJt9FxQBoR7Hu6Jlq1L8aNnBm
Z2s94NBgqgEdz/SyDaO7dC9MOsKlozh6UhH1IqnYenPWXAbF2+sryHuVYvCZLXb5VilcI0XoyxWr
L6+d51LR+0ZwDGurgeiH/Ttdd31EK6Z4f4Ei/zmKAQgtyVokiguYAAiMFCnQV8zAILXiU6A4gqPf
t4coxLg2KcpgYVEqrmrFHtTgM2yNtP9uKi5hHdX9slasQgNo4YB2kObGp2ZQq1qjZoJCXlW5s3gS
slqyaZbIaCkUC7EBisgMu10y6M1uICWka+OLnajJeO0bhbW1FFkxHVp7yyryM5+gLpL9gTtfkRhd
xWTkk4ONrTiNXknojanYjYFu8dkonmOhyI7iC/JIBhU8NUV+rEgqYjzMhLJVcEkcN81xVKzIcIQa
SYQYSk/V+lWdk6358qxF0NrfmYYAUgI8aWiW2LZfMEp9hkuZ+FUE1sOz3vWcHjlin89Sl1F5mDcs
/CtrYLCgQJcJ5cUqKXrol4qD2SSmvhuhGXTr6AuUOQmYmf4Ad+V7hpdn5xmGeSHNoOYUdNtjF8zg
DEQVLxt9ukcsSkWmZzZjVj/dlFn9KDXqDn0O0IPj3Fm30YTwqH3RwvopAwAAyRNHUZTPBGbkoAMS
HSelK5NHoyipUdv4VfozZ2UURley9+C9Yf8EMXwhYc5b2A7JKzAt6j1+x88oG157nUSY0COizde+
j0nX4jOMX4SWHDKLUB/gpFtBUNmSulU9RPwTH8W+T/3vJfep1nNddLl3z4zwpjaiA4UFxOimPLu6
9WE6/hOOe5r0Zrrp5sbbe02zK+f2rp39B3hLwVonLm1Z92rJyq4+DmK5BTfA2qaYLJS2xXEM22Xj
Rbeh3oCzCoOKBl3UR1uf3yYiQfDKmzu0u4fUDa49MZ401H0rSevLncLAr+BiU8E+xcIq/Pgd3Xfx
6qRdsgvFEKOZp6uflF4AkZC9sJxSeYfzd7+1eWbp2E0dUd+gkb6DHjBuE6VBCAvUCJPSJaRKoeAq
rYLUOmdTKf1CUI7hJVeahpbb5dKrm2dWiodGvWmnVBBJEPtbva3i20xpJFhxEt+kdBOtUlBoNvuO
SqkqZqWvSL6UFkpzoUaaJOqgw4iVIsNX2gynsb/DIplXqTXvASRf68g4cuQcdo/ORIy6uRVK6yGU
6oPYv3gTMdXdZkoTYil1iKl0Igm5SrFSjgRKQ2IqNYmHknkXKYUJ3A0EEkp14kRkSkilRNHrwMCi
xm9qK51KpBQrvdKuaAnQV1jZI2IVBpcYSTF3KrXLP6XOV6lDdMF/6eJXn9m/zqy2/mLYr174W7UD
14ouWXeQ934R836odqx/myyJ6PF/JXz+2sirxEqdmxRmMnlwSuT727DfgsEMngqUp+MItr1/D5fH
0uAnSRsILEjKvkU2po+SWNmLfhz1d0GftNlcmDcFGgY9ja/cMF2KQf5SDf9HsxhOw5/eiN+EMala
TRMmQRih7f7hjYgpS5H0pOONbdOsdKTiWGubyVkeExtSmmFKRJOLUKErr33ZX9Vp9eCaDSE+uCmW
I2Ff67Qx0uPQ2OBoSqA+QnboXW1M/8HYPI9tVS1zL6KfVVq0qM3uKt5waVbZTanHVP9ugYm1NuuV
R7jNUnDTonPyjjWsDiAFWB+Mdl75toN+Ky024Lk2pmV3qx6H86oF/FW51pPmuSc8nD7TdvEcWVm5
HCb7DmL2rZZPZ02zz12sD4QLKD2yx97AH85jkIfsCo0HOppsoYfDsDJVv9QP3YX0HOZt/ZPvNZ9m
6L6GuXxpVIxB2rs04zK+sZvg6Lh5vIETu3P8oGGJ0PANNc1D6YS72GMLk0XRkaXSezFGKYQgvWI9
CE80K6eKE0EJqgDJb4xufjXyXG1pk2vLYwErOeY0ICa1k772rvHQtNSfU94vSkPeunW/RTWwC51Q
Q7VHpNnIFJnVDOllkWnfabLKljmLiaXrv/odCQJiWvVULYu2t9IFF8TKYxrF95dsU7f/7kkAirpj
n4BI0w0WiAaBQCwNV57NEVCNZIgzRgZecCO7IcYo2QgxbufcOoUhNVlnWFt/4LONRp5pmmMPq6r2
X5Ea7JBX3nIQy5WY28fYwUkTEmmzEF1214793rBRTDdC/9CJe12Eo3zM4tjeTmK+NiesMG2UDKTv
NN+MzPxmjhmzksnYgSHbU8sZDE7GLerKSw66DPS1c+WKuQBZVnzMSfUcuS2kHae8Z2SRrKzaTXdj
L7ZICpemCBQQiHAdLjHsOdYIzwxW2VuRlGGzmT0NwpLtMG829CmNqUzNhsWHNdbFSnfHjeGNSinV
TIcss/GGSGOpB3D7LfGNxdo+to3NMJeIn2VaDY+pLZSeC5wZqJ5YTSImI16libkX5BAYSCM7FVLh
1W8M3m6NVPvETJxCMGsvJVcjCr4B3UXbUXaMK5Ylxh7FOFrEcbjyGuZYyl9txynbmnaIFYpyfHES
t2VqX53CWA+WbTUx7FNpVi2CcuC3Xbsbx+6ZsEYiBvxkOSQ6oV/lKXW4ZUWR3tD+HzNN288ZtSDl
UbSeJ4lIdoi/OaPMF8nIYmHqjVvi5bDzd58pI7nl1KNnc6pnBuAY9vaRhSa+03bScSlA9NfZllCU
MrKlZPaaWXfD2KIs7A9VCaCcLUwCAsPcEBgR+VZHqIFYj8LaDQAXGiNitDRXw1a4SbfRDbSt4WC9
Fqjfu6kcV4HWgFobq21vFNeyHF+aEpZeLK1HSH/eCUK6Vd8rGUToWU2wK79QCT8cMDe/OC9+hN//
wVOpnqIcFxYzK7wYDIf/iG9p21ZYgXTkzSiX7sLaBofprjzBcVpob8UTNdAeHdkiODI26lfJVvwP
i7ESOP/uB/n/t/ddzh2Exjaqup9PiyYA0ac5/XwzuG9VsPf1Dv7Yq1bmv1QU//G4+Kv3MVk+u+y7
HYs59s/v43ecWTGpYjdGfEWiLzuPTz/cQxf9H+/z8+n3y++jZgYIyHVc7H9cdNckpNi9Eek3jn1s
HMjKwDf+l1f+a1zwxw/tx1/mD9v0PtL11oS5fDNs2kdcgOthp3/zVspmecq5xha3zZr14MbcPZy9
VbY4D6d489iug/UlOYyLHSKeKxaEi3BVbvhv/fg/rqk/O9RN0zJZ87PRZG3wBQ7/0TdOMirzV924
YfF+Di76Wj8ZT7SABK8s4W4tDi/Gdlqe6824s+1lfmQifUFbu4GTvfynkPwqJG0uvP+8DlJZ8X+e
mKnX/FZDGsRt6T7rFt/guWyLH2pIVH8mvCXdcjHCqmrw1xqSjC4KLYs1EbAwQ/8DNlUg4XA85Alk
bWPy+jvGCBKifnou2PqXS8wSwBGFS9fsq+Lvh0uoa0YkGWYyXVcd4tPK61Zu0NyTwhstE1N2Ky6w
8j4ejOzaJNn1ru2DZqfpBujAOTBgjU8oxEo67NoSZ0EVSbwQZZl0k08xO2wyeEoco3p4Jy8VJ6ME
Q5fW2XTjhyFFX164S78PynsLOXCj9yzcC381xFF5za6IlpSoyFvIgsW257G2Dge6rdYwHkg3zXYZ
+EBmDYwl7H4vpAcmqG82E+GbFFFVfJ3hEFhajv+q6c6480fvsZjN+KG2xvIUmbLYdDMwei0tpqXB
R3AdG6xlJr3zd3AEFf6O3VBHVOpurFxyQkLh76pi7tgcuM9li1XbqpCEKw1wXyPk9yGm2qjGO6wU
PvObpR2xsuitdeqG+toMhwPJe0fkgI98mies4VjPu1JZ1eF2Fmn0ag8W7EkcnjiXnxBePDV2kZGi
EY6LIIzvOkKPEExqqCYLg/F/GO7Seah3mpN/ihBVAhXRwWmI9EJ2ggzSTpJNp9kMKIORuY89v/BF
g1dxqjsoJ2crk+/eHO+EGnlalfgWyPZGa4vhCkmcUl/MOso37yxmP1vMwXy2S77SrppWtRxvUjaG
pmie0PB9EKvYLMqIwUE2XTsjyku3MrqFEeotjYG5xyJpsxRhcMq8FXOA1y3N3No5LZDTKYd+6gqm
r0b0UoXzBe/OMamZW2kT0a3k6qIeDUocMAxxvWsh9US86whi5d5Vg38XWZH2JTBq8NqtMhsHOI35
p8Z6Pu49sFSahNBIcRMorZI+ZBi3GWa4SsfEKX/F1I94pQEmdaAbEX5FL95KO117tUH2kjabt42N
zXrwGtZhYfpRm5WF6iKW6zhHPlgmPhUJxEPyj/mQ4zbYa5LE0ZDstOXIDb7UuVJFWN1mRTFxZZOY
6vnKpZ7r90UUtIvAosZDp47mIwH85Ds528eRSl8n4VQGn1IyldE8G7+Pfd90watZFOQopFgoXf/M
gjPbj9g/F/nIatYl65EQbOvahf4DirTplpURO5upoZwiZnMZdPaVHrOe9AvpL1E8HJqsjw+GRCxl
ZcYeiQnfUofZTjy3RClrY7gZZ1aU1hhvuxrjwdLPaWQoXBehhNVVZ+9RZqMIrbjVuU2qyp34YPPX
KmoPkwswLNUILwPBaFwjx1TKVS26TeI6PBQW6DFWoeehRuia+A6cWX9mQjJwnQ9gf4NqukjymvGh
VOkBNIqHENUMdnrdWWuvLa2tDAN/pWt1u6/q4hhG4EJl2ItD64TzoU6gvVtlra/Luro4mk/lnsqD
pofPlZaLGzMhY4+nX7rXYsvH8VQdNKEivAjddZLqpUbK9Z197sqPuI0vbpJ8zsncIeP0Rdf8Us78
I6cQ1Cz/+fy8eyv+dSjf6j7+C7u1eulvx6j+b2BFBrpK80u5wB/9sHiyPQcxJvoIuCnK2f2r7pIc
Fg5xLNgUpGydlSvw18UTyQUeSSpf/9gXsvxv7Z04xX+orjlF0VsyiaGshqnjcMz9fIriOwTAQSrx
tSRnDQ6X2Rvw8ovCS4gsjIrr2HJOceRGZ8dG6zM79qWWPNrmUL8VgXWbNv1nqQNNmaZoT/TVMXJp
EUV/lZrmUhvmQ1agvSyA/ppq5W8hIq/EFV0xd0qfn03L2wShe9VG8PKldnGS6MGVxZM9dUsau0+P
vUfD84wM4H3al6tI09QQUuwZ6zw2kmrR0i/Yjs69hCnn62eCLGkPHGLdvXlrs38Z4/DBhiOIrhzy
SjO+o+Q/BYzZu0a8ijDbDl13KAIHirN/HKz6HETR2Qeo7M/WMoTc1iONFGV9aibzCcj8LjLQcEq5
0MB1JKSMlJqxJh5sVTPJifQBBnp7E0X9iaZ/yZm5xTi2Fplzbkw6Jf972/jmOk+YPkR0iLPvvans
+tixnpJk2GstRYTd3kbhzCAVPE1FXlXVkP5FcxlM8XVou7sUcqOROA8kDO9m2d7mXvdemIyCvOIc
BfXV4EAWU1OuRu4IB2Y8XX13k+psG+Z6DnwAv9atG7nVgi3cjiQZ5uLZeGL6Q+K4rI91kL6J0rr1
K2hOpCwsst7FOdVdhWa+mkl+aZhFtK52m/jT3tCDRyuXDygL1k6Bra6OYuhcE811oNdLN69PkIjH
jTPW0yWTfbACv/nmDn6zrepp61EB8dyqnkyTzUs+Tu8FIuGQlKpQr9e/xKUFrdcku8Qvon33leIH
lYdEv+QLIQE2BAmjMfLtT+3e1kp9W9Z9Bsm7uk3xBB4Kp4GrXqeMNTJDnCZ7HtDl4+/IphhIO4He
q0DMya1pmNvU5OC3IZkkzOVWyJ1gWsSMdgoTSxx7fneRVGBhOk9PYHCO1i4YChsksryLLVmvOqDJ
IIHhrZBLXy3LClQQq4sHDjN9DSdf2b7MS+zJajUTq4ZCYoEz9F4zg48Spg8UxOvZtDdWk56Bm48r
FfeFkOUTAv6JYfyTNvK6U9N3A6IjoKB1hdFDODj18vJilvnj2HfxqhpaUk1tB7hoZKUM9q33kAHa
Qic2Hk9s3a9ayz+zlQyRbSbffI1CmODyfDkMJApgyP0MK2Zc0nxgaPrJz89arSQCWkpBMmvFOIud
QLWiDEEMkgbxYqiMXZU1K+HF10OUH7x8fLQm+b13dSSK3gHyQryZtH5N0PJjPJtrP8/qswzGepMP
LADNXnNOZRbcIT9lVuan7dr8QgVY0OxGzCNjMvMp1/k3rfQgeiuHCdVTsUkwnQRatk2UC8WfB3bS
TAIzDCqx7r6zkXiflHOlUR6WmaQfoVwtbpTtQuVzMWtz41VsPGphbgOsMJ3yxPCYWtYtVjv4mose
24wMBf+4Zn3EylHjsBD3++5dgwPamnhupkBfkaH5JJQbR1IfzQjNlpYy6ijHjtU1sFww8USjwM0D
cmo9KYfPFATPQnl+gipwub7EplZ+IN8fuUWVR6gsuS0RhxI3h4Eo101ic5WnqEc4CbAG8GiO3Sie
HX624VBhRJpyqkM592zMYEVG+jnqhsdC1w+d8jBlmu+Ds0QR32NwSiP9jmLpaBfRvSFdHdexQz4w
M0nPGjF6YJOiBiVSVKbweyxWQ3nlrrKvcJkoYlLdjCpyRiuB4gw1OTQa6KO9hZqYbaKFyRw9u65y
a2SBcrfAu40a3wSaJC8I51D3qrybuBzif3r5XygHaib3n2uR01sTV+VfiTvV634tRIjYFMrIQdoJ
++2vauO3QkT/NzQ98Us8Cr3773XIV4KSAaHtd9zb73XIV4vvI5qxEK8AJvg7hYih2vXfJ1aqELFg
yAgB2w91p2n8oRBJGi013dmMrnMdtTN9LtSOydAjb283RRHelNpIvHVfO69OZKHe8LUC5dw4acxE
Z7d9JPCivPP92CYYQfQjoc2F2z21AlFmv+wzd+1ECQLzWHucTB4sU8j5nplmujQn54ac6W0P5qgf
AApm8m0M5zechLiQp1un9VBbOPrWzPL42pQcnEbqrKcBlrPWHCInaRZOi0ozbIZ2GeryLa05c2q0
3VT9YbtokT9wZwLkR5e0oUuYqEbwDNu9v7dC5rvDCNg2d26twb7NWSasUuF+k8F0nj1aQ5hYb3VR
31XCfI08xtMlYpMNcds9YSfzvPViHzv0UMZLx7JvE8e9Qpf6bObpJnWK7Apk7bGP0n5RByZZzK1r
LCzAaxy2UPOrOb0d6orRwlydREMi9axGz41S+zUAnxfQWxD1k0O17MSEPqAIs6sC9cnsVs/C4ZnX
Gqx+er35nNtGUuCoxXHb7zI2MDoTCCNFS+O6yQZFw9KyQDaSGIiElM1wlPAZsEWmcRk8kFAF/2dB
uaJLKR+LKP3m+sC5STHhKf1hpNG9U6rspy6xrgIiWDAfkEatAD+2G6ETJSIv7J2rEDEyeS7WbeQ4
91ZDPDAl0zciPI6zFLeV9BDa6h4C9QKbeDUopFs4HTnml50+4v4oi20Wa3SCVo8NHmc5bgSCWtps
5ThjjL8xXjtVd0eZQvFJMssi0r0NO5jh3BPNjgij9TpsHvsudQCPqfjAJu0v84AnwBbRuYDOu6g1
HQuq7B+InnsPhpElW8Q5YVv6Br3nE7X/s4tqyyR4AOUxSefqx9CHW016mzqYrzPyaNC8bPzghou1
PFtDf5X56c0sndfY8fNNkQIXbiYAaZafdoS9yGPncNkZdnJVkk7v4UnAk+c9aS5Z0XDF46UBJ2Sp
NQqLnJ7tKr8WfnOEtn4ztF7NLg4VU+haG03Ur7j7CQcxH3IoAQgz3UM1ONcSGh07kv6o+cEmHOpy
RdLePRaSd0ebTo3Tf5pBft92LoEUzlUysOzRI5c0xcxHbVLyPRAc+o2EQW6xOXQX3pThJCica355
pllj9FwzZ2BtlV+bgXFTE+hCEs67pqE/ZTO7cCMMBzkJHgp+elWI6OjmXfEUOWzl6DbMhaYX2VED
WMt4C/xyQMNGeZq/EcOKrEpmF6MNnjOtlEuBbHjBqmbne/NVVnSn3iAHvkee5uRvnTAOs82bjuYl
QcSWUVBHVXfdZvrWYqsjqowBToAmGwYXSiuv2Mi0WFkmsBSLIZu0owMVhDjGRgPBEOA204bBYKM2
FxAzTME+2K+7nZF4T31eQEMsc/TYdZy05MHp3TZv+enDoixX1WSZN5O0GAzExjnixlryndtwXlHI
2UPDl9O509NcM4qEoJQdEyuxtx0fwXrMtGxnYHxZVJXhQslAgkYV4HQRSXDofpAO8day0snISKDQ
/TNy/0W78V9HBuvsX6uyAbH657m7Wjb9cE4TSwjEVFgsq3922xN4zdaEcFbTYaagRKy/Dgz8f6vu
/Tc8m7Ju/HpQe8zxTYxejOS5qBHn/Z2DGtLrnw5q/h2WgQwMWF/x7/48MajDYLI1YwCxapWPo2Is
DsitNNQmWAjb5kabFYmR/fSzjexs6dsZzw8XmLKHXg3/71Ac5hCQUDqzFtVBPIIXczEheTjjDZJV
ZgsnZh7P0LsbGEGd1ZeY13xOVPRXVwkQyV7RJLGxR8jN3Qcf0CSLXOKpZuChrl0e2MGFuwYsZRdP
T8GI9HtIqrumjIB7knCzM/Two7DYPSNW1fL+XOo0bvgSDJqkxNhImzlIBRQzY3SIaHNeluAyE5m9
BJ156BxSqCOAmvoQZhsA/zD6R+xiqKjeHVz9u66bCOKebLlhjPDplM6n6/nJCt4MrRcAT38Sz4VZ
Foeqz0qyBb03c4gukaJ+8mN++EV+jSER9vngLkmVKsvHCTn+mm3fNjVISrWJRQUfsglLMBsBz+/Z
zj+dzFhPKkK1zKqtRaiq24y3o5OGO5ojD7+CjfhyhPKexJqz7rXp2qUlWcSh+RgT2Dqo5FaKMhJ2
DHqsohqB/hDwmg3jXjjda66SX2tBBmxPqzGrVFhPl1DaoNvcTC0+86qbkJxmbKH9q0irvs9KqBoQ
crFuE+S55QSCxZqzaZvHca4eZz6TTxldRGo+AApBpymxtZjENc1hKl5mndMZqLzf3/dOFp7xhFSH
Gfa7D+4n3UHDW4+Jfmuw72Cr4IHjjalWUj1+jEe7gnnTewukyslKhIzkK4fpv11iCdS08iZMAgJz
SGUzHf3e1ZgFjAkc2x4tUuYcrL7gI4a9ECTTU2XH31yRXwWo2hYF+k3IUR1SS61/s3gQY0QQL5qZ
vaJoITY4dLfSt0rQEcnO1MM7Qk/a1dTPG80U8N9mbyOLdDUlLizd9MoJXOLPiGv3pLzLMdzqWekx
SkJ0y5YAfEyKK3nQkg+0uM82gwEZTbdZ1F3JQbu3tei1Y0ONLsdf1L12rKfmrIvgYSqSoxxzvq3A
fAxzPCVRE9wHk3vsEj6hygytjaiQiqQeymrTegnc8cHRDVrEkCXLxLCZiAT9nSHB7dgk51BZUANF
IXaH69GwboXkd8mD+NK0xp7I1qXleYeQpVLvjMdKs99D2T0qhVBY2KCxbJXgtxPYByudeiRt5bON
InWbhFq+SGNcQjzmGMnXSKl9Cb8nmGgLh7h5btr8IPzhlApzH+nzY1+ghRy0QNASj3sYevGSCxbq
lpbdIol8r0QOxybNGhD43tbsElIw4s5bBx2rO4r5fEOuxG622DMlVZ7sC7daTi2EWBOtonri8pQy
SqLHhpuSaosBQadv+kFeKOkp+THl6HwEPJMuQjqnpPc/GLIoQ4zzYDrWSVh1QtMPSmmQFcgI9Yhr
opmkC/3O9ItN5kYcq1WbL1o4aD7+3V0+iKWRddTxeecsHa63fg7vDN16d3N8UaHpnUjsCLZhCOUR
ydwtR3WDrJINjTTddzN2UVkXGfJep1pLoZHKFJtIwT25ScH1sAkL7pIaJW3cGPdFPBSLHhvaRxVp
Z6cchjUJpWRGx09jNFyTg7fLbe/7jOpk3RXgf6NKh0tWV8Yybm0NB1s75//H3pksN26sW/dd/jkc
iR4Y/BOCPUWqbycISVVCDyR6JJ7+LpRv+ZbPsQee+0wcJ8pi0SKR+TV7r/1cAHyLzrOBipyKstrA
hjnZXvPgL8jXZoG/znP1Vs2YPCURWuTZzi/hwGrQHdoPp9OIjuqbGyvJLzHtlglddoIyqy+4WbNs
jjnjoSyychI67FvosmeyTqCWLLDaFGqtB71WEPQDOQ2grT2GAvFM/2DCuk1CkC+wb9NhCWJkbs67
mV/8hY9bq6fCxsU8pjd8H/glQNItIOrONpSQbiGqDYL2b8HuTj6lPRxe3WmPAi6vJabH0gDlYtk3
Dtxe6VslZBOe6gXpy9KKus0G8+s7SNATBLMgMMEDc8aux0TuS+jAzYIJdnEqR6mDCHtBCNsLTBii
MFhhmR7mBTSsZeOhTBf08AIhhrpnHFhZJWt/QRRXC6w4Ew3mxQVgHJE5COwv/bcq+314IqhQ/n54
sgWwVf5VScZP/VGSsY5xmFAggaV9FEsW7C+jE+QRLlBcR/BvEJT1R0nmws6wWe3oPxSzP6q1nyWZ
TTA1lHXXdqEZLf6hf1KSuf/ti/VZHPuA910dQxLroj+XZFkBQW/qQveCL/AYdfVQnruRcNQgLQYp
q3WZ9MwJxrYNiriIpqeKxaBaVz4TV66F+HUy2/sirtU6bssMemy/Ax2zRvrG1FyUBryX3MGJkH4Q
BpTwoNrJRmlE9ZSzfYGS2SFN1F6rsbiDCfk89gR73nZAGe/RyiNfmGDlM4PJeZIjkWiXLMQmv6qH
Gv6gFr0q2cU3YRgnzk2cK/cGEz36RgvvqLly+ryr1nZYiPLBcTVzG3JOjZt20sPuutZgWzz1XMQD
nPfxOTP8GAJmVu2TOE0VV3BzHlPrOPb2HaAGhdenfBJz/tBbYN2qWH4aHrWIE/dQjUjhJlKP88z8
iMsUkoBmXZzeeHam6aknGicwKQi1QVtrBUdAlCAsteidmNqPsARL19oQwvRshKaHNDN7MyL7Hrbw
NTxYbLda8s3w3Yeit74Li9y+lk3Hyva6W9dc1tETYggsSMykI5m9KWbJq2xM9mJGFlkv6tYi9x7q
XDe2VZmVuERIiiJfcR930aochmZdjAkRWEy17CJerBfuYnLKyo2REqebCUWmp7FkS8IgMGPWwJax
rzK0nYaXjWRHTsZBDTq63F58E5W/9nqCRTWGLChA2l1R+u9RXJ0c3z21TAUCaCVgomb/3g2h3Plx
u51C7Zvtz9tcTAcZykvUAEIE8LmWDczbolzYRKH86irEkE4ysjzXis8x9tEVqPKFr3SHdXNw985S
+vP1urX0usPNU106/GrUjeFN7qNcjiC3R7F+F0oNmRg3KtuAxg5AdrYLBJSpRPXSE+nDTKc7dnyC
Xdtvyf9OdpNtsUkTdbVhwHUoBnU91faz3nYXv0seiKTMgkS0T0UU38VWzBZF9Ds9crQDh7a5GuLm
TrnhA4TC27kmX2nU4UiRTR5BOk4U3pbwpg/nvcpDDaOd9tnUWrwWlsyQZHBJzbpPGmfPHiKyW3hb
wlqTqTgfK+lep2QUb6EvjIHsSzNgJbJIksYrdBjfyFE/MojPMaEnZydFrcJm40TyuM5wbXFiYEvX
eQDWlp6+N0KOW+V3135jvQxaLAIe9WGVqoI9Xs8SQS35t7IicxPJQ+9ix2bT67rTjC+mYtiVDY/G
OJd7zeLbGS4lXZsn33NlzFyO7os92vcGsuHDUBFHlDfGgTbRZO3jXcWDZsBkRZctoGpsxzq9TiKH
pKrsrsiHSxTz3R7ZDFNoZ2yr/BsjKuutk9NPjJKFA4JjtapL52HUGSmKRnyFhvUmzPxTmPahHk3u
+ahbgl+N71arPf2IAy6K4qkYO2Nj+ETeq07fJU7xWinrxBpQkZ+KXZnMe9eanFsz9VhgJFi9AhXX
H+ZInpthE+G8xFT0dn1mSNVt5ozuapg/GtN4rT3f3PuCOaj03Zu5H8q118UMUBscPg5e7ZUfq09I
9+1BuB0w7A6EoRT5Xgkyp3s3SzlrzTfpWPdd0ZFSH3vkG/ThuG56VNuplCXBB+Iy9ODxEVJ/H2b8
l4wVz2lqsKIMKxa9WQnORbMIcOtrTOeCjg0Q6Sdq9iLQW8vci3C0L8lks4Vr6wmXgRGvTaO+G0sK
GOW53UafAZskKHhYz5HtQBpVYqdEUqWxJIBtPKgifCvKCdiBZhUbsBAEAUMRCmSTfjpuSRcWpvPG
LhnqWabaO2VTHyppbbPYSNYM8PKt59H4cR7OuzKt3xqixUrSz6Ix3FWU7LexljgM+BKfPAHkXKj2
Cf/VSgz35LTcOqUht26Nficyr0DVRduuSL0dfTL5I4gTyA5X6siq/FtG7MaWSZt5NKSJRg07Gxbr
qMSUWc6P81jw2eAf3drLGJb5OueqwfTX7oaDWYAc0HUPh7s9nKLcP4b+fNKSuWDJS38TZvNtU4Rr
qMUkezGenFs6vbifF8OEupF9/MAKWHEh6vlWmtRhfaw1rBm6T6cGJFjg6N1NHp4RpUcIFwxMtHoe
33QJFhesfuusSoadlPMJUsUVgSVr3PY3A/S5jZnWYpFNQb11mwvSt0+vLD7yNmQg4fq0qY5mk/Zi
kw7hKbYQEUpv0ubwmo5Pep+9V5l2kzfJfUY6SSCQLG7SRncYQMvvOSCAqBAWygYLjEVi8ZIgcNdj
Ll5lQvc19Mkl9Hs2JboY1mPdhEEVZqfSA4uRTmn0VMfga8bw1aGZWhk8um5efMEMfrVNbWXH3UX+
MCAA8Altw9/oPm4AlrtPTGCx1yTYCwxNu52FFGvSy846tD9crNkpb6hELO5UWxs4wHQdHFK7d/vw
ygtVscNbe4TfgKQiw2lpl8+Fai5TaZQrRxUFaShWwAd6rFv9ZOdshaX3xRqoXzlMUMpa24dt+h2/
zbZlzbBrSZNuJX86VtqTSMXVHJ0KVtdN7x5A4cD8Tz/ilsN3wGOaNu4B6vPyrfGioHWa49yOdG4Z
Hw/ZyPSN7Wma+T4nxLRtUTh/NwWhGmhd75M04l/mAB/Q5iVNzpZFVMxjeOx2VG5vVGCHZKqY39Mo
mZ3DELkqgh61p1N7aPzGZ93kxcn/BR6ZnjKmVjuz6D6hLT1Hbgj7oSBexyWhmiJGN7nw0C7s7FiH
z+gRUZAlj8040o62gqw4Wd/IxL9SdO5r1jR3LKqQ6JGlgDyv2IGOpS810o2jj8WK7gLBYFFEjK15
dMoZT43ZMJIYav7TvBKSCXXnyssT4IzmUj00B9eMj6NKv2LdTrbR6F2jqNhV8671iQjydo0q1zoJ
9lr2wEIYl5VlFQHOsx0aF2KBXAoZc/4wvUUXEn14TnJlGT0gilDEfFj1O8k1GL2NMbW5iIfmxOPz
ECnGavRvT7p0QfwDmGybjYdCMd8bQLaHLluHnilvEXwU5MeUiTNuEsvWted4qCoREBjUNkdsNmPB
3GscvAGn7aCpW8WnUwo70dZWiGEjml3UJJ6fHauRKcCUkaJIz7mb/YiGvtK2GlqadZlp4zaxqrVV
ZP06HKoXMLZkB3iYugcV6RuUyY9mU96PljNtMVB81WnzbCWuvYLVxX9p0pHgzerAtd5lOd1MCd5T
NDkZkpuuCKi72iDLLDCb46CvNAYjXCcM/jPBxdZypfH5LZ8dtXnvwzHx46u60a1VLq311LmXoUuu
/d69WpCpLODTd50w8da3rvQZpZSs5Ad3C2j1PA+y0ntsk8Q6dr34PiNp2c2pcCDIeXsWSze1M+N5
jwGG0EqsqGvGtROW35qxQFARE4gA3GRbI4m16vzOyIZN2blDYBfVuOfcvfJHnEmK5EOIH+2+H3ii
U4O/0G5wJVj5sh3FKdXOzgrA+U4aVLu+nr1lNcS2+DqTwPzw4Y4Tki/s+CSZDhe0vjUjyu66sNNv
QOJxKegqGFVyqSJxsX217FgvlnHtMKrTcCg3jRYdB1E9Z2N06OLktXO7R+lXOHPQCnvNbnLce4xI
AXXvRdXGW4KkxcfpvjWL6EAu5HxI+/yNN/gYL629Sy24iTsJLLTQ3qyiGp6LGT1NVaeniRiIdTuk
FXDOmRw8ZQRkNL7IQWAVym7Rhb9n0iPSCJVOofzX3K6uEjN+LkZmoP+uWX6sWXTUkH/f0B8K+b1J
3vP/3rIsP/dHS08s9mJnYtBmo4mw8Lr+bOl1B3Ix+xUCaDAX6BY/9XPLYv6G4cAVSL/4wT/HPhi/
YbalA0fD8L+W238gh2BE8B9bFowxlm1AI7ENhxf0eX+/uhvcuG7KSavVeTJpM7c6S2v3LF18pl9i
nkubwGAixyrAbrQE875ysmxEeDyl5HA6sDJCgwfVY463b/TBVejEjE907QAa/PAdU+t9FmbFjcow
NtazY2xNW0cQZgkS3R3nK5YeubEFTF69XBzjfQ+2qE2aTQcLYMUVZ1/NPCwHrcw7QqspVJFCObTt
aRo1F9aG9EzcPzRP2YnZWLnGdaC2jU0mc1dn7AkwjAb4U2kHGV2wwFbHzE6uvKoLT0XCBjXTfB5r
prIeggGHzS6pftvJdylvO8Jka3PKAj1z5bqeyHWtvR7/oqW95mSQSmcqj27cP+hOLIjs5ZDmMpBB
5Cvt0qTO51gSV1tXrr7D7PA1p+kbJz5zWWvQi8MYwpGSVqoeKXRCOpP4HIGNOvRx+r2LZuPVaGKa
QMYS28HJ67Xb5gyUSXFhKeuXSEi1UN84o9COlpzElQ1xYZfgXV1FDeqExnVvvTxK70k0RqSlHjRJ
oldlwccQXnXrOlSs+G0BQQkLOHVFFvmccflaYgQ4oDLtSo8xXbiqie3XQUZ028LM4EkovduRR6Bw
U8xN4zTXMZ/dQFRGclZ6UtPbRzpMTBYWYvQDz9eALUH2YORgQGg8yE4tQsQ+T6CaZvOxGUr/OmGQ
Xa+q2eNWJL3MDK99LkguKGSsg+5nVwazAj0q5ntkdmAY/z29fpxey1Hz96fXffK9ad7/++xafurn
2WXAMuIRQn/qsff5IQ7/eXYZ+m9MITnQTN22jB+5ND/PLv83YNSeC5tywezay4nycxyJMgxUq4fy
yzUN1nz/DNO3vLU/S7mQgyGFXo4wvKMwhf98djFjKmJC9sQ1TAE4PMW8VJpvVfRNIBy3kYw2TnmV
eMzbk9E3riBOQkY13GsHj2tfy63jRXd537+17RwAZ5l2YLpfysbe1dK9Y9t3ligkSHp8hXYsEfLS
ubs8BLbLgLGlPjKi/lFO5QO5WPWq90Ue1LXekUQiX8M0WTu2cbIBaRR6/T7H0EDT+cWwWE0UU3eM
7XLjs6ILMixGbV9jCS7nF1Z7e4zu1CRZdzO58WtalI88GFd+Wr9wz7DKso0vbSyfgX0/ZXrBNrUn
Y9vXtrM735ChDfiuljvpp30wgtH2EgJFzRAfiRuO7KnZWaDuQddh7dxa2zYtYViq8J7qkfxAnk7C
wfqM+UmIyYg9IeRcbY8eCZtQgu23JyehsqaDgVBolM7dKPs71RXNY26r91xSVdJkHKNYPIsCzKeg
85BiOkeZtFEou9rGTst9x64Rp3N/sqz24JDOyArRPir9G7mLb1HYPyqGVCtlcWPM3viWidZf5bV5
zl3aIFcyCbT1xx+OpVFYA8r8cNu1UbRS4+BA7VP7tFU7D+ipHJKrvuV3FkW5tR4VixH4pykao0s3
dXq8CclY23U4yqdTVyWAZi0pukPledGmc6ljdfpRAkwr0bhEly10pvYHqSkf6hFbsm10a+cHy2n6
wXUqjKpZqxwlWRTXdSAt/1z0db2hdfssFz4UPixjbbI15zSkooaZsh7BSTkLV8onlIU4PephkFNq
YU+5C4UKm9SdO6OrYmFw0WJijMg75DUonCstfsmBWZUL1WqYhntk2lTQC/HKqu1v9JBfhpq+zx3p
dlANnyIH4BVwZjxeTMGy1jg1C0krHWFqWcC1kCtC2fKzvRU3r0Aeu63JSGhjg+RiTUQynOXg4nLH
byRljKsyZ3inio5Z0kL1EgvfK4+0S/SaD+sS8FeJ6NvC0mbDBDPKCOrVfHLKcpdW8nYw03gTQxGT
ViKRdkW7HL4YJQ+0VuE8h8TY0HKGK08fnxlD3KJzCpSltVdj+1raNhYFpVUn0jnnZM1LTSvhZmvQ
expzDDT5WtwyN2QmiWCC2jumLyXc55CBkpid8oJO+giy98vxrSbIuVPEtlZZ8/nvvfJ7VYyi9u/v
lUOp/mLJtahwf94quv0bwmCm+Bbuvj8vuXQCnH0hDM7r/400+6Mixo3kgIN1Ha4ciErLXfDzVrF/
cz0I8f+rHAYe8E+WXLqz3Bq/CoSdhd+3vAeDd4FtnCXcrxWxGedSB2HWXYrMibdVlSfrqSosb76F
IzEzV0j8GIPSxooHEbMvHQCn2Xpn6OxPDVUiLlWJmZ9qL6nVNboVm17c60cbppQ+OTUZOnYemzuY
LazTVpaVJzAftTAdjLUW+lX5NqNitG7cvvebcu2SHES4qW2PLS5crU7bd5dHep7Zi4cuiLlpagb8
ANCnm13aSv8c1yI+RMStrepxtB5rjIeZx/K57qtFG5ilxVqvx+FEhK7aspkqL26e9XdgNscPwdMl
kQfF0cdgNdM2b0VxlThZtQGzEl5SDTkkx3fMBkXH3u+NprrVXYMs5r7C2lO640VnM75u2MJUuAqW
5F6jeSfYhyeyY/gSxIzwDjE85geA7Axr4tL+9Obc3w1xPl5BcgJrNSe7HGLanTcLomKXNVWOm8Bi
iEp0j9117D4coS4NKqptBuNna0mdmUHbIh8C3Qaqdx66fR0Kdte6BHHj+7HxZs5yvonnOS0JeOuN
DxhV9qmv2+igiGZ8Me3W5MQ3GKVKP1rPXtFf9332ya+0PNS+o9/rbcIVnwp4GJg9/ZVNMvdFQZRd
R8pOLnbStjufJK1Nit3qMteJvS9g2bH4AsMbEzL5yYwmv0JO0D71RdVvWz/F4aQlBvxsHSadE2PK
VT5iX32qnVsd+ueWmrq9MROcMIxNqhOT1+HUttmRAeYM8kRDqWur6Wu08Jt4soiOU4VXc2WnrnYG
6S1gELXc45VijdN1tAa1QoMuI1Y7Fjqt1WQ3iKVnww+PeaM5TwghntGpGVcG1qZr3n641TJANW1l
MOFtGnGt5hhsC/jWQ5QwtKtQP52tVqq7uPHG9dCO9UYlPVTtYQ63LWK6aP3vyfr7yYpp8u9P1tP3
5i8soDo/88fJ6jIbcMBcEOPo6lCR/m/WQCmP/RJ8NjoAx3RczuOf9TrHp+/plq9D1uYcXbArP09W
i5MV1YFwsWDp8AP+mXyAd/angxXlgEfNT36vA/wEO+qfD1ZXlxEO8rm7uC0VdIb2CrVXbORrt7Z8
kP3eO+rgcVsv4DoA2amlHYvW6xdcKFkYr4nBWus6Dqu+PlhJKwswMOkoNmjBepeM86YZb8pRXqSZ
JQ/MoZHTxObsIuhZqKZAl97M3OYQL2EOSxFyXkcwD/EdlssRb1gzYXg/vq21PTX9wQq1AmmX3rl5
+1rgvmAsPKEbYqRt9g7Eva1RTol+LAoi6u+jmaZ5l8DuNjYdCKSdb0YE8rrMzqehc9ZNNaY7LQPm
OS5AuyFz9M041fNOZE7zRPZPr+8zXznzxmx7Fa2V4QNdzHuG6kxjQo2RryU1doByds69amNk2Ubl
3CeO0yBKdCWtD4nGO13GWXefmTkCRpqW/HoynNjY1S7/X0Xkl8/jAluViLuwk0xx5R5Y+Jti8+8j
+vsjytPx94/oYpD6q2eUH/r5jBpLPM7StNJTQzRZnrY/emricZayA4kNXTLP7/89o+iCgNhQLEGy
48FZQnV+PqPub8vDC0ePfpsYa/7oH8wDwfP950NKLeX7jgX/jXfBC/75IaWvpwnRxHxtFvFTbRJ7
nyuFFkTCFNXnYuvVzk5nAWYrjabDf4I6CqSxn/Bh+M5D6iFQrLpDkaabevDCdu266Do2CWSDx3yJ
nKoMcRtpZXPocEzTPMC2/TBIYmDfw7YJN0U4QEexS8FOMnfTfduhYykgzN8KUjbYQjj3Y+bMEMzV
NZJvplWluZbxjNtlqh6U0p7Irn80K7tfCYMYCtGMB0dTqEO9I7LGNbv6zwbFj52V4ypC2itT48b3
tCdjaMt13EH3DrvsPEhAdH1YfqmGIiJGLh5apIQYTWFubGO67vDM1HmK2ncw4QhV8bd6LOZ1J0IW
ZpO3iUTHrq+K9W1GScuNrlnqME6VFpBHctJxOpuoqMEzneZ+QWDELgu9mIvfGE7NIJ9j4b9qlsv2
KTfJ6mo3nV08ZQkXdpPOjx3GrKHX5UUPx00hqy9E2+uhSe78Xg5kiBRXMioOeqGeshanTDV8icZW
cCCUC7rNxCoK95k+KevgpWT7utVkYMZOwP4Hm7IhetbesYcHTapgVnUWDB26bKTjQbcEhVcp45aC
icnGyzJsyyDeA478z1jR9plE6HRhKlaIp8C5GwffMfd931yHOfNGk6UrFWpTS0w8Tl/Qfudsc9mv
HkBGBG1rn7uJwa1Z4TIBg7y1iC7LUByBTkGg00/QcKf3yCEsl9fEgMWMo0JXi7TU4bjX3kUTpUEz
IKbRIYDohCAxe/bOEOJxMwtkOkYfOyjuzb0El3Yft6F1MbqCUBMANEymUdDPTb9wRskQc3Jrkw8u
PqZC39Esd9uc7/+lT7ydq1kHsBpPwrb3ojeexqHT8fG3Yt21hn5BCJVeyZK5eUTpuIltGvpwQGNE
W2wFzADCndJ1cZGTiVXbQISRZAMcbUl+ZnQsMgDcU228sziwic9RyTUDNSRUlN/KK7Z912LNBzUb
2GP5odpqawzJSxURB+932SZCGB+kuJGuLVp+ID+7Xw61m997oV9JbX/eGeBqEBanDSUBhcRSOyzE
pF+ISNKcSH/XfP06Lx4z6xtAvrE4/OO/wl9YbJbgjERPQL3y61+hZDS1KbSC66z96LMbJR9K/+rf
O+r3O4q67+/vqFNSRi33EZlLnTp8+///73fxqs4P/byjcPAuVxT1IvyP/6ojmfgKPpglRs3gm/Gz
jHTAhfA/l/sD1sivUFdzadCpLF2DHZjLwusfNegu1+B/lJGsxpDI+qwmCISzlhvsl2+fHpodcB3X
vsSzZjaPiDFJGQlKVejrmCgP/D9payTn1stM8iCdqd6JMb8Vmhlwh+YFCpWpw2bqipBhm+e09aGo
mnmt3AFvRW+3FH1tGx5hGSNzgG42Z7cVclOJ7BQd/ts0GtCFTPNCnlC9thaNKvgf9IJ1/AFO3FkZ
i5KVzV68UkILJkSufplmQWFkaj0igI318IWeEklsJVLUPvkPqWyWV6hmF/3sYDeo59Yxr+oEVa+6
8mxpimBd3B6JlYTYJPIRmDXI17Ac5IeRzm8Rxvqgc4ow0GW5badkDKoi3deptk8SZthTU34IsyE4
Dl8D2YrFYxJpn8ZZlupcQW+YkCMHwNyzIMzDB732botKEKI27NL5Vu+cx3FonxmXbyx0Wf753wfx
x4NoczD+/YP42n/8xf5l+Zmfz+GyZKGLA1/MQ7UE4v5SK+q/0cYJeD4kGfJs/dLP+fyJT4Hp/t7p
/drPAc1bvPQ+f7SIwTHv/YNaEVDQfz6JhDe57D4sbgFug/+8B/KO1fBUTeK6S9Gl+CU5AZmpnQyt
lwgodHlrYzbb93Bi0Q2FLbO0xf6MVrKhRoOmPtUrZhX2VdOAk4B1heJkdHYDnrfcm+S5mTXkUsJC
oPsJ5BX9WoHWw4HtMjvjwQ+9beIi+ZJJtOvbENAcg5YAXMrjWDZ7K4nLhzqKwL5I+emM3qnq5SPS
FRlYBaxfJ6o/c4WMqGrRWTMp26OJmhC9VXF5K0xvp6eWdaOZzil0RhJvRjCwxaiFa00H3JznNVE0
3bvbR59hgb6IwZ/YROwxD17pL1tf7a7LvfzGp1BEtxezwjAZAIbKddch91oQaZSsZUhUxETsd+Ob
39rEISetvngdAGXauJfEMB+6yodznBrfAT5Pm3COHlmZbhJ4Xr3DHgHM3z6s/W8Q1koG3TE95HRb
ivTcOsZrUUYnRlEPeoqSyZ7xqzSGeJBuinmGD6FD5BiAZy8Do7PfVc98kb78hSj1bAUxHsQOsYaj
JW683OJoxYmV+ItGqBi98agUVGmoGxSWMPwYqkPKOw3LlN1M27t+cUNPNrKmuSmQTDOUT5Hug72j
2Z/hTdea1qOtYd7boNTM22zvVU1BFHzrXfuGVLucynE1OOlBLzlvorb5btQDqs7ZjW61PkPqnNif
PjvkS62Mr7yyFWJEpwJ9mxr+JY8biPAlip0ws6M1tXO2LXOcfREwpRhTeiBy73rUKhwFOGQBtVVf
RWaZiISqY98YF4RLZdCbc7PqEgtNZ18B2ba1XToNRIDo/Zsj46csy/qgIQmxxsUMeCrm9xbxy82B
IKMam59cdko4KT+KKISra1pHq9RudU9+WbHa9PG062sykksmAIEAE3Vgz3+QTnGcOntjRSZit+za
MnsY3rnvrESVPosxfLQLrd13mV8FseY+Nh3uvVY3rkJpQBP0egAMNdv9Xoi7QnVHcN27OkvvkiTa
4HJ4HUXzYftNhaoB9pBqh4sHOGDdOCNqdlGebY9frs3ohTQBa+cI7GwIvzJWOu6VqPVPRKd4Hzr1
DCaCOGBdbmVLO1V16J/UNBwydKjBUIrLmI8fMb/rjbMwy0sHU15lAHMo5dmnn3E8rFax2SK7CD9B
IkAkYAeq5WMdQKKugiztTwgRamA3ecbtbn/rRvs81qwpCy+9qsPGCBJZZAEAsF0at29eWp/AZT7q
2fyka+0t7w+NAkwZf/SBapVAhYx+Hc3DuEb4dfbqCZ3qLO5a33xTnS+vI0aoQTJp05E5jXaoCvg/
hHxdEZF4b/Xa91hmd55T2igkrQIvnIkkO3R5lRmRxL7AmdGEUI9SU8sPRYFrX6AkhWniBDWWNlKw
XYqAii+x8rAzGBGS/ApgJTOofE1mJhmg0XRLwIeAqiSYietp8O89++OeXUrAv79n7+P3v0yeX37q
l5uWaxFhlbFItVwYM3+ayiBnILcYJ7rHUuiPktfCJU/GMXYtxyNiCA3VH1MZS/xmeDaqrh8brn9K
z7N/KBl+3UnZ3LG8CsgKG1gfVNs/17zG8pfLvM5vBDMRHs+ehY81Pg2uQ0ZrrV3LWDSrdk7OWc4D
0ihvXytSQ/gStQDLvO9Vn5yRgT5YWZkTBlB7S2wJG5NoJiXX3Ht5v3W6cEOACVxz/lloIG+0Ys1e
4rW1OSUTamHALDii6vfYTc+q67+7LHFHeGwkBxLfpMtzPVmfcAF2kfJxb7V4XbSk6Pf4SfaN75/a
NGL8Y29nFMFU7jEn6nDlGNWjO5IkYMR9oBor2cWz8Z6zk+VJeInFYG/dEFeXrAu1a/SckEKYfDhR
2yPwvmHrhfLUGdreN9NNFqf34QASbTLNcTMAxyz1JdbHk1uQGmKPfl6cTJfJAsKCea2Vesl15l77
Zv6NkCK5U4ZNSB6+cJSw4QNo+K9cMnIQJb4SxK3nzGLOhZed7NeBhICYLiRwJ3wYrvI2CCtQdXT4
acf8sbMbptfQ7nvkVnGDaqv0/KM+gBV07e5MAuxDHfc7o5tukynRNv0MI0MVIzgr70vXmGhoRnk7
xSVyMc9/TVP9TiEvRypRuTiSzCJQjvkwF8krydVI7RetsYf4w0zQOBOpjtz/C1mLs09nFmdG0qsN
mVQR15F523fxc5zy/iPlZNjg8eQ4cPR7h2mFLE1rU7TAFlOon9BoRhA+TNuRnnW6EwgMbYmYANBT
7q2qMn5hD3UHPHUi2FWWqxngMPRfhnFlh3NX+YwGCGsBlopQgI2htWPvdV1V3jPeVD73FjwDu66V
KOSr3idXDPuumsRPDsjIvMB24MxZBjlEfou+tdDMbkVk8i40q0sZ+1ds2NwDdj98cm1yEWn1Wqc1
Kr2cAVKfNJhnCTNABYOdlWJLz4d9rYsbw2gDaSMrhnJwaqL+0JbysdeGXdWW57iqtmzpfCASrCyj
dvA31nI1OjkaP08ML6z1vrcDzMl02mG9VcyjsEmUTnUtFP9V+AqreuyCzB/uvSzfduJYz5duOIda
slVEG0RTea3b5Y0xhHvWEdcatRLutAHqEzOrZabVV7i5jYUx4aQs7bQiCQNqvZA8A0QfJS9aFrYM
PNRAAfkazroQwxdiCrq4wkSoIpdHlbHJBGttrDyQjFN/qNgcB2Hv+zu9tA+xXtvrObSKhugFimFq
1mmnaVO0sScTdwbMBvKaPXIDpIFtMO6OGDZSMHrWt97urC2cp2+VObzUc/+JjD3F4Y3UMTLHG9Uv
qY4JXGvVOcSa5Abec7svjeZkRHl3WtgGJK5RkCZTXTP0LbqDXRapszV76diPg8gw7cdWo+96S0me
pbpkxutOzbzx+mjSN16p4TCpSTVAN+7pCgaGac/JRSsxnt37otC7+9FvNPOE/7o6jSCi4xfC3ozh
OuvkHseeHkggGxv6XmubJHa0qgl4Ao5814ZkPnbZdLSsst82WgM4Uvsf9s5kOW4k27a/cn8AZY7W
geGNvmUEG4kiJzCJotD3Pb7+LVdVZolMlfTS7rQmWWWpFMFAAO7Hz9l7bedoc7xfIT+wVF7zC+hr
hletg1sytj4RE+suQ0VHJpzCOZgFDzNCd0bjlsVObxfPpW99DuPaWLVuTF9zrr7Bb+xpt4IUsPLB
WAiBc6Fua1w9uMinEtN35DHYLrUzp+1bze+OmVs899HwjYbHkhDQmIJvpGot7XTZmOMhnPa2QKXv
yfJzlBR3ToStvjUYo5l0Yxj7DvfCiG/8xjtp8fSUhsa3WRf8lMD+lvQZ9L5opc0H1ELEfNg12WP1
XTKy9AiM61i2xvSYhvIsklSsvLFQ1DLSKomypViiuolmHDNGduPIZEb05gVrgR3HYMfEWmXPq2js
zrOYjp4N+om7UO4khvVFU0AZMpH+o5QqV9KL5Hqu4bXmvvaAyWK2g0ejbjTuZOwDZFXxuYk3cPEa
gkPi7XCGYjMZScc2GSWQnjrCRB/LYU0u2wlMu7FwXTq6gS4v0ZCfsXFmy7FEXErjpMkaAjTbz443
TGtOEfdTqlXrOQtS8u7YQOy4++B3hNd1SO3oAR1iLeF37OZPGOTCDW8deb/tXCwg4mjLmvyOxvM+
sEBvRJmekizEaBqYOzMuPlR9tNUiOS4BNCiL4bV3yzvPLr5EbHQk94gbS7RHBjs+ZbPlw77Va8wO
9T7QeraEFu+nYTOyC5Nk79lo9/ogX8auUW0bmzZPZDUXIAyMMOQmN9qPaKZ3ZVJhbO4MHsDOGjHm
khIsdLdaeYkvt4S7hUuJcwDxWk9XW9O3jgH+ruWGLkm4vQhibcBwtIeOI9SicryDbMYPaU5HaCrY
BFmyNpjagq026Mc095zlNGDnUzD2Y6AbV0fHh6vhr4FVL7L9bJBL1hMDtpjMyl/G0txbVnQNu/ij
hnVpAzEX0EcEK6Wyh92cGbwStns16n6mjQbO0inGl7wIHk27uuCAfpkt82V0BAcP51ORBPS9S2fV
mtHez8pPosCrY9X3g2sczVhbIslJOO2FR6MePgfoyjppvHpIj8lPvZ11iQ2kFfc5ppJFTrw5a334
37L7Xy1jlFH/uew+Fc3//G8evKavzU+6zfzVP2pvHdUC7SrLIkrqr3owGI2ubUnCvSFU/dDlsv7h
EtNCvipNWxdLF13iPyaixndBAxwFzICMK2lL/Y0u19tZh41QAXexGrnS4yL9Qbybh8bEKLpD7sU3
HTBCW0L82VrV4w835ifzFMr1d500dRUcGExvUVOjnOb2/NjTrvyIHKTZjm/aIo7SVeGKHGgvdfzS
N6k2Y7Nh1jUZOglmLo0JwD/LdPaPPe6vO1GGtykTKdb76DQI0a2ErtlLnczrRapHYimCcD8Y2b7r
w3PUk9HQ6ScxD7fUVOdqLo5jbV7QYhxEnJBE2COljUXlbeQENJdQnImUau8r6U4DDP+MP2SHJLSm
+4ZulkMHYzy2L1Va0GyZ2KpBuExwE5zDoM3Z1h9GuWq1BiixZyAH6+aCHZKFgURW66NPg3MrU9t8
NuhqLDRTmNtIJKGzDruqZI9m+PhYFDpGYvoS0y7wsAnvdRPvF2NO98YBWD1uJU5nrHpuCLbRLE33
42xUziqtjHRba6DEt3oxkPQK9gtEerXs7KydfCz9tnZxK0M78/PLVfNdGz12x0LLt25hod8myQP3
NQKVWrrkQKRWcugQZrlXrteYz/YUkLFpTDAxUYCZd4Ws7fEa0m6DnTN5R6925KEPuuAJF5D12AMT
Zpw7YWNo887au8jxyGsy7GHeuWFP+LUYGu8DxTE8CtQeazAJlO4lOMyUcNYlzcxp3xt2f+N1HVnr
3PMTrt/mc0PEwzix1U0jTTOvonomuGGNQoipBGStu7nvDrGg5PEK3btDrEYGRwx8wJ3Yy4oyQ0SY
WKu+0FHiRI/AJPsTX12/ctja13XLOKNB0oP6ZYwODsCttWynedu2KQNej/lpE/b4KKeq2Tpmvxus
XK7C0WhugzKmXtOyc5SnZ2zI+Saro1ursPcuq//Kd9JdEUGqCkxxbbzhvtVl/yHgvPqtEOOiIWjL
GUbnWxF1Kzsj996v9AehdZvAaUFdFcna07JN4jaLeHQ55jnl16ZpX/Oofp3i6SPDj1Vt9gdvzDYs
IMiL5601ivPk9sicIR/axonWzSqo+y/C7s5Vpm3SQV+bKLXrbnrJwRgExYsvOn01OKm5HSVAnsTu
n2wn+pLOjrV2mqQ5tD1btDbMJyMzYJ4bZ6fsVjRRn0q+vqaFZp27cu33zgbQ0q4T8xNhwusgg4RW
iQpxfsDYv8nFHttszFQ3XNHbv/IZ72xwRRSDc7BCfI+TuRfRObQcvJu+cdumeUM/rD0GxsjDDJYg
rSgK2eF5yjKqLV4iURDO6nEQgp3gwsPn+PpIKv0yseU9yNjbvCpPqEmXveGdsq6/Db3okMKPN7Av
rIMAOumEGSBGvLHsappyQS1uEi15LhL9uUyyQ9QkxyJ1D3Gn386DvkqxfRdperateFml1XScpdyV
BEij85peqkTuOk6EXl1Gi5DG2TQPB7eYp3015/kBDMfXbPIlWcE066YAMhWnkWRbeZz4Gl27myet
2vx65f2J/42eD8kHDLUJKDD537crbzjp8NUIqr0pqsRY96k3rWVPv5MwwfTUZuawkj1MgiLM8APO
r3pZNbdVlYgHF9DuohjHu66OT2L0V4knH8XYbsma/ZYncbAqy7peA4GD2TeJTTHzTKc+ibi+3ZCq
ASzb4hSzkm67wzj8BZhKt4zi5qOBJ2/d6y3qBZGoPNQlPdEGBH7J+b71cyYT9daAHpYaxbbJIPim
2X0n40OHqX5u0kPVGSdZFie3MbxtO0z4RKdoZ4yhvSTfbun4GE5DK94G7H6rRjR31tRxJgqdgwg9
3muUaye/1Tlr1+OHOAK07Tl0643JuFjU+svKUUDySIlk5puwiffJYG/tgbN6RAPb/55I4wIvyFyK
O1g3dlCe0gB+gczJEEqHIzHrO/Y1AHAlvYdiYjIU15ckTu8sCQGuJ99k5SC3WJolzdC6vkZm06+y
mZN8XccfrMnCBDdGnz0gJRFBRouRB9St502SVIrfgAouUxRU3DPTKjNBngFZpZ11pif1tfBUI5vR
ROBpX32dnO7SqAAAIS1O0kzfa6Vay9pTJJ1PhiBjW2DDwGH+NGWGvsRbkqD8Di7mbOurHDjFgpAj
dwcCovtY0HY6Mm+tzymQot8oIpjHvxl7UyIgm2fAThK2CcP6XYkQz/WA0jsDpdAp08Ohpv3+65fh
7WCdH0mUj844kVmeGuV/l4b9MFg3HeyeLrFTNylGD825RF20i8q7eoh5EmiNO9XGi9e/viaZd28+
11+vqj73D1ftSk7llqlpZzHl9zhVzQV6s3t2xU+BRe0RMjzn0Gg/Or657zuwUf0IJSLNB8WhiIpl
Xs+fCk2eotYSyyYLN6k36F/c0JI0RuIPDjEBqyDBQJNaTw6JEQc9ZYbI05QXdN1kvnZLDWlb2RP2
mU/Tvhul+aXISUm0iOpeR1H0kvKsrisBNY0VeOIg7zDi6Lz7zkrnLevhhy7ojX0WmNdwar/G0tux
KT00db1xmoF0SzvemSLU1rGgQkkHTDDw88Wyoh+5qgcbOA74bzVDymFZ4DkNYDh705GH/lvV0CFg
GrevLXIgB+thnONHSyQHu8VWXicUa5FvokpvIw7hHSFIc3xEWb/KJx+HUco0wfQTVlnx2AuUelGc
nV0mT3lNg9SfeYKJjGiDDH16ia6LuUY5x+6qTv1zCWYnsCXZS0puF4z3aGAp4ErtoWuhSZkmPP5Z
tlsMR9h3u+IzI9VzLbLbCmkuonKcc/qht3Hi97bJkd9lRSSZLJ/C3ejTVejr7qZ02CNBV+3r2np1
K4RnfuRyDrS2QWmd5PCvEL7/mL2oht8/vEV/fdreNdIHixLDmHna4lN+DW60DTkkH4li3cPGPrls
PcsXzE32QT/nz8Px18+6GhX85OJM7JHVGAit1S/3w6OONtfNE9fSzsRaLPKTsSw3hGLoR+1Rbkgm
/HDRlqfHfk3wZv+Zf6Q300ksDtHGR062yH7z27w92PzzTpjYJm00ZByj7Hdq7ImGEfqfOLwJxbU0
U9q6j3W/+/Unfrtm/fUayFZ//MAMf8myCtOQzfU1AKU/3f765//0M0gGNhIxg1JIvP352ejMMKkr
Nm/tWjFyrm1qzn+uUP/NnTK4W//5+H5+rV9ev/715K7+1h8nd+UPxlBg29RN/xKh/Kll1v9hWGxY
DJVQiEi1W/0hFOO4b+pqiOXpKI2/K6D/OLk7/5AoCyW2YRPkuzIw/I2Tu2EwtfvhfbPpEjE1U0Rq
RIqgUd8/4qZmDDoYgOSiC6utDxDYQI1GfWZpjxy+JNLZ7wyXjqkBLqZk1XFI5pndjfu98ONtDjwq
ZPmNgcGEigpTgodhjF8fxZgWjD6CeAR9nieKzcl4ovEvaE3jlR1n7a40aM5GaMYA4F1GLe3pzhqf
fWlAI6qTYynma+6MLP1+/RFM1RbS8Lzp3PHjLIavDv5j8lr5AZiWdsFoo/Z1i53VeLdtEH/ri1pl
O2WQZHVITOXQJgRwZ1c8U+DVxESBP+oXt/BvyRZXNCOIxwGOWWRg7q536OlnybDzkYjADhghFpHT
18eIpYui6teITONdaWYcFzn3gtTynXVWhZ+6pGoBh8GaC2A6gFEB2m5Sqi+67yT3QUHdkdMGYlF9
Z71j+KcdoADwYSjIpFJQeKIp06NQoHjZgox3FDy+UBh5JGv2JXIZzQU6kPlpsg5ME41rqAD0uULR
OxV7TU2BvAm/k+rJv0uBRbmPPibtHdE2SPjCmtKtB3KPhhjefazQ976C4LtlDZcv8yZozMRkVNHB
kpqj7wkB0pKNASmwn2Sif9Er01p1pDDLKo7PIc7xzodQ0TJQCnMAzlYwb4Sd3VqxVxPXDC5nYdbJ
a1p0j0QpnQohghW0s23aJiQ12/YZZ/a54axKmBEzhDK9Y6R3KI36ydCSUzzQc6iM7IF0SmC4ofti
lRXMOnmTZ2PXLsNWJlcoapGxNk08szeZHcbzGX0mMUu4DpMS1R8ddH+fTOG+ywBKjT5KldEx3HU2
By/zSMy2L7BYl57iEqN8obLIaQ7X9guIzZpRskhAFrXNygzHdYd7XaqUrbEdVwgP7RU68ZhIptJc
+Bz0W2cAZSbsYqcFJNsLBIFjxH8Z83ND3VtLiMRL0EH5IrW9ZOnOVr8lCrJfiVHcSBuzTgJOGd4/
x2ZB19shB3mJAtxYRymdfpEZz86oo9qZivtBiSq9CYqEnzdyUWEHhzCOnENgb2ukfM384Csk65Qp
RLoEOs15RYuvnY2uf+qNtU5YKqCdKVsXurLIFINHDhO9ZUbCq1ygm1n5ZHCR2MYAdKAwkkVyyJu2
ePi+bP53/1BA/l/sH5+/vv6ML6H+1h/7BzpjChDoDToTDKUn/kF1If5hW6geXDp+eC6VIOPf+4ek
F+uy45suQmDvBy8M+weKYEQaeNwQOtIU/hv7h+Wo8uSN6oLYPym/x4ELYDzql/ixfCHEd2qMVg8u
PlknUjHh2kY922DizDZ9LMHGlSOD7RmQnFREuTzDBF90O8LNXy3FnBs8m8p6gIYj0+MIEmcxe/E5
xzm80pmRqXqf1DModi44Owj6PPqRx8g5Kl/0rmThcbubtguQnPVPDlA8HTge2IEYkUL47HjpSqP5
9JGjoNjlnP6DbPCX0rf7Fb92sekA7xURBD6mMk/Mv/JVpeh8UMJImtUcawPL91s/NK8Y4+BiKaqf
WzC/pUt3XyThLdTDz2xHH7WJ6YinmICFTUcwARNoK15gpxz3JXxK3sfiiwtUMAQumNkCLd7AR+wU
ebAp9asGijBOg3MBmjBWjMK4tgUdV4PVLb6K3BwXUYTVaFBsw5TT6RbvGkaWZngBsod1GG3AIgnd
dDOH+FhSET/0ABNRSzPqFpCBGjOVpyHz7hvwipg1bpt8qDdxCrJUA8EYgmIM2/GIIUegEA2bhQWu
MdBLUnsKCI4om4tF0dlA14AZqDjT+QN833xHTHEHI1zGqEghQlJlxBtY318ZzU2HoA91AHAs+Y1i
SZqDq61L8JJOBWbSQnRCDKF/OykGZVi13mYKOI15aeYtAsWqzBW1snC0bQHGkgkhTZDqecLgt20C
E3RRGdLcDCQUNTCYUvEwIVAoMia8i6Ca11JCzaSv8sI8GUynImrims7WqaJsjuA2U7CbTlCX5yhB
p8APnVbYvTexonQKcJ2Rr7frXhE8DaO6o3EYrqTR47BRnE+3Q2EvFPuzNpDVBt380tXCXJRNRzqc
YoXGihpK9DDWlRiS6Dy5Z5lZ3sodnde6hNlee/pNPrSYfloeZaqKcRX0EWTLgLmGrjn3OeDSXhFM
I3pwyHRkumubkZl2MNwjwEFeR9dQKgbqkCHWT4LcXQlFSK1ApfqKmVpZqbXTMvvJi40vdMuw5UBp
McbmrGUa3hvNJZoICOscVl+ITJj48mVFLELjObdimlvroM/MZGjw2HQ8x3piQj+Aog0fx4B33kjc
guZ7xyCVhN/JbM2rHLKnIWdI77tIZP0Gqj4G7I8j/Vo6a0PNhsjIelDC4qKdYOsV1JrdsB1SbAUR
m7Nfs+3qYeAc6wqIX+WC64db9zAX/gWc8akbPcbORf4taqt7wwz3ueEeexcWVBsf5zncGjReQy08
izgvF8UUB8RqMk7IautOFE4PJLjqN9WoH12TqQHNxH0hA2PN7OZp8IJdM1hHoYlvTis3BOWppcla
F342HQpt+myoJkGlt/aiGlt2xal3DtHcblzEiaiwYtm2jzkZhATthaU1I0Gti3tz6JqPtEIHOtsG
JD1HNH29M9mtnxHc2oe2KdPgSu5DwJS50qxnP3AM/xzbUbLNCI5adZ7/qNPZRn4C4QSAFGN4VYVa
BZw/YhmBGvPcrW1VrfIUPnVWt5vBhiFncnahqmylqnGRAYDLpex15/ky5lRQc0aiJrXKNXUC2jSq
Ws7KiOUJYcq6o5QOanlbO4KCZiD4AlfxLiXmdSkVAMhr6Uf3HytVmfMWb11KdQLRQ6UXuXpWdOyS
CTVoKT6T1tUjzRnAPWR3+qBTj7R+s6tSLeJZU8cCYSCISSBUqjNDHgx6ss8VfLIx88+y6FFqKDCl
hFAZJfEXA0V5EY9fRgiWeYXEZYZpSQ4276HCXEp4l6Qr5sydMpTTNhOGeUu3bqv17iVQqMweZqYD
O3NGXuMrmKaEqqlz4F/oCrQJwMYkK2AgDgQIZ6hwnLUCc+YK0QniGBiREeFjxus8wfE0e6Ejfi+G
hQHjM4ptwt5rieK4uhYKA4p6nuLM1ZC0GTeWQoXaAYDcusYLCUU0cYprAVVUg+e4LOC7xG7/Eg+A
RweUJYNCkdLTO/rl/GjDKG1hlSKcyZClO4dSYUzRFG0iT8BRdYE1AzqFhhqgiSr0RQcFNTcjNEZ0
afMpXeE7v5ceCj4daqpD/ivp3Cy2ptseY4VWzRRkNZ/GDfCyg6Xwq12EcDuCyOo5kvUZA2jSA7DW
ovvUzz5XndwbFf+unU49aNfE5KsWLkx5RX2V4F8zPXiNPW9n44otNP7UBxTb9iAjAcdmRrj9bz35
XcVrUH79op58zb8WL9HPEhTUX/yjpMReDWMAS4yBtZFOOX/0Z0vCUtUmxisbqqKFNODPkhK1rsBj
aMN9+e5cextqBVkG64tEfWD/nXLSdt61/2x0BIh3KSnxx3mSuIa35aRM28DNjEC76BxYiNCleLDm
V39gLJzYBB90ptgwAtzUk9KpQBGr77w6Q0kle81EN1rk8i5gW3Ihl07mqmv0+pFdSE4vtkYYoEP0
zMIwJmsbV3g9GoNk6qAZ+H/Yx7cwrrFkkPS6xf02Io7VvE2tG5/yMhEvQZVmuBjGclOEEs1nR4JR
H6g8vIL/1oTPsOgSo34uGegibEJyNYe9fRhyeYhjYlIGs97bIetx02nbziDnYER81AM1XGDQxRGh
zLfadJ6CwuMNtNek3mE8yAVn8hpVsCdcc1tPE5Y5TN6szjSPC0a6JgadtUv65MLw63I9M41DMdtc
YwDIvMRt+kSi43Sv64/IoFB1aclNVAUh8bneLUH0ZL0Y+nlCGMqOHF2Qa740ESxglz3OauHfu72N
XMwdGXqBZjzkIApJT4xGztONWDd2ZSppQz0s3FEU3DPG63wt2sWqcHbYxOQC9DeXWEQOFTAZ1o1i
vJ3dWG7zxkpux15cihJTjpeQ2unTqQS7Nc/RhlzD3C+WJulMUGqxSNXo/6m/JU55QtLdFaUQCQb4
eWZJdHTp33NWL7c9IQ9izYOd7/O670noK6KD72juObKgAy1azz8nDn85P+tV59/qXYjWz4b3mzuf
g5qR2ABEkvwI7ynR24DAIuw7XpYtEXCfUj/McE5Ol5QyahlO2beQNGRmEe1lyiic8DdI2gZuAg86
Yd7dO/u6r+TBsDF/9/F0H8YTX1OWba2Qf3g1+/hod/gkJkXiiDr8kzaixE5h+frBsM69XWqHyZRk
iZmpeQXrxf5YU3+IBu+QuTQayDplnLYnLIccJnjQLn0xOJu6squjY9EY0oqC6lm16Ny520JuelZu
7VbgPAfn1xwGFLGLtA/0jW35LoEg2UbLvK8GJDEnzm6LDpWfZp6bUjJMM7TyhgSNaW8opAZNgZ1m
43rP6E88CKK81q772mrjMUqZOlryNIUFHY843FbjtHaoEfjMF3fKT3aWPc+9drT16JSF7DBRZ/vn
3KVozJzSRD0b3NNPDPZwz/eEIe+Sii/JDeWhHCImb7H0F1SenwPwZYvWiS5jXwCIzmlwa22fQdUE
Zu6kew+bkAvkMatdeniJjgT7myMjlpZsQ1TtBhngUvSYwwMDzAGO8ZAUIAlNiqgUkiUQaIctwyc2
4Q9uKi6G1X1weuHykHqFw5nXcw6+O38rK/2OmPe97FBaZtnaaUcTbtNI/EGyjPv+c+iYW6cGjheg
ZIiR7jVJfucWxlcv4R3OUvO19aY7C63oipin81QRVJZYaLBJoYg7WIeMmhkPL3sI7kzIs5d5mh4G
9TzqSbyvu/A6F+MlUwzDONj7Y7GTWYGBhsuntrglVQCY8rSEnL/P/W6luaRqztoWkOFOMqnLynjn
NONGs9UA3oheHFeFxJQ7DetWEsr1VBaXvBSEsItiC8iLcWcXXI0WKH0f7EbhrrJCO3Hg3ExpREFg
LBDqLiteERiXS7/WV9A5ln6bvtbpa+F3d4CxeSIFEQ247weCRzhyYJJa6RbXgHJg+TCjLfe+aZ2N
RVa4HYx31ug9pPFskMQErBok+DaDTuf5Hk+gDwVfio3rZd8mhh2scBtO5Gg13ZXjolUnO30PdmE3
zvUnobcg3917xyk/uWFzFxAs1mVf86l8rYRASjTqC2lGG0i1m8YnayCw1oT0LAOTjDwgtEVv3pGg
igcBCWstFgIObynETvP6ndugbw3T+xiWdAuEkbxe+tfAxxy7XPsaYCrRbXgVbxrP3YCZP5j+xAWr
NXEz43LMm1VR+TnIM+OF8J5P/ChaEPiRp8Yql7xJUG7DAVfh8LnJG9gR2hH87X7WJDowSbhinWxC
0LOLsPQrUOETDAhH4qEAi93lz23l01mUe7pH6zK0kLG39S537b0YM/KGbaTvcf9pqMVjUcd3BbJX
3xph0XfcO28d5O1OtjZPp8SB3d8CBTqWiB16DTdqJHfu6F98c97nVnbofR2jAIPKvIs2WTpdoeNS
nA6EObq3ce2dTH18Kh1ELDUTTcNzP/i1c9vUzSVv7LtupEUOyuy+A5zQlxwJa+yvuZ2eUjsArFWJ
xUCvpFYL1Vx8mpIW7aq9LWmtdkBFYnNYNoMqenJK5vxDXU4H3YCGaMAxh2zvfwkAQ9w3wNuXs9Ee
apoO8wAhksgbTYu/cvL8ELcZVS2KDYYS7ZOFHszABB4XZDdG+lcnw+3SVp+SOtxjJL6w3kZrUSdw
X5ojUnveS6IKlrPQn0K7KTeemTxkdQthbky2ialf48TFjIO/iKaruUFVufMTZzkYGg7PuQBJzkkn
GAgtmIxVkiIQCfMrB+ht7I+AGaevpYb4DZZ8i2NWOeV5AzDKxb1cd12wrkMtX3LMpyTvllnKJjF6
+a7X3K89ZiEYbduglxtcKmvwG6w/DSeuYJw3Y5YfpzY41q39QB9Lae7LZd6gUo4wKhEdcyCmkGed
MwSzglovsJa051kbnpq6fOlcpeVp6Ean47m3OKxlgu3vh5L2+v8D1rAZDhsErOKr9rz3A6t2qOu6
i3LtIjKaKsmiSO40Die/vogSivy7q8mglzKUCTR0EdOitP0+NfthCk0/UDi0ZLXL6H6paUx0T2Px
LTBXWR/+5ko/K3h/vJL6TX64UuEXkz77XMlwb0KLDGCpr+d5Xzgf4+45Kpx/Cq3/43D/3TT4nx+M
t4lhG5NrenFvL2fQZ3H9tAiuvfbcdseK8NX05df37mefiGqZYpnLYN18dwnfkaPwGHJcsQHHw7ab
pnUKTz8LthGYIKO9+fXlfvKJMGtxaAG0AgfFeXdiUL05YxJtdIXpsYhMIMOgy5LffKZ3Q3p1295c
RP35D99S42ut7fhcJK6xO9en2AtX/7ePoT7mD1fo27nta3gkV3qRDlKtpHjw6Wv++iLvlB1/+Rjv
vpoyAQrSZ010HTVzgdTNi6741ljgngjwdJqLgZvj11f82bdDT1wY0nbQTL1XHyQRHrE81qOrrG4r
ESzLdC/9b3//GqYjHAumg2EA/n9763wScBy3r+Nr3oSMq1cyL5bYC399kZ/dOtIGGOwCx5SG9+4i
BZFZMorGmO/nKXdOISfFmMXAI9UTSjNNysG//fUV1TP1bg1iifv3Fd99WYi6EIHqE71/qE6gRUwK
qF9fQX/77Sivrq1LCxEvDgIIGu/1ck1hhUk46tk1PgEb27N5noulvbZvwzt7CUJh4y61za+v+faS
31fWN5/q3XrHVAeyd9nH195B9cVo0cC3YxS7X1/l5/fO4pawc9qO/e7bcmb0Fi3Stivgh6VBm9dt
f3Pv1N1//+0wk+Np84AwQZZ6+9CV4HOYfDFMlRx9J9eg2nyOMNIGcfybz/KzO/bjld4tcJyIixrT
c3zV7dfQvbX9+2r+zfL280vAKgJ7wpsk3z1qkZ70rkXW8zXPLzZyqzEyFkbn/Gar+9krxMP251Xe
ffVJ3YftFHCVKHlJiYYytXVtbWwAEYDcNQKu7d98R3/5WAbxoBIQF3wmAIDWO/kWvFZZZrJIr22/
rernwVlX893ffNDeXYJe2o/Ldt4H3NAQ0zlhfQtdA0oZ27+5bX95lr9fQs1xMdp49NneXiIex0xL
OWldm/RFm/eQ5n9zgb88ylwAMDSwMpvGG2K3txdg6ZSDns/ZlTov6xjGxvsIf0buvX6/V/+d8pu8
kv+5K3v/Of+fBY6K9ifMb/U3/2zLMs4nfQxqmOHR7H3TloVkxONr8DDTUVCarz8n/c4/GPMbxr9g
RZJX4N9CMWgNSq/sUMXavHd/pzOLlYun4N8LHkIxz7AV/tY22AGVFuHtUwJx1bb7xNXQqGQ4q4p9
rxy0eeoAvtRJYEnktNOYhS7jMLsVyM1UcHi5GDAnDRPBsWncIhxj7lGCpF0Kh9QwY5hIdakgIoOF
/jJkhOHG43MpqvPUmfsZ2sMJyn29tpiq+KX5IfDqbaZn8SpoEQkRqLqk+/ji6GSUS6fBBiZuPfiN
i8H1bRiQNVYD+W3Eqr6Jh/I+M+IPUsf0MyczVaIm53XmkRjRYUWJ9JIxETFicVCSYwNTOq+Sjhe6
3g4qdMzC9bxoOoaKWLkRKalwsnkgD3Xlj9Zz+T27LB5Ujhm9AxVqViiRDKI5USJeVWoaD1lNofQ1
pVLa9EpzYyj1TTWZ617pcRIlzFEKHQ/8RKY0O52Iv7aIeHyl5kHzay/M9ibtPxgNlhVfqX4Gj5k/
QMp7qRRBJF08x0ojNHpo3/CX9cum6I+O3zSHSuRfQPDE4FpSXNVrRkFkDDmZZdxWSQBlKZRgCCZm
ZiEZlbJj1DxCkxqF9Sm3io9ZJItLSR75iTC3aalJb51L72IG5T5Pi5tGJ5q2VrJyeRht/xMAe71c
JObEOSbeALcSewIS0YfxudffQ4N8pyDKLZ3NJb/Poxu00aGPZLAuuX0c/H1t6Q9mdvFd8QAiigFS
KTmIO/JoZVGbLNqhiuB2aka6rlPHcdb64JKEPt2KBoqBcMhDjtE9retS3Kvujk+C02KmOVoF3kYb
DXCezi38772v1Ok9LEsxQwFpg4fWzS6jB2pgNGjyiR4SlkJuod2KbYDHWfwI0vwBqvl2GNyPmTaT
x1M3u7ELHsp8PtVDdI+i91PU6jt9pMsWp2FJ4oddQ2PCHtUzQhU6I8tRTicHu/CRrxwSURe/xqNF
+4bfTZsCe22aA3JrAz3iLLcYKZ7Bqq59hXxtu/Q8B/5dZlflfkKedSKD4j7qhi+51sCleKg7XV96
lXcbhPGqbJj5laQIOTrimXiggxFvSY/aRVPMAIGoCwxKz1kXMBmVzkbFmyzMqqQPGkRKgDDzhA6f
PV8v1gKXwOzMN0TxXULhPhrGcCwajUTqEdGE/QUnirNCFHo/B+FlwM1X1cMptPWPaSX0tTCmTYXn
Zxkl2o0vvC2xLVBCW1fZF770gBbW5kBGXTDBp+9x06f8Z1A6hrZrF0Od7d2gO/WqoWNBdR/Blxxk
QVgxyc6psdEBOS5ROufZXSgoePFmBE8xosAcmzqaZ/FthgiVRP0TJrrN4PXryeVXMN1nUuiJILE0
PDbtytQ7xtLoOYLyExgyQkgy5iDkBp5co7tz/x97Z7bktpFu3Vf5XwCOxAzcEhyLRbLm6QZRkkqY
EvOMpz8r5ZZb0nG7f59rXzkciioWCRCZub+919ZrhI8Jx33TmC9J3xxGZBqpDVRpehbFthHCmnlr
FH4SzMtwsocxDia72IVF4x3Yze/jzN0lXvacGtk1Gv6ji6a6kqm462IVY5SnuKiPmeifwcnfNwnX
Iq+Gz1bOV40C7WQwLpPM+0M06/2K1NFeGnjzfeOOm+Sq7OFLxE13aUOxJUhJtUc/vORGzSDKktuh
FTclwSKYpEcypOQvR+1ATGgv2IR1OGfyZdyPKK3+kl1Pfrfr5HLbDVnHELwGvt9QiMkt6+VsElr5
iLXkjWJsxjz2oSOYgDx5FZcOudP4aWiTe9trHxAh5Ipz83awY0R171MmKoi7ZAaXvDxQ23mNf/Kq
WNSMXx+RC7Mj2am3SZr3vowovMRqope1CFJH7Kwh2RZVdaHN8Ji43td/9ia/T4z/cm9yIsv1mS3I
L6BT44dtCQZEhaP3MarbgsEw//THtFj/jVA6iXS2BN+Gwn9sS8A+cSoigAX5yVZ7kD+2Jd+AUOxx
fBM4qQeS6W+xuFX/38+7EktZ12kGpHUCF+S30PgPskld1vgT4jS+qXumKvs6G/Ev2O5Fh1XE7iPS
FBYeVOhIyU1fLcLHUedaIcbdqWu23u8kFEeP/K80cewbSlXDd1KbqdjQDinhNOIDDK90Bneg8BdN
i27AQyU5/hYrpmZJ742J89JiL5Ia7tYPiXFiOTNxI84Obid81T7DombuqYFPm6SO9y5GIMo6Upve
9ok09L6OGj8NihxEj1OPsgGyJokS9ibEiE1EQRSuLo8H69IBWLOBF+/+ufV/v/XZJv/nbfmp/FOf
BD/zfUMOdAHplwMRW16EBJod/rjz+VI4bKkFsr/jsJ5wpPpuvaWeh5CN4DvBYcrkAPrHrW+qfh6O
Vz7OW3Id4u9BF0yfb97P9z4Vl8g2mHTAo3M4UP/+w73fLkgDvd0758hk5wH5CCgJC1FcW2swRQMc
9CXsebZq1BtIGtNDt2TQD7hq0yfpt8GmkCevT0SuSCy8BjXLAMstxlQ95v1NRKodewD7XEkAomPg
9zz2WAbXi4gsHLOZq/nVoYVDBMp0sJ3ptk9dbFSxBrHEBe4V9FPxzC6XkCoeya5w6TZuhw4wEdFS
LH4QqCKt3Ya9eEgL49QUDjQDtvfhLO7geWMB1NkTldDLqjI/FnV4rY/TE4wv0qxuGa6qiv7k6iBh
R65AuRmrxEmTIHMpyJGTizPPY4LRAwTFO7U8565/owviCmpp0fqWti4arlaoYhVsbu+qYapiKFN/
wrLZMV1f6ZGkAVPYzDbnm7YsZhBpA0nZ3ieDN9RdYLrLtIZzJNcEM6masRnGeMLYEJUHetXrmJu9
4QsspiMuN1xU+CSoy9a/TFNVBr3dboFI7BObOSUdlNcAa6ogaZqn3sZNmtbjddsjjgws+5ulNO81
ixIutzfoSIezqmG1DukQOqDh0RNvlefUKO/qegxQPY4JG7d4Itgy4O6E4LKZe/kJWNS4auIBEAzO
E5mBVWbfQ3XllRXm7JU9XF/hwrrbTekKslu29WYXv6/ZndjogumXKsYN1kCPomfANykqtY/TDDwW
zWLRDY8zor5+F+h1dzX0AJ9q0TxHJaaHJbOP86zfd9G0oeBnAEdAmUeR3kXFcJ3YtLC7Ca3hzpLg
agRwVEF/3zdZGAdi8m9IU7gbrzY/Sqm3e70CA20X5dnWKfSMzRxPXvbIOfgpT+tVWdUXLa4YlvoZ
zX+SZ6snU3zO+dPowvQD2NEL81VUfbmmhRuUrryfMvuAY3NeOWqiHntI43Ob4tcVRnwkoq4DQ1jE
Ph7H54L1cJ0a3fMUjk+61T5YLQebqFl20NYuaWtDPcPQYXefJprCQX8wVuxdwEh1psMs4fxrdv19
mHJMKVO9Z2obHaLWivZ1V9/1zvKKH+CNPqOE9DgQKz9N6k06WHpgif5xSJiW6xncjdKJrzStvBKu
/14snDNEVBuBUer3qPDbpLEeKB/faWZ5M4pkRNAz7y3s+2svFth3JzroYuuUuBXwnyzZTonEHeQW
u0Kf3/NomfbZHFEQ3VikPT0/KLSswNcgy23XFa/Q3ECXKRaInBbv6IsZO7jOSFEsjSrC2uYjB5zQ
oBgAMo2zcjhXy3a+cA5m+s++tGzqc+W6j0y64yvaIuTG0aePLPHvUlq5VwqGyviUAr52mb+OA6TW
YYB0EEaGFaD3ekHVKpSDS7w5lP09iWVuHTJzcPI0POoVJ9R6Lu3AKoH9RtO7E3fFpqNYbzM5/qm3
65OuWR8ZHo11OUkLLxUWXxuvL0nJrw3e36hM9vNSvhbfTMG4g11lE+ZsehTKOOxNGumB3sGQYFiH
qAP4QmOWKqZITzrOY9qfdpzqjtByGHXToivTQ9zV92EM2ExZlzHeX894mR2teqiUudmcSW8JZXj2
lfW5USZo4LJgurBFp/ijC2WUdpVlWlJ7YCsT9ajs1MkwPvnKYN2XGt9pZboukux1UjZsiHBUf2HM
zj2zpHHDwCuPa9sYP0Zl4naVnbuYrWPs5K8T6MKd7jPHHzsDEEf51JDRDsyW0g8L3TnC7TxneD8X
E7NAW372DettacTXQedmqArnoWq4YGSHzbUtO0p2oqLe1rl7MxDHiEzIVloEIVLK4Ywn5o63ioUu
viy5hQRsqRj1oMFcJqLgsrivY08c6GLDqBN608Ea7XujCl9iF/ZCI5OPfMRJEFrUK+oIr/s2Gx7N
QjEa3WnBrPOt7e2fXdLvuyT25n+5S+o+YMH8yRmBn/u+UyLkiqGU2QGzELVR+mGnBJ8dwBTaNSqM
/buq+X2nhHSJQonVhNX/hxPC71UI8NeZIRsEnv6epdRVB5Sft0nYkaHMknWiKYPo6S/CZV5RyzcD
jjjn5jJsabWy1qVwX12CeaXbP+OgfsyW21DhJWt9Y8D177voEWEoC3DemZD3snVNB4BzndIHYI7Z
Y64KAnRVFTDTGeB0OEFn2uwr2gRERLkhSwsm1SYEekj4kN6ZN02VEOiqjsBUxQQ85kJiOilu/MbZ
gxK8KlTlfGrSPY9vqKCLfsFbJCvK6cekfp9pq/dj8x0R52VSNfZON52wT1NsryruK7ru+x6hgrPx
8DwL7y3BIH4sKj1EGINQLqr0Mevlm5jdBQ0Lg1gL38Txlv1SG29Dm5/9AlS5496jsGaL2NQ+5AQ7
HR/7OHn1Em0/ivK5bbToyqVa1W+tIC8GagxBtsj5PM3J2eqVUqRo4kn8pay6C7tHkhvOePaTET00
MQ4WNGt6FuIZY5pxr0AI+O+67BVdkodfhSwFjHXV6cNaWrimOhvMXJYaOIMsBBa7bcnl+oUSBnHB
aNdOXo77snMHeAj9ZixT/HvONTmFBTppzL5Gyn1dyi8NvpV1Z7RIeI3YNc4SB/bQ36D/7EXK8iTC
odjFBQ68BJMqUHWuPcYxG+6v7zafxDInEGAY+XrLusRxMzkh6NOeLFWXXGTln/PKWjupzU51Tq/H
iBZjuBpAHYnCWfj5pLCR4GIe8IDzp8AZAcTLDDyLdKmAT5IuD1iIudkSH/NnTmyic9/xfQI3pEyH
ct4gVKI2ruXbUcncLnq3g+49KwHcqtO7QkniMVdOQyOnTmBVK9GcKZ93XWv6QXrlqUJXpzPqKUZn
r5TgrivpfVEifKnk+FkJ89T+HgYl1Q9o9rBhVaSCNSBBzw+VsJ8N0x5yaLltOHCsltlBtC4PppGk
ZF6wVSLMlAg0FkJwhmBj6xJjIfspsCHYARF1UsQdaGvHDrGnVKoP9uMr4kHXAjnIULqQRCDyEIpS
Gif9OCLihoLkICWNSEpVrz3iiDmIQgHorY/ScQ6ZiC4aUlSBJOVkNR/qMl5biFVmX556pV5hq7uV
+bCbQqi/kGALZK7KLw+6mj0if+EUvIos9LBmNo8VAtmIUCaUYtYvDXuO7mVUWlprLWyraGpXKtuM
3NYgu9lJdURT3FvZ3PMOUeZSJDoLqS6qXPySA15qNDzc2fdt2T6zJB7DKT31iH1xNN8VQgKj4kuf
yRiqYvIcIQ/aUQmEOfGQdoudoxTExO1OptIUOW+Sqo4OnDJvc6U6RqIOYmTIwRcvQumSnpBy7SNV
jrF93TfwzqBLxSuGey9IEXu3Z61G5qSgj8MZwqcpnbcFIXTUyFYjjEoE0oJqp1YJpm1EKTgS6tKG
L8k3UdX9JrAaSmul3BLZ1VMK7Ky0WFJ1cNAcefSRaS0/O1Dq0q00BNw4ji8Wgm6olF38cyeKszG5
KdFXqb9aI88acnBd+udG6cPeOG1zpRgnSMeJ3l9PSMkmorGupGV1CU3E5grRuWyjDZVPRz3SnidE
aVPXzyIjrOO4JOuQrQ2lXydKybaQtGulbTe6vS2U2l17+VuF/D37HH87BPEMYTwrqnHdIpVjir2q
kc5jJHS71W6HxNEDw3pwox7czfIple79orT3QqnwAjm+youTpvT5sJYbC8Fer5wdta8rSyn5aQcK
bVTqfsaR1jCij0zp/lhVxHFmFKCrmYCuV0wHGBO4al7ATVEFhpohOJHYtwwVWoYLNUf9mWFDyNCh
UNOHiTFEMSY73vNDNMvnro6Hw2Td0LywTplfGKkDZTqfdrZVXkYmHIkadXjOsNeYfXSLd2iYhSxS
R/T2+Wj0i6aGJTFTk6E37unc8QCjAtD2GoUA0MfbynRO7bepC8MmJjC9GsbY3+YymL+ORoF9PVdD
m7h2VnmNP59+eb6daBQEMVZOw1siLr9nw7hzo8K/gabn4SGntGPREiBaQw2Ubxim1dDnnwaCbpZT
pFtWGGz6VLfQ6qgC7dRll90+jMmPTYoLXQ7+cJXKiWYRbf5aNC1xCyKY2QwPyUwbfUWS3tvYUj4P
ZWRwYncavLResdXj1tUgFTsgefLoGtd3dSnI972kugul1V4aDerEaN+2Y7FgPl2IX4zSIpEMJkMH
LbHI9aJr1yQ8riBt3RhetrWmdOMay1Neh3dR3dCha5BOMekRkV6/gfD8EjI+VBbPTaO3wGwymi6s
MGM61n0a0p7qCe+VqeNpGIkbUFcOem7bMdYE8/WA13hee278zpP1icqiPfmYi7CnjzA1j6T5AADE
uFETdv2tRsHTYh/dJD8B0DTZIeeMxrC5Vnh0e5ZotEks0k14SRE6JGTkrs0SNP/lUEXOtT0le70B
8pdVh9yH+lOKjMpOevmc1Lz1x/y+A/c+lDMQsaJ4oPG8QJrIjhw6D0JoJ/qzArZCjNPqQxf61HvS
u+zWR6LCz45lgsbVrxqTldb0oBRWnzkYb9Isup1CdgozlukljDcNp2G77j5yeOZaQR0wN90EhbL3
5Wey7mANqR8uRXLXQM13jCTwLfQtMyf3OIn7NtMUZVfTAkaihFSjDZiwbTgwk1UVfL3fbrtU3+e9
8YILJpCpPm1tjegJbA62FvTvFLLm6Z69SJOmHB0Y9sh81c8QfvtIAkNLn3w/3JneciMG+J1Zpz/M
I+CPtHou0QE5OYNA04bkS9iUQzClYw/IwjyPtjiHkfk2ic7Z4LjYWJCHU8DufiL8bRTBLs2Wj2q2
z12l845HYh6Owc0SlaONsoTCFc+Vvglnx7uUtLIUFnqCRCuOO3ErLe1adjT0aZG5bVuyMqEd66uG
tup9PDuv9kggxedJg714up4mj1TAWD5P1L9WmvNqGLQaV0n9InB6M1Htt1k70IvQ8q69UN/76tFT
k10YSj/eR41MA7Anp4r4SBZpy0WDZk5HeL02yBWs6ybnpDi1bBHh/Vv830zTlz7U91EyVTu55Ac0
A0K+XQ9vUq3atvUy6XzRUgAa62bC4l/P1lnPknM2ZoGVWkyU4qW9rrCNr5LJfCZyFV2NTXjrt/KV
KJC1V193YJuY9ApWc+xH5qsXd/dFZd2iIybXvlkAT64OUSUeDFKxS2kLsgjQ+UW5Fnl2XUcCFDLd
NpGdfwUugw/ANDjMeg9ZV14lnPAz5MBBjtOmNbqXWa/v/Alqd1G551SPzrmbbqVrzUcKDZ9q6b9a
k3mHNbc82mZakK11KCXsrNcl9w9+q2v0ZidoMAO/WKv1bclQc10V1rCHcU9ujBgaGXsrF+b9pKcG
x4imQa0Fl2oZSHGmo20MPQmXf3Wi/P96hi0OdY7vAONijSf9J345QBmJEJNhFMklrXAFFad2mVa+
df/DsZLBIrG14se+xF9MSP96ERivIKrIEvwqZmchhF2tbRMqAg5acRIUN2nWQzc+/PXLcBL94TAI
bUu9F5dRloWjV/Eq+PcfNPNQCJ9TgGDjbnwdy0fN/C/u9D/5/Sj/tDFaynZm//pZtdQTl6WTy0sx
cqPtvfD9b//9cLwMPiE+KBW6/Pnvj1wl0Np1fvE4d9g39r8KH//jtf7FvP2/Pp9frjXgVB35ns+H
SLOWB5m+bdy1hd7+IdP1X7+VP3kpxWtU3jMbk6b/y6WQHnohtdDZRaR7ogKdWFUIqVbAMgyW4K9f
S/3Z/zYvfbvsP10WtIsfL7vQkxyLkJSXigq/lh1dwFeLZ+o8bP/6hf7sTf14/X95U4Wb+jjsf38h
VHEI1VO8ZR1RS3H1X+419Uf/+qYYfJLmZnWEAKP8lj/cy6ZdGCULb3FpzW0o34dpY4ef//rt/Nnt
/MNL/Hq7La3NXgmU0qXw3tPw1dL+D7ezalBmVIyXFkjaz28hraXdWbS4XFKegAi4cv4/PLyYkAlH
4dIME6bgz69QaFTNdY5eXhb3fXTPvZr4dP/l2fVnF52bmGG3pUA9yrn344UALUJHpLfkF8JXxEDV
xMW+HegKY1Rm/pc7+U9eyxO8DUNX/fXoTz+/VowjyvRTu7jE6ky9Ae5JTxqE/pI91t23i/+PX1Ol
Xv6z5Hl+r7iL/5clgp/5Q+40flM0chYQrJoWmYN/D4bJ1pNDMHis6ULFUfhOfpc7vd+wUNC4gkqK
DOmoOsrvVk3vN922VA+WaROxF+7f7JxUD5l/PxiwaipNlacQEW5mzZg/f75HmrrNLRuE56WqWhw0
bDFWjQ8brLLnRz2td6GiqI16vQ6r/pPow7fEmSgon6xja4eSSZX26A/1WtjzyV6Ih9mEZSlU7Rgy
JRcHOs0cerRsRXrA8dzY1AQxs8k/jaZ9Xeblzov8fZ8aHCgKa+U56KhNVKSkdMd7xy77bWfqH5pT
HMEQkHMZrOjkOsBStSoLV15tb2ZDoVU00p30VQh7dIPK8J7cyrxh43+xQRSu+qYYiBAOEnDGvAsn
WBaz7d/KNLqP2B4WkKzXs02mPZL0Hc6d9TGWUXpalr56LzpeZ7aH3aLRgGhCjoJyt+fQIrZ05yD5
0GmLGJKIjvxsddWLKNsY1VisesP111lcB4m0t34tP0VQhlXPLgpXu+vrhoxcCTMaM9a0dQXY+DHb
N2rqFHUUILbxurGkfgCGfzSFTK5oILgK0XrBMosqCDMUxQyAuD8697WeOLRYN12Acsy78Bvr4knn
UIyMc8qFkiO7teUBee5MnSgp+aIL2i58ayPvIdXIcyaaubfm8INdCsUhxBw938nXLZIuYQugQJpl
7cs4bGHG5eIBLZSU6mQfOMNNayuq7mAQ7knZu0FsE5qOlrYOyqQNcZ9TzgdzO11Vqb9NOA5sljiZ
N3XIHM2Oss+NzgFtqPGedtpi3Pm17mGPyWj3hkkCLSxeawAZt8Mo/IzHvZETxw+Lg9Nr9h6zyxiM
mpcdKs9eT66FjcayIP0bbrrrSlvW+6aNyvDeAyN1pTvxl0graXALM/9qqWL8irI5NHX0gFzLRLQz
9pZGfyfP/00b9/Zm8NjwD0V5LLzm1Lb513KivMVaxqOYhpeqRR5iAP3UGzXwMPwYwRBWL0PriY3b
Ltd9MV3nubCCxksBDXmQvkqa5Ub7xACWr4T21I26CCyqClKDk4sTWRcXlmLvEa1PGMXDOyhp5Wl3
uCSupQN/Qvjd20LdDo1Oj/6ECp7b4SEyaqbSAGaCVK+TTUMD4paiVkje2SmOaEuWUbzBJ34qpL/v
WKCD0dW+JGHyCJyopjQ1ilepIb6YSfWEYXutRRIHEkSQ96GxN5quvQ4WssbYeSdzYnin03B262TW
G7GcY6u7X9ylPXL0Pi86k9BksWghsi9TWRqnosl3UqBvVa5zNKcGHyQnaM2I7yjuoaYsmd8M9yHT
NtbsHask2foDjN4wTpqggImcDC6tCpm8BcihMaxuXiutu0vpkGDCvNzE2KoDx8SFOQIoSyjA05z9
ougcXYjULRqSpYxqVzL2T67v4yjMLlixgt7iqhvkbgd3inZZvrz5ztBtu7wJHCxhNn5rqaVR0A31
dT8uB79KPoFkAJuu62vQ1z7Q0vS+k/YnvyFf3U8timntPkUaXC49D/kSlzEQy7iD8cmzkIZVOe3a
Anvi71nGf1Zc5dv7zysuCYnu/f8F8v3PYIjqR/9YeCHmCk/HymH7ustJ7qeFlxCExUYYIuLvxNzv
Cy+2K3xS5jfU7b84u98XXuc39s6mwelWmIqN/LcWXo55vy68ngo2CLCLNsZHdoI/L7yuHulSNnZJ
mJdqOmw0RsCgZUasoijMmCL9MIbZVuKLL/LCwDVVxK85nvkcb6uHsY8WrbPb17RcaJdFCzfCylHa
oW5eE68vL2nSPM048j2fSmevnWeY+9DpcO3/rt91cPq/mfnL1AVMaCLRNIvioaAJIWl4Ci6qQxnl
iT1g8wU8GgNVoemCcqlCdEwaCPkvKYMfPUKdYUC6hCW2e+w3NB+CNdXgm04KdDrPqAyO39qUmOCY
GgbxSBsDfpp5MxqAUjvfygLnGzwViipTu5hGWH5vrRCr/SB59E3kmMIi/ewnvreZFZK1z8lxw5U7
LHR8HaQCtxIW3JQFWwEB/+Ro29p4zXyRNARk28Ci5yCpc4Bhkr66JkovpdYFigW7Ghc8zU7/gOOS
YsWsfsTcdqlqsgX46qn4SOotPVs9qZKiXxearILREvAS4Oussro/AfFhazKXwBQHbVc1wBwLA3vR
cOenqNvhSMqLMo+9a7JUzFnyZdDNU1Qs58UA0oFmRE1h2rzIjhxDX6onI9C62GPVFIYfRLi6tGXq
glJBgtsyBRnYpSbVIM6BQcFtFgJwgIgJyWeJNrWVe1t6mD/XBjKiIdqzQXOnVQNFFDkrUnLRZX80
zQVvmdUe64F7JuzbmzpxoPcgRgI4AV5s+VCOCix+ab+ra/Pk2nG27fxSC2oGyRQ9Fmvq9HZNqt1k
U9meFlDGKxs3CoMi585wjJNfSTVWGSYyEYBuDIYlK7NckpW0uhbVVnB+oxi1jdqHidVsO6TFKbLC
t7kGCyI1D9KS6aztTjxZdf2WmhA/dFSFue6ctZdEt9GoX+tTvl6i6Vy3/peGHDSJ+5bPsHUOUQ1L
cHHs665vL0nZ1tptCTF0+ZgnCcQkz9d+Vj1lYVQDSWEhY+E6FX1WXaWd/1pmWOzt5otXzUGDQlct
0TYqHNIRI8hrbdsIg5KW+JyU5dWUtmfIFjdDwQSFXVu/k2EPJTK0vy6O1kM+GWl9TvrQHSgnHJZ7
w1lOaPx4XiTkpCixcUuaDq9r7SpJgIj1dAObYz8u5k1jv7YayZu89x8Ln0FwCmzBwDYHQucwxiaF
hctNvxj7kC5Ddqn9LQ+7VTMys2PJWuEi5O6rwxuTqSnp+xJrcEdre3Ln6m4QztH9Uk0MjJqefPcE
KMegmojLhbXLj3S6KqGzbM3M2ckowXImcXEaRuzhQpM2nkjuHEwDgIDxnNKbnt/gdHpxreJr2Ygv
uWcgvJbyaSmia1tnyz3VTL5tk+moaOikcdPqk9drZDgySrQmj8eEEDd5SRyqd2v9Mpryw2RvvEH3
+ehbDbCVM92Z41wdzGJ408t8W1viZU7ckyfp0aCoYg0ki/2x1Vo7EjbPxeT362wstpU374YQlbZq
bvwEXDYxo6XFkG3X4RkAIzUrTrbHselfwat69PpwzSvTKOlbD7qwjV1sl+16qfWKxFE6bWrNOE18
DW7c0r+zZ/I80kqIJg3YpJBeDcX0SkoYgbbbrXmvCdsYTBA+3oy4Znbf4Sen/1RudA9OhP85qdw7
ao3uMj4T1gFGhxEkbtrub/LOgA+DST0cMkgaodushmVMgnFId3FdMytLJeVgHTs6fp3nZfXaVsgT
OzpT2w43sk+Go6XpxYYLOu9tY7pTvd16XtHSVCb6mrHuHhXa42vbRIcJx0GorTPPPMZY/KnFdd/I
SCWYVZC1J8tGcQP7E9f3RhLunGVugih2egidOkOZqP2cGeyrtRb0mI2FfahriuYZThpGBZtlurZE
mwaaWe96dtJ2Vp3Hkoh/pY/4P6Y7MZcbvDLz1mYuWNb+nt3n+BAvc78de+Mj8xkmgKm+zalL3iwq
DfaPgvHNtKXi5n+1n/oM0QoF488Sp/zkD9spYVCZjVkd2xRWzB+2UzpqBc6+7//CT33fTmFwNx2L
7IbJfwwbseIHHUPQ9q27Jsq0zy7ob22nMMz/up2is4LIKw58Ae/ofwWTzXQoWiwzI6Enj4NVn1Rb
xjnppkoHWGtTtwVm1/IYsq3hdUzzY9VO/s5hi7YCPpeoxyEI2sLTIQI6G07F+SqfC1ftS7Sj6JZ3
OzQWiuK6j9GpWzBl+KgrGd6bveac6FeCtDeY9baahvrM5nGTRvFTB4R+JAMJa9O74rt8hfv9azbN
T2OcX7lWdqklU2Xd2PsJtk4/JSmS5NTGpJKH/jJTdEakktJkhUi1bOcjda3H0dHeskH7GAdFd4KR
HUzjDAG1zL/UKn6WCe3ciaFfg+rHYsnzbzX4zqc5xpiG21cPpIupfoCWuO7n8inOy1vDicCt4cZy
Z6sP6r4bNlGz66NTlBzAq90Rf8T7EX4sysxS0EaK7QFI/5mi0u0ypc857NPQCD/Hhf0w2OBFRfp1
jqigTaRx66ldktdjExuilkNnhxLZwwnqZSzBZRMWqH2zXjfOfJ/jG1137mjtOUWngSljjElF7zJr
A4yb85AJ2pCogdY57drqon0WW+0q18wdBQPpHRYiYz0ZbBfT2aI+OIHabZfQ6JpazajLcQgyJnhX
KDl3JVTklcXsYscB7kCUKVk3ZpdgG0jtfR/6c/ZURJobnYx2yZ8xatPBKGGt8fENC23ouJmGKRkJ
DHpfW0aaU0zKsWvwDuRt5566sGv9twa00xd80K6G45njd2Lp4dbGMHJxRTIFLejbIDJmFihrLE/5
YiSPaBVPDTjJven4b1ky5bjPoLeOVmqstapvtsbsPfjFeDBzAFYUFjINRXxpdP1R60Oe52I0N1O4
FLthpBMitwjguS2SeVv461rwWdKBdJpw1T1wB6CVWW5JeEBON8VcthRCj9UDMOJPLSL50c2Mgcl9
/FHpMegraxYYcfSzRg8G6h5P41yzdZzzXb9vaHbcGzh67munllAF3eIhMzAPVXoSo8tUD6XXrbvO
0VZLv0CnS+z95FD00YcahjD8V5AxZxwnfsgCQXNzTlhgYyf4ddDjEUwS6i+7WbxPYRXU8fjkzRDO
zELMK8pqyXhbPqa3ydIOmuaPb1k6kjZf6nCdeF2xI0CRfc5Mu91L7CerpfausjGe9gPCzKbpONys
G5QVqGt+czuaengdM7c9ecN8bqliATHOUMYtE76Z+dBsAdhNeARpC9Q8GotbPcOYZU/L5p/16Nt6
ZDBw+8/r0fljeP/yZ5o6P/XHWiTgywIWEDzoTThBrCo/xAwNTwjwTqwolquAUt/XIv83m94DAoCk
/+if1X/Q1OlNEDbZQIVH+LtcWtP8eYD4TVJnXGz7jClxMvNX/Hyyp0+uMu0wmS9JcWPOLtIwAfzV
1PmP00IZlpjpx/ON4tpb5B038qe5klrgEppZjTHVzlCzxcrt/Ks2U1FepoGT5nzy4+wke/9pWepH
cyy+Qm7b1ppTrRKITLLKq5XXOkpCWHbCyK/LEazdEA4+hFTcI4KKasl4FZNt9uTQXbM1mTyD+66x
14b0Lhr2SyaRseblkxZSiYtMuh/r/jFLupvGt84JPo4d5JT7PJuoVJ2iczjQYj8O1WrW2qPuYUOa
CrL3U8l7XqikN1e11x96L96izYRwLIttEWvPfYXlBs0eztCZse52sShOLVw3JLDewlsY+zUxlm3t
AcUl/b/SLf0LwaFLm+kOz416vl+0HJBkSJ1j1QZLPaFvpyb7TioOVlGhpbSY2q/5QvukM4Yuu1Mh
SX8nPABHvSXtFlI8WlJ+PirvsKrPnJk8jP6yItB97wCvxPNjP5HdqLMgIh2D8aWPOiD9dklEbHJw
Hj/q44ioASy3pl207kS8AVkxNAgeUYqcHEfSWoclrl7ayq/xz22ydt4JOe2XcXA2PWTPVRpFO9b3
IXCXsMZvoz9aLocSuLAfVWqfpGj9FaSvt8ViGgO3DANP2D92RfGWAMYMbRC5rHW21R7mvqdzmE4F
Jy32pSG0TZxV9kp3h5Mv4H5nmFWpDHqeLecqrziB5Pb8Xut2/WjlAC1zCwV/WI3VeCChupvSNCRn
FpJ7S8I9mCxqSmvzOPeZvvI1eJCzxoZjyb0nbQCU6tQaEXljJ5KBxB45Hy8cD4tvQ1YoK4eCn2Lt
D0gtQ13tkiR2V8Jdbgoj3Jo9cEENeFDT9E8LTjtpG19Lk88MAfdFeFjbw+yRs/BrlDc3U0y+Y+o8
cmDLS9sgkQkCOxhk3YBSik0xdVc5B0ccjMvL0M2cSuv3bk42tJEcyUWt9eR/2DuP5biRdtu+y5lD
ASQSLuKeMyhfJItFFr0mCDrBe4+nvyulX2o1W61zO+IOe9AR7Sg6IPMze69dPtkRrbFvIn1NdMRs
aZ3eMg6+C1lcL8qOWkJ3knNQyetyxqXYOk+Vx1ij7uxDTYuGMX6rm3D1IeFu9QmCb9d9ttzgRMmx
cYz8CB3wOJa6xzs2Cwx6PUkGdn4xJz1DmGCT5G8J7q8Oxc66GfxtEQ0qvULi9LKmq8i2CAIi2tQj
6ZbP3TzOJGguyZR6znww75aetEu9IV8hDQQWp+nWnlkKjEXKnV47t3kenEO6fJrd8JB647UptC2r
F/D9lffmZ/ou81weI6ci8zHjAfQVHHVc+7F4t2JVq/XGLY/xI+1wyLFQXLaRfd145ptHm7eOteGq
8JF0Zo0hl3irCCT2c2uR2szX3Ba9pJWM6dWUeKck4VxBakZwaU8WYjYZwya3vZfRb5+TtLryjRpD
pGP5q2bQsSZOlcfawjov3UZezaa7BVESkjLVV/FNmRuv/kQnHSTz3VwUF0wpXwxUgF3aTbvM97R1
m4jLkAyvRVOGDTxZJJoEILwXJcSWzgmTVZ2UijlcMbgn12OB4IdcIyutl76sL2bDOW+FcRZ1xj4M
21ONkhRCq7m3Z4aXnXZeZHyXEX112YY66k5NEqQbrMDWdCis5TeVy78jfeu3LehtxzT/nev9A1lA
fdT3Kx9/NVguHWUGZCHAAgz6v1/5+KstzNPErH7lHSnY/PcrX+XfKaoXe3KkQ9ztf7Sf1icVdURH
SqkAU5PNwT+INqLE+NB+AlpCm6LzNXAh4VT8sEYPfKKn86zoLueUKfgYdZ/RlCPvTFpOPOJ3pzp9
sAzSirHyHaIaV4UF/XXJavoK7Pje8WASNxa6X7VM51g8J9D7gANn4GqObnQ9eev1Hqxq0YNC1oYM
Z4vAF1FxWup2QFYeMuRRfxhm+7No5KNHYDoEbE8i9mHZ5mnzBo2nxvqdxFRRk8cWIPKMUKMyz/9c
TsVdH3IUFySLcObY3H7tPseQ3XraA2tnbH/O0TSjQ5+EFzDsPzeFm6nK46o2rdfUC1xedEzWTAzt
rRBYLoziKZv0aS1jBLv4ERPyq4ed6w13kyghv7bDRsqZSaXC78ohQnsNcBY5Osdgal80bXqLgJrI
M/A2VuKeuL/fmPNeMTCl0q/odPUgbtf+MFy6Zf/ISffqt8WTX4kj5utXEIZk6SR1sO7ywdk1TnYV
lLRgIUlFcfAZRFq/LlMXM7edpFx9xetgeIdEo2XJJiB9pVDxd7BUNlHVg402nAukzly5/kUeoOAm
S2AzFcNGr4ezgKyKQFgnKC5fIhm/O1l9a0bBFrrxI/7YbKU7fJH8kjwdy/cwYJMROuZjZM72td03
h9Abv6RowVY+y4uCSwDzd0xnq4sHGVgn2WK/wZ1+KwPxpRN2v58i9eGkmW+k2T1mGh6MIiR1CTdv
16Iz8Ls23tp2+oTCgDS+srsUoZKrJk66/JpFo0uN7XWy0R0Sm4A9bqs2RDkA8BPwBb81hhXDUmAG
62REHcfK2oa6RWo4ZnE/q4hBgRJcxz7Q/mE+Oam1HXJr01USk9Hsu/xJGFP1djQW7tzEq7TjibOc
QSPBjod4avgdZqIMMDnMNwV58YsudzeB328Ih7+ZXfMsGhgZOyJlEV75wSpIGY32XfLaFuOjCz5t
4djli25gPMsLf1kPKnVRj3Z2BUig0MKdTh240pwkX+owyIkL5zKMOpAFGmvwcEDw3bvvOMAv3BEU
fNkgqK69lnQntOmCRCTi5ClzKzQXat7O05jhNG5fyGoq2S1TicqZ2Tt5qeJc5vidIQB4wT4VGO9W
STI8IOsH4F5rTRjd82Pw26NolX7fxr6+sbmP81unA8bNHKNE9uVB/g6XhosFVmMDbl+BJQ+vzGoM
ngD9r5uUR2ghYXBflki6Wftw++Bn1a1gFzoe9PtK15gTWeO1nmpnrDUixgBOb1oL9IUzcfVArvad
oxP6VEXkVeD9MVMkHhNF9JCyG7HHaqvHpnhMBgSvhzQvmRWAozJWo+286gHMqSXqmZpkycEvvHnt
J9KqcLcIJ7jVWydtngQqeX8VmrMIGTVktv85sSKM4zowKry83tiV/05sjW8dMvfU33fIx/o5D35x
Xarb7afrUiqyCEZ2NWP1aEF/XJcIyBTGlWbYRYSo9uLfr0vzk0fLDIWHvJdvcX8/prXmJ5O8Pv7i
j7UQq4l/cl1ipP1wXaJeQ7+GAVjH+020INf5zyrIyjamaOB5JM/TCNfmnCYefBzPP9fGSj/PnYZU
Jk2fus8yDs8if3pyA8Z/pRO/mj058dqA0msHqSTr15Wpx3u9rMr1GEcoNwCYFPecKfa0JLemCZSd
kmVYHNmCg96sn2XqR+9tp/uM03KL/q1BFpPjTMlpJzYhvJNq3aYNu6S0liR/1THBDbAtGAQhKGn8
zqOpjkqbrBGL/dlY11804rwpgfH2W5GPEUxQc7sG9iVFkNBM1E+EZmA9mbiVw5oNDc6pci6Q0Ono
zIZrw5wvwt5TmNMLtmZ7Iwj3I+r8pWWjDcAvZC2LhqEuV3t4UUp7q5faVUyJfCp997wtQ3q/gK49
wBlwkTdFvRTakKwnO4bNUXIUOlV3HNvmqCWjuxgCSQAbbiRK6mEdBiCTqORbDaCIOdVfErO9iVL9
BlljZuFYaPMrrUrmgymhNVTlJijt8JHQwaXTumxb/Qx8exqw3Q2/IGGKl6LENiMKF7dMR3NtZjea
bQ2s4WimnIpEhhplEFgIb1cS0kNW6rjw4TeuhJGHxz4Y6D7BPi6Y123aUStO9oBHyQbSr0/1wvQ6
NrICNWGkHcia2/QgHRkpl/Ku8Qw8Wsx6WVy6GySHLJtJTh+xZhKu65RPlt8hLTQ05HqLXATNspmw
Zf/0Kl791Zqg6rw/5JRfE7pdBOo2EjnmU0gl/vxgk0g/6InXxJdCD9lApIN4JsPeXYJLRN/974Tw
2/nHmfT3599V+vz6Xv+1XVCa9u/nn0rSRuFj/Qck8GFbhcSH8aCNs+OrfvbH+ed9ohMwFb/JQ5qt
w1z6cf4pUhO6W10gpmbmy6n5D9oF9lt/eky+jggthdRXQdpCYcL//Jj004CuTjrDsR0piGSbPBT9
dHKKniw5LzhmRhW/8orlBAaat/A5mDWZGlpGZ/iihfoGFIKErsFWPCA5Tc9TLJEO3seo9l/qABHm
mKpdcZefJHA85naFvx16/0Aqag6t0XnpzOjG7ueHEL0jNkOYIKKUy7EIs13ilGem0gJnjoKNePlm
TsUNn2s1tJAEa0gclEiTQSILRYE/24c28e5woCCES4K3uHEPEmeVLsdjGDS7wmGWwrziWoS6viGf
FpyP7K9Gge0Wo4JNlTcOhNokaqywYLq5NKuOA12iXxlKwJikcG28lu0Eo0h33aEoWpsJ62cAQyAp
Mw7NUt5SvC36yVt1prnuoNksqhpKfZRN+9mI5bLNQ4pSfb63vLes8Fe1GJWm84xd2GOnz9GyjMl7
kiZhc93EONTuWbnRabz3Ouxaw9k4pkZylB7eBwaHPNF8eJox+mFOYyapNJwOaVjOpVKhBkV9X2jW
C5CFcyKQcTHOK5tUpqox9p2fXIsJQ3xg2SeXn5APx3ShFYTqpellLb2THekvyTjrC3IRmKroarPu
DHeZkE8xNh7O1gFtYi43ZWcA4x+dcyN2b8mDzSFa6vdRH9PO5ARbmv4d6o5LfPDnQZ14iyZNidAN
P4+9dluaGKXD8dSywdNt7ZH1GU0cMiXLmvplXQbs3JSVVzTVF2eabvQODUIlvQO/poshdrDoAd6S
X7Agr32h4kS7eVM6qCSEJOk2JB8odpFtBc52jh3wunnx2cztJ7ZjiEam8Vl2A8+XgQU/C9gC9W1x
YfTpm88T6dVmtpKC4KDUPuvsaVfY7VuvsdEToXlroZENOPqhlVVXhj60EI5IWEXhGS5qbaLmDzsS
F01XsbqS+7jlhzTTCywspnwLmYlTa5drr8zIEspqb03oS0m9PASXoivux+YprfYm79xThnC8UBmY
Ib0M7AFJNzCF19NQe3s/oR0onGaEM4nAS+8GuewqI4abFTIt0sovSKdbD3Nw1TLJCn2Ubm2WVPNd
/3WEbPWjy3A3oIa+yX2TgSy2y3tax2ItGUEzZJhB9koSqiTTaTWmdmOu8NzbwuRigm247opok/QM
46KzzkjPwVdsPhW9hTBCjS7TkEeapFgbXU+9jLDSLLUoWwWuN964JQPzApv9GM5v6u4l4M1dRYzc
dUbvgHcpC2hY1rnthkhBAkyJzuUopYqRJKLGfYgY5IeuBVuW0b7dtvuIUX+NyThl9J9G3aZU414I
qgAe4GhorAlkmAeXKYuDRNo3/HSNbcVKoYkZ67Ji8Fg11KakevGHl8aW90VhPma6gyiS9USckt1b
VfOsoAf3VqggbzNCXrzdl4Pab+Rq05GE6YXO6oN/K4Bh0S1WrYVimP2IqEDHm8mXicVJGTv3ZUV/
U8uXGrnAUs+co82qxe4KHSFAaC5MtgRIatBO677xoo/xyWVVwy+PnU3MOKZNnLus7wfeEBMB4eCG
a5ytK1uNBpkOQW5kWli0vEwTr57DHLEJxb5Rg8WICSOgN6bsxhlc33Pa9AuCCgnvUUPJlABPpVX0
FmaUpYvOceOVzAzVarXvWkhmbOFV8abtvAiYnX6Zq/FnrwahgokokN9nbcouQialmhqZGuP0SmJ2
fDMR8kqHDMiikcj7SQBcOUH1OmDcg6eAmYAZ513k2udhWb5GM+sq4s2yW9TuOy0XdyS5MWwq+W2k
jk8CM6Bn16e8soe9k5X+yre7XRlzO5QtnKcBAXiW8qyBIKBsS3XGTCQmGRNj1TTI17QjDTFZaj0u
vq7K/62IvlZE8rcV0U3XAl76a0WkPupHRQR/lb6PdPivfHdAST86QoVdkhho6O0MpWumGPneEaqK
CGOSS+f3HwrlzxURgT262rWSD6osSv+gIvrrABUfEl0lfanE1UT62ocBai9y0VaaNx3Jhmk2upbm
6wbBWALzxPWrcxQhI0af3sKab/l5eRgGTkpUEJabAFxRiV9RqFsXYz5Wiz6GRdmxLGFgqy/TyWw2
wmixvxRkQ6LQKa+FRGBsy1Y7RzRjbZu4ePSoFJZk2r3mCAsJlJ6vs6gAUTQUpMKXfbowA+c4g6pY
5gW+FqAtyTIqhnmB9hnRIlHJcFnFdWJq6b7POEsz31rrdWjtNIfxlGWSv20kDLpoZnIL0khyYpL8
PiTVTcGSsMyGelVzG+/jURsZKsIVmluvPOodI12h3DH8Kb6RHCTOF27IbtUoMZ8/eAcdaV5lQr+B
5HmtJ5AkuvLOi6tz5p2fdQQycZnxxc6DIAQuvpAWCzxez8Ncum+zR+k1TUQbuqIHL4KpCFNTtdQ6
zAshOHwPaU8Sms3CcouNTx3maNUhF+VjHCl1Cfw9Rf0BMWdNL3MkLg2olOvBLU8RW9AlQ6XKvWpM
0kq3WockqQxVqaejxqlqZOZGva7LYitwQenesBV6e94Z3gaMxPvsutHacnoc8RZnZO0oIihi57xj
SA1cHQKHO5Q7L0CsPAj5AG3n0BHsuqpkue5HYTHfevcde43+UO3gg2f8r186J4DlmFj5qpVzsTH0
Fq5pKq78eqIWtbnxkXNfh/X87FbQ8wyyPJdhSrZWrRJJc5t6ULT3cVxcd3qmQ6EEk6mYkXO1sVJc
JKGZbzvDvh6H4IHiwgOn0lCBEX7Ya0wrXJvH1cU6xzQ2QAQ/gYp00jyCZdpwswV+u44q77704yvG
CRVVo33uD26N8hk0QmtFzzA1lT2leHZGs142I0iTRvPnHeNvSYmeJOsywISdCdxflI/lapSBXARt
cOP4zH+Bg4odsaKIlJB7djmloQ/hhzIA9g+0NuijwzXFPDxD01/kYwYGBVRWZoudrZJx+sAjCrxp
VqkmLNLQDYA2BIzapYECnJBJpobjsRi1fU1c4GIaktcu7h7izHwpp+Eqlt24MoLsnUPqshZBRj/h
XvbQLdaxC+rFb0B8elNzZZbmG+SzUu31dmY6vQyxdzmK/AbARswCe6ZSa3USaq1gQ9Z8vCmDusP7
Yz81RXUtAvJf4zh5j+e+2k3C384d1kCRavaikWTfeYGqUwMk/kGUrnETPuTwLIw6ZGbTy+dajz/n
dodAoi3gS0CVVYreQ1e493GtwRDqzwiP1Nf6aK3tkAqygM+Cdn/JcIrGyNOe2gpeTVxcFDV3+eBA
IGTO8tjOAgh9YHq7vsQf2GRethvwVC1YbcijSApXW1VKNvbvtfj1WlR9898PCk5R/w7u5e0Xs1L1
gd9vRkN+UlZswbkpkQf9dDGydLSRC6HgYVD5TfP6/WIk+5qqjHsP46xUo8w/RgXmJ5SurovzmtsM
XOE/ErZ66t77Y6DEfIJLlkktZHTbVirajx5ukfcQ6EyIx0VVlc6FhhiNh9vjbsz0FfCa5Oh1wkwA
Wfm05yBJ5o0BPdehiI0sjKB6euyKSlsQmaLtLSvnMWbPtRpEk5+zQs9u6EeHYzfK8kLl0ry27ObO
RDYkN9IY6nNZxHD02pFoERHhA5WuvzHimpxbp2qLzzT1KB60nqqyHsoF44ZtIgyyH9LceukZzn3R
zGg+icZm/eKFebHIJ4M0D9djJmdXCDZjhPI6hznakOQqyzr/VpCYd+pKLQ1v9NhKgmabOkY177Ft
opSpGV6bHCJOHuCKkh1iVwQRlD51uJoGt5ieqS7667o2XAQWRS1Q4sx2r19yVMfrzIqq+E6LZwS+
VZ84znIUbI2g9JhgTq2eZC4wqOZe9lm7nrl3Vw56xZpMULctq5WhBsZ6X3vWea9myf7XsXKmJsyU
GgybtUoNnqcoN83tZDTxfmJ16q2KWZ5mo+mdnVDz64JBdst65ay02RIeLFCHe7dyo/40xzhAp9rK
0beHPJjDIfPSKde+jSn/VRqoTcPfnwjf4pXq/Ll++2Xyvfron44FwyRBGK/9t5L5j4JZwd51fPsS
2z6Sc5138vu5YPFfgE94lLO2SWX8p3MB9TzDYabDgEVZxv6Tgpkq/MPBgIoct77tWAaSd2Hq6r//
RPTwRksrPRI0LrXEFStLPa8uovG9rZ7h/uvj3FYtEZT2pPGYI6HhkfeHqonvQISikvv6UuTq/cir
MhipZdR7M359hbpv71MwVjNv15hSUdNSf3vzTFsJ1pKvryQvf8372X59Wd22BRluYcBd5BqQ18Uc
zPFtVhBDhFw7FpjrdHLNWXNiTYvjcFOWKTsIdi27KeSqT63Ouc+NXoOPiJruvkSzhJXWKudpKXOE
znhLqhx4UelemUlfMk+q4ifNKq0dyBBA7syQfMTVRuAuGJlEB5zoRFNn/pwFSzey/aVXCNjderbM
zLg76JqTXTp23p8ylkbrukuEBKCY9zuMSRYS9cr9LPIMLJaH9w1DC1KwceG4keVgt06dE5MYOMJz
m0W7tHbm10xo0IgDOTX5ctIxE4tN51kx0mL29OAv3d5st1bNL6RZRXChn0AJGsY6QaeJUIJ4+XzN
0cdpxcmDLw1p5WDOs0eJ6/K/TWUdbB28CNdN3cefmcw2157TOODKbYMNDruh22woLz2zKZFrafw0
r3It6PV10CgZYOAXXbUPhdH5RzcS8VPCkgv3HWIq0p06bPpDrkfpTjdzRCuaSw26r4w6Hs8yJ5LD
uz24wbsH2XcLHtIH/xgW8M48IGaN1rDQ16D/JG7UPIamUdbHCik2M8n236XHt6WvIm/8/uRaRe/B
r1w6fOCPQ8v+hOdZd/+DBlEa5x97X4fIOAIlAF6qfl5ti78fWuYnNhIqMc75ERnXFF0b/vd/meKT
RQkDq1knpJcUi392aP1i7ytNsCZopiWvpKOrvfBPh1bEW9+EABgPwJ4Y4ln4RgOST2wrOcsiHl4E
zP3sIAiReimAc+bTfNMxsA+YIF6YREY8J2G+NFvQBTq2UCc1jCtUvXBH4h7N4aLpc++YFe18Fphd
Gu2rdhK35HZo1t5odFQonqe1x8w3/bNksvV2LZIkNm4iByHmOcdV2rx6eWAPh9osa+uaRLltb+fp
O3JEOPp51JG0Jtl7IJbgnva+XtmU+u1epoIwtXlm/rb21eJ6lg5CTqcK9XOhFtt1VcXeMofdvA5H
r8JZWrfrTp+ic6ud5IXvzyUxTeTTP3cN6QAMI33mmY4ESsrmsLsKhaX618/gFF9jG8mrI71sWdrW
e9lm77ZX0H/1WSXfIA0j7wAeWQXDPp91a9MmWkegZWAveqHjdRqSzoDxMYBZYaXyYGg4G7xk8F/H
CNJnY+ZiHyJDudASwTrIqNlrVN1I+VVWW6kYEnXPa50l+bi03BJqVQ2N12O9xC+3XNlsO5uhQbLU
Zudu5xES69fOYbKseZ9I9uGRANAnvXDrYMhe1AFGRXNyYzbcrHadPFmVrvfuylDbuv28Sw1E8FRZ
28ln2q81WLgDn6wB4tgflSIGi+fc07hb28LwGGu047IN6+EyMfFM6yHOFS+1xlUNkQkZaymOIFqS
GwQE5im37fw91mV9llVR/kByAsPyqHrLpz4+/7cD+9aBsSP9/am1Qa7yGjWvvzq5+ODvJxcwJCaP
qFV0y7GNr4XT95NLmJ8AJOHOUPoTMHA/nVyoQgXZUdTWPz7q+8lF70ZulOXqwOb/cYCOOpd+7sLQ
iXJiUbMxfTTh4PCF/3xuWamuu7Ffz8e5fahcf6FMTD/9YH4hHFB/wh+fQWUdS/4MHdyg8Kjm5IeT
Ef+RXY6laRyZ6LBOYZiE7sx66/vd7z/Pn7+Tv34e1W/+dAIXmlECH7KMo6UiqeqLwXn7/SdQk+Tf
ficf7C+BUeWiowY4itFZ9PLO8b4Am1l6Go1qv0a0tGz6p7LbddFVi2bUiN4pBYPgShTXbQ6SCel9
dW5bAaweFqXyuotvBtzdI7OS33+l6jb87VfKg/Xzz8KMNJ89mvpZmGuKxEVVPnR9tCwMeRwUuQHg
QjR9cciaqPhb146+Cdj+FqCo7K9/+QKQAVhqjE48lPigFslRNbW97kxHTpzIQK9UpxeJFCyWplJW
5dIDiwUn3CVwaGQA2w0ngzURdVoB7UjX5mWNAYXVPU3wpg30swEzXr1Ns0eRmWeDr2N4FVps3I1m
Fm/NxIvdhe+2izyO17Vd70uiOwEob4x2WvXttA3nY29H64x5oZoYkDCzrUnUyZiOzjHRS48Nu3GI
DZCjDmabkoVir3pkLWIA7W4xDZxTKvdylVi3JOtUrL3xsdJcR5Ox7IBzO3q2ZmI7VY9NjJeUXPlq
yM+NVl7H8SEes20PpfAus4j0MWdzXXi3rbRXkl1a3AMds6JAwpes3JXuZnJdJOkToqVFliHw8Sy/
WSWBvPj9I2J+1HV/ePHlh9dliNDytGMzH/WtufP380X7YG7BYB+bhXHR7rjH1wTaLKeNuTzjHtkU
q/FJ2wPL2Opb+xBt4sPvvyD18vzumPgwDpJp2qEv5pEtkj3biXxY1XC5NpX+vxxHv3oyfz6OPhx4
bpTNaRjyebR8kd6Ob1WwZIAjxYou6vff0QcQzrcT6eeX4GMjy/dfm14kjiF5wPBEgCoBaFkMYELA
nxwZ4vz+E/7qBGTNRffsElZITfzntz6zs9FxUlMcB0TW+fzSa1e//wS/OgB//gQffnY4vukhAyGO
Tb/qMEKhe27G5H/5Lv63T/LhlPVGDwAD4qKj15/P1Vlr3wr78++/j19dST9/Hx+Ox4m7GqmeJY6k
3qEowrlog7S59MLx2/fy/3sadYhe66IpvrT/R/3Jr0U51VEQtv/z539svv1z8F6sntvnP/3D+qvB
5Lp7r6fTe4O++vvGUv2f/6//8T82ldupfP/v/3p+y6KcxOm2jl5bQTXz0cLC+/n35dFtV6Rdlr//
+uO+V0b4W9jNGpT6rEdd4FN/9HTI3AgBR5AGsBYHys/WF5ehtmlS/Qhb2WXULf1TZcS/wP5CXQT0
kRnV95/D1bejhh/h395htvWrJxFmKnpHT5luPxJNjd5C4F1k2XG2wjNiFRayL6zFiCp+zuOCPFdb
LmI/PcgSlDzd5k7vjG1E6kvYaSRCx0hcxHUO0bozjbOhKZ+TTj75DS69vD2Ms3EReHI3h9gqE62Y
lqETPDVTet1zPa/tLIN1Z9tLqTJTCPgqlzOKdra6kFjSBLuHm7X5Q2GGhN4U7kVuwqkJsXx4hUc+
laMtgV2+2Jq1IXXqKhwJrq4tyEte/DgYPUKZ3D5i8kR52yUqMowQ284u3uA2IykaQ3QuoWMvoz4x
9tbkXrStszf97NacxvdJzodGei+pTyLJ1BdgHYJtYXeUNij+i94+WoVzlrZIZ73QujM1bcUs7PMQ
2pumpwOuDVD0g+deSa8+TzOIXkNyGQ9sujTDX3YWHBj6X21h1NqDp3hZBbs+3Yov2F3izyyncxMn
3D6HhEivRiJfaHvZRou9zyNuGHYKJJy4xWVZXcPL2mRJtJ4c0ASWt+nM8TThCMUJSgZRbTybBriv
VHvspf/AUHRjdx2eIrZ2bOayF4Il70qNHK5spuM1xvhyYvAPLLK71kd/XDU4Au8rubenhtqjdYMC
kY3TXwa6u/EHVmuZhbp36vqbcIrX/D3ADLtJV22V33d8GT7in2USaQj0hmJrRTo/G9dYFvoEv4rf
QxyjzQP9nq6KyUXYPJmnyC3Oh8F/o4aCzmjbt7KwT5ogoAl4xIWHBBA3rxMuw7JKF1EdnjRYilbc
ygtiImhoq/iW4vPV1bEm+xnImeQtzuv7wMNLRQbVsAz4pnalbwyUtfhdWKUGS0eIjSmVosrxybyP
EpD43WqmbLXmZKuDZk8E8XV5N04o67p31PnlStpQFXWnfCyKbO0ZZapCsEPMUsQYBAV6o3xEwmY2
NRhOGL+LeZyKBeO+8oAv866akxNcVncp9Rg1ZKRBHhpRh2VdTnRlXZzrxZheGFlCJkXzGNnOhSWt
E5TQaOlEjA80Y563WY7aOvfJOfCmnCfTFJ/LvLpxe37x1hDARp0vAb+iztPINuytk1e6pw6Z9mDC
8TF8f+/g3ULggKrAtd0NOX+EXhvwXEWQNItywE8VV3W/1ObpGdAc8XkNS/WUn+iiRR7U9tpKT4hl
nxxgcimMMnz12wg62npKTmj3kIDKRR/Mz1oyPbe9fRuM/W2SgrsY3atEQJoaglkuB2GiV420+8ml
aGlTZ61EU+HU22d09Xi6DGznnUXOTa5Nz/xepzNW+mtiiCRkLJIaBUF/YmywXmsHchbydeRO+Zp9
+zPgst1UtqjwbbBXusOwmsBdVmw1vDZRDTeZyhesGnLxfBHg74KGsxxUDuHQ8QTy778IlVE4Wam/
IJKRmJ9UO1Wd/t6oRENpZ9FZ4Th3JWGHjUo9FMQfIvI6OsQhNjGKPbJT5Borm9jYBiYFnfREnxhF
JIL8tlWyYgW9epGotMWuzZ+kyl8sVBJjEJHJ2PdMTMDu73xpj7uC4MbKjoqtx9EoiXSsoNgsQ7w6
cxseGyW4Y4UGFJcgSFA5A01YcVURERmrqMiZs5LoSOIaxLKY2dnrhfMcAL/FFnAm+OZWQ8Ts39K7
OxJ1jCUrsgp3PAGftUqqTBr/qbfnp7qtTqHKsgxSDckF6ZYZB9xCEnhZquTLmgjMztSQiJg1oFeV
j4kP/CWuU44KRGsEaHLQbYOK0Cghm1vGQ/eJaB/qygWOl3QPUqVwGmIwVijFw3N8aD04EJXWiW0E
pQUJnqlh7usmvsltc8v4DQNeYjwNCasQD0WH9TUOVAWDmqWNRUvc9/b10JzN/uMQncvQvM6x4dHc
3cdadhcRLWqrjFGbsFGhUkdLlT+qx/a7wUG/NmikCAbi1VZppZrKLXVUgmmqskwjSc6cR4ZrmZ56
T+wcNi6YSKf1PBk3uYU2T+WiRkH34LQEfepVe1a1l2waF63VkX/jBFdSBaumKmJVoM5dAuPDqT5v
QUzGFwBTDfIq64OnIloB/CUbU8W2zoZpIrBw+W2R6TqQ7cromGIV6SeypiLwiDJh9byTY/FORxAe
hrxdSIatmeU8xEU2bIHVKL5ZNU+XRqhHy7Dh94yoxYbPi5Il8pcF59eZ387ekRC84qjPGlKVppV7
Uucv0zp03edOTtN2HgFghphE1lweMaPVYJNZxkGU1p7T6MzGOpsQdrCoQQWvtFoimHVKToi+Chay
0XYkGV9K2QS7PNTfzUl/h+j0wpUDchHUy6Rrq8x1VgJws0kY3qIxjWKFZ52ZJyZ5KwiRHrGJbn1a
VgbAj+FIDNhk4NUfKhSeRlOAMUOD2mtMVwHaBvywy5dWPzOkf0p8Z6dpg7iMamyy5YgiqsuMZZLq
d/z4ucWN9B103FlPcvKmrMbrurG3sYuIxjIdsBijjgQLKSbEJOKKjWp4zFuEu2N6Y8lpZafWXeZV
eALjVrk294O0N3UEdJD3BCLkSP9e3jqFfOVwvWo9UnVAJ8XLyK5OhlZvOOCM7SCRx3gGtMIQYb0z
G7vcboWCTh0dSJYL0nMJq8LgtK5HdMOc+ymKghlVtd2ss5GxbWlDSIgK8TwDFEKtOjC/xV7EIP+S
IvexrsuL0Ukd5KTa2oBvhDT2iasFerM41VV/zpu7cyCQ0/OHdyUAvmUcpYfB4KpNjIvIb8/9tHiw
SuMR7qnK7HUeGmT6BT5Gcg09Ddsz0mbPCu4xFsPaRWY3R2e1rA9jEGzKQSSrLnKvQ4s5uq3Zd13Z
H+YRGlUevaQSXEaC7qAxpwvU191uqqcWaoR9yAx8U3bGQaiFW92KbAQ4knwvcTHo83lXm+YyINWJ
TZb9EA9ZdmX6+vx/2Tuv3cixbcv+Sv8AC/TmlSYYXj5lXggpDb33/PoeVDmlKkvCQd8GuoHzWCgo
GcEg995rrrnGdMPOFGxhbGR3iFQ6g+tc6IhwQ6piMRM5axC1sjTbFiM7pr7kxRg5w5hTf2lU4PGs
Zih9ZrXaY1435M8q4wFwq7nav/w0CwTfyseEM2fQ8XJphEipt4xn7fXYyH2m23YWpy3apZWS0GMF
7xX/36nH/O/lGXRc+3P99f9yObYWSP9ejq3ugGMft//r4iVuq1/p1fz5m6pMBTbHrD9jXvDrUBn+
0qul3xTMRArNb4AFrwXbn502qAMWfwMggNIM7YG/+rMqU8ELG/yZKIHRee3PvavCPqrKftY46OZR
hpH4bmGmFZlbejUPvFF5G2zALfaE8IKgI7uVD7H6x/DZv9Z9DPD8LEUR/2IqHIuYdcOszrzoO3kg
l0oRyus8nUki3NGisjYk/yTNxsin06RM+sjIwtz6C9qmR3gxZG2pM7UbmUECdnVmT054Oq2WhnxQ
n5gQN2uQKopen3RdECdPbUkpdcVKguQBKoRz2ihWMN9y0scFlaMP3gS/IZ3NGyVd8ptIrb22HNE5
9Yr5vkG/TLAI+RXMerdnyNyPgZuTyNSUieAXOWkyN0WzRD9yrAYb5fcsJJMBcQ+/zZqRZGX8lydV
ePC9SM1F5QY7J6FKrN/1VTfxKeJ6YVeVgKFO0YNSSYdoijgOZdRtKaGGylD7g6Efx16XbKMTzn00
fNFS5ba22puGhLuwGL7oLBicmmvgrLF6rBvVC9X6SJIgM6BhSvAk4/zhpB/YQmxTzE3OwSWsHY4o
Igr1Us77RhMfqySB/ZwZOoex+qIh2n4LRvnYT+JLpKfgGyoGkNSAlcrMpO/YWQFSWJY3lzo9QKQ3
TngcX7pp0vxCCZZDPVeHgXVoytNtB0fWzzOtcWNlge5fAZGITzkNNC9QSCYNo8pflmYXNPF1pNWZ
nxSYa0Mh3TULdVbI2FPRTth8o/ymbLpDpDDvJcyi/nUeWOfnJhwdyJObqeJRnaTYUzGLUOwU4HyD
3VTVp1ElC1dKQN6n9Bax3rF/h4m2bo6UkpMK/qAA08JAhIzpWqXtN3enmq2aedhmR1reDCxb/K7q
/TcmWk1CofWc4jgXMjtiRv2qKszclSY11kjSw/NpSMLeoi3st6b4NRVgTOtAFSXjrqMnmUUM0Zsw
cYIUbKoiHSEhXQ0F2BkYfQR4ey1KRq6T5kDmpW+OnezWCjee/WzbisO9tGJ7Ki1cZ5aesOCcSpE8
wriZ9jSZLhf+0UEqTjmwnkWVfFxwz3JLBIYw7aAgHpVA2FrGlyl4Ks1lT/CeudGS0GsMjVpQIohx
egGTQBcU0q9KKpkmz5dhkEiOIqe6DdTrEXzQo8J8I3Y96WipQJ5H9aKOtnOuUg8vsIA1rMxGJNya
U3unpgOJFGiyWsQRc6hkW4wBOsIgP3Qo0JQJjCcP0pdKiG5NM78TqpJ5q3FjhNUPPN372hL20yQu
dpvoexrgfqZnvW0arUsN0e/UXu2u1THZ8/0OWiI+UYhwYFPofREqHG1kpUrOJFKk20nI5cdyNI2H
1izhTE/zHNzlXZBeT4HR2tOUSR5jhw3Qqg7+gLAGWmYd1u2OtNVaFkR35LU4DpUWn3t1ISM3a4ag
dfoKSK5LUJ9R2rUFFcSsA/Nl0RnpiTjZC62se0Orn4OoglCWVYPdqVbLw6wwtjb32YFik5k/Wbvu
RJHx5Hqs3XCoTFuSkgNRhzd5lVL+Qrq1h6qFAmWpD7pOuq0+uHXPUdaY2mJvKpl+CqqIm71wAkz1
8kUNOVzpzJzxyln8RtqtGFYAwJM59cM5PCaMBkETD66Il3vpJ8tJAphmCWg5KCI3cKMeFaV6avsU
h1WyHZLuh9GMF5lGIycMYKeDwXqUkx5VyHgqZ5o9ZivbqrQCZcaEFlzLoEJizMc20Nx5Rmuink5q
+Vuud5NfkQSYFMPjoAREhXaE/wK84VC/qRp+5nQkAca4l4r2i9YXYG9KYhCm5GbK5mNhjduuhm8q
jMl9GM27eOQVnabTEOR+mFPliZl+3XXLBa7zxynSzmWiAnUeQNs0wCqI0jNI5h5Ui8VCJAlMtRhV
S5+WOmYcMtF9ukWIjxmpoJ0Z78J2wm9B3LuTaPoN8+LcwUzCQlAYt6DZ9p2iE4YSi4/sBIc6oKMi
AO0jtLXblkl4r81AlhWx2Wq54q1ncaGfiNfl20MhPpLrvG3ScI+u8GhVAzbT0qnM9ALi7TbNsSgw
G48PP30WsHWj1217Aoftug+exS7dc6/deJkgdMnWXu3nq7YS+Zhqu09EYdto+lMgVruBOlHthpuA
mGhMwssGbG1p59BBGLD9wRwFc2YkJYtwdmx5iU+Wlvl1UN/mRbe4aVFuhxAHPGb1NTZWcRNZJuo3
ftIDtKEGvQRYT7cpclGyS1UdL0WZMV5Y0IqXms1DIUbhRhDNC0YzmLEo6nrN/GD6gOpow+z1V0TB
HNhHKDyMlc7zgkfPm0X8booaZ98AjVBxKXmku+Msn8aoDX68OZ/9IUa/DQJ8Jz2vCXSqQmwRpxBm
rJnd/rmVI6WalOdFIJyThMzYL6n1omq/O2X/9Zzz2SXWk9abk9TMU6ynYErPIoIBFKS+upiSTxpG
7xotf3wNfUVGSoquKe++hiz3M8kicXghjuzyTBl1ZGzeIgh/fLfwnr7tHb5eRuPQSh2iy6tx9eev
EpYJGfXpEF70xC/XCb49eFNCfderlyM543rLvIb2e+7c/3Rr5/+/UkLlR/yglCiz5+IXFcT6V39W
EIzdEZEp0b3RRZnnl/P1XxWE/BseExOXHFl0NGr4X39WECaGPLhlOH6pMAxqhb8rCPM3UcFTh+FF
xcvHrM5/0tehkPnpcXllFBirXVkEuUZq0nvPi2rm6H29PF+YXdhcEteRX8dSZTyUmSrvGexJH9FH
jI2Jg+E0zrz0WFYjV9KG5Ythjd1NJJYZJ0My3HGnBYyNdY1XxKgpZi2eszWYZ1hZu9pK3cWsxd8P
TGi4WGtMTyyraSuY1n6SGbxtu6jbSpWSfo0DseCASeYPsixm46qdnvIoCvdljWSlCl3iyisVuDXN
iqPl/MWSST3PlOc5yI09B3Fz05XCeChS+MJNOU4wJWEOT5l4kSpQiPs4TR1Lr1M7AlHMa9TZpaUw
yCQmC3IJc9hk7EqjilOFhW9Zwh9A+x+jKQyIPxmceI2QIHKL3N4i3cmLxbA+L+RlKIUgymY4g0qz
UaviSitraMpiJ/idHi5M7/bKHkSn4WVKdqDx0+5idjYX/5qKIlCo3gCmdatLg2nHJGft65yxs6Ac
rpaGsKgqY6SJUKzFFjRcbimz96jQ50Sh+TzM3B2hF6LrGPoNUUkSFqNWRt01xmpXR+2+l5MnJkvg
OYN6sWVTTzwJOTcK66VzMD5GnjASdZatoWcB6WcJ8LB5jUObyEXLXwPS1qg0wh+T00R6mpASo8am
wDaloSKPBZ08stZgIFwBqVDsdJp8mTQ2+XVIXrWYtG/IaiMH7LIku00MW5iepLnRU/Khw2g2ucNe
sAa+6Wv0WzYQAte2WuUYRX5Ax/uuaQTFtfp4M0SYmFsZogaAT0IpcgT00NrC5fMH8uaSyTpRRPrR
GkS3rJF0eqBfzgHDe2TV5QtYMZ30OksF8bCseXZz5Vbk2xEjBPKNxDs9wCm9kIGXy82LMrKBW5H5
FZqsD8Lzrl5j8wBUY56p2pwU6TXzqU4Jj1j7Af1XFUXIga7EuZZ+0RGdjiOlkcfpUWICpbf7OSv3
lRUoriE10zEknHr3ugb9dzFWWLs+WIzRdU7PQD//2Wdf//Cv9ZikRlNSQcasMgyT6D+tx2goNNEN
S1Epatig/1yPjd9ohdBMxxkIZhJJ5+/12Fhti5i62NT/RxyIlgzCUmMllg35/bhH2499nevzeCGW
l02oejMYjjc35ReHKT7p2+MBDkQUIZ11n2+4AnDe6Tn6aLAEGn1/0aoJp+wvgnhhaVetupUCzgdn
4MwfX09+5wZfnT8/X3H9RG/OVvJkNjFHxp6w6F6gqF4py3Nbymt7pmyvxqY090NHupyeMjDb6hs9
mWviAycmq7u8oyAhl+eJ1Bd5p6/JMnNNxgxSPRQHM6KVm30p1hyaikCaQUh/WATUFATVlBKJNejl
tI5D5NdizbNR1mSbZs24yde0G5XYG0wG8YZRdQXiFc2yYJ4KJ15zcow1MQdnNeOqsDmF0XQqQnXM
YTjgxChtIx6OArE7hEwxhhuAIqnhDtOfsWd9vAqYrqZEU7ZlKV0OACdYcHeFSBeHRfJQAn2h63XX
rLk/Q/E0EAM0EQc0GOQCSV3rsy34amXu2Z4mxrNBUKKsQWaM5lPZG8uN0TGRQ6eNEZQb9kR9q2Mj
TKSi3tZ6JHRXy6uvsM8brA4ZdrkObe9c5AsjNC0VAwJc/ZKK5lHHAy+o+bEy4t2U4oe3grMgpmda
O/eEGdDeZ7zDthRiguT4q6qJ3zKh1BgCV09TpYJNVNwhrY5dMHqAcHY0py5F2D5FQNEzzUcyK45k
zpRut+QiAvt4aAfxvmZdVtWS/lKx3GkZlj+atOk57ovLIu0IR8TWvaR7scSLMVW0EtKO3nI9EUkG
MA6AByG3bWLc4fpvaBeI4UbOKxjk/diRyyS3V2Zcz8dsLiFPmzKmim+WMF6okXnd9jCMJSYT7Chq
NlKV74MsvuwL4WYcwJ0I/Cx00j0ztmwj774ZEY53SU8YNB49q897QCuSS6GCWXG+6vqSszX2Wn1U
/bEZNiI29Y76KJdEtyzLm6VQL/Ogrp1xahEUsnS4nubomgHOXQM4wKzMBxV05WRozW3F/D6dkuZH
ATmJeU0f+DtzBhgxVeIlod98F8fwUPT0LVQABqxgOzknDQ1aK6rrSH8+vCTC7aRqCfGGuT+JGj3H
wumn4NC2JYUm+ARArPTkz5RbrjwKO17bq9kMOzuIGe1W1GBTW8oXtWEj4w1x6rTAl6Bl8zYdCRZt
MiIs6E3i4hf2abvcMn5EHErW0Q4rb5JBdJOE8qInu4OcIfnZ6pNnuh2nss4SPCZEsI4tHaighWqr
BYO5fV1m/rvpqXhVP9z0yEm0n5uXXycl8sd/bnwYzNhS1LVisP4YZ/yrEMFgxmZD5iFgjpUf8vfG
p/2GYKBZ7HxrGDHjQX9vfExAM7Msvo75UKj8Z4XIP1oZFsNM8jqETcnDCMC74liJiIHqUCfPUf60
tOdpenxzW36x7QF2+2njY8OzqIkpcuBQsu9pxtroeLMN9UGrdoE29ed+0VZYxI+5Us9ZQKRM0/0A
bg7ptondXCWnRhKKnWzAK6oT8OIVDBFB5/Q3Kn5hwMtpxdukjzZqW30TMriEsnXsNeJM2g4RcImy
C2mQtJQs4q5WLkLAz8RCwBwLuYmOFhHgg7ViXlpYttpuWuUSwAgn5VVBmVcxRV1llVpeTSSr1KJy
jmdWAPklWYUYK1W/9qs0g1YdOsQG1AdpFW5CybwwKkPwMjQd5jUVj2lTGrqr4JNM4I6UVQSSVjlo
borDgD6EqwbtWHatVTgaVwkpQ0siOXgh0ay+DVCZFNQmk6AUFqPiSViFKAlFKk8FmHZIVG0OsolZ
KTesuhsDu7eAmqXUxNqgboGX3Xer3KWhe02puYdFj79jaVwJZaw2jOdAGmAtGck2tASoVPFzt4pp
9FVtFXUtI79RQG3T8D9HgfzYosJZqHFErh7VVZ5r5OGUgXDW0e2aqt7qq5BXqtaXZJX2ljS7bFax
r0X161D/qlrGci8ke1VQb7tVIJRXqVBZ1Jt4FQ+jVUbs0RPnVVjUVokxQGsUV9GxRH3sUSFH1Eh+
C+abChpKUVjsJ877FsqlWirOiJKpo2iyyV7Q6bmOVqmzR/M01OEUoYGW87gLSVOKBtjWOSppNozH
SM5uyKOnmEiyexJnvkjoqlQhmxKd1cSJI0zNExibCluE5QtK+wiz2KXumMDoL99I9MDUFzmkRbhK
Oh2rkQGAvg4Zm59JUOheJV+DHg0aMG/BBn7qYxgwvju1XbIROAoaVf1jRj82MUKo6Ml9Iz4K6Mut
gd0yRXEeUJ5FLXtZViV6laQjtOk0aVKfGhI7j2AQ4UagddUjZMdw+sU8f7EkJoCFVe42F0M70Wgo
sGjp+DoqidAm5HFU8n6VywUZY2O2SuhLMt6IaOpCj7gurzK7Vk/I/ZJ2Pa0SfL+K8SQLrwkdSksT
D6keGl3gjaj3YYeMH6PnI7qErrVK/BADBy961f2H1x5A/toPyGcBqnUSD/F5WhsGNccM1+JW2Epa
hU7ze2OhjFw1grCY9YLodQvGiGJtRZTEpDEY14sH5vLAr88YSurm0HXTRaVWdDqhLNiSskJI5brd
0slKvDDujzpAEbtNq8KXFo2E8oVk1Ulmy1Szyiu7upRRfLMLA5ZD6mRCe0XQaOgEQfVVW+YvTaA8
G2m9ZX1jAk/KHUtCOpwz4RikMiSjjA5lqmvMxWUlLTgNoYAeV5Dd92lxPQ64q2RZv1Bjkz4Jxr1E
ddGderesioNRGyyIEh/aGK+KXgmdCo8ea9Q+rINtptQevi6nQq/MaKpGWnQSM/E+xeun9Os0SpD5
xZQC8Q00skE6ZzQDnXkPEZCRGhsv1SjIDsjHNmbcccxvUykfN0Os+Ap5LY6yEEwYmQsdjDhuTouZ
nhWZDrDVXkm13joZKOwJpyPhquSGScZOloLeCxUGW7J5uKPlfJvLuQPFpc/ctukjbx673GLN6fej
qJdPBfwn1l/hB8GdBL/3oHa5HGFQWF0uyJClNphTY6B5Eg1+QbwumCIrug9qriD32W1B5rxL/Wft
e0Cye+I5yUTTyJCFG7JjmJzUttK41eoSqVVN6AHmABWhygfEgKX1rR7Mt2ahLQ9LUMRO1hPdrfUh
reJx2nS0lfxKHAofCGHpMFwK+GLQ+gd8PzgszTleHAJEI3YlpDF1oP2ZjvBmzRxSUF4+6kNF/nu8
mYyZsA9sV7OxT+v5TiQRb4A8hEQR3fWZfGv2tXWY5mnYlULSuGWQYV/pE9ySovioMAzn0mCtH3r4
Pm5Vgv9OIx50PGuQ/QLlQZ6s7iaQtWlj9ox7Jwy0flIl/kN/R//UVy6ZhfUYq/v7GjHPmQoMk+Lc
pYlLytYOgzCVYbv5+BSw+uHfVr8q0AauQ+lLQafw2r8/BHTGCrWPinOeZSeSlO5YlS7NPH9iuQQP
MuOFa+ZsO0zVJjPTbStHEJtRBOXiwEp1ZPyI6d30ioyeayBSnhL1Tg+UFHPD97LXqU15BdTFPOti
+PzxR//lJ4c0Y0iqqiloyT8fX7S8L+POSovziG4VzrcrTCUqPxmEekeshYJhGb/3WiDkEJpjvPsd
aCRWc572w7kKcdUTtrSjg6viQqjZN4YBhU4YHgRSf68Ki2fQEnejCQ2wnAmUCBTxakly6qilv2I0
0Lop2JX6cqCkxNeggmVzNJJ7bK0Mz7EQ7ynwuecy742e0xKZIWJek+/3nHaZQwBO7C/kuAWtpHtR
Fqde2ilfBWAL4Lh7pMNah25t4RCvIZ9FBBuyFa02QH0Hffp7rBrPVFY4gQEg4lg7zQvhvIYxC1tR
GpMT3OYcmzUA2FAiJTGyEFqkOPwS9FJ+W4907i2JTNu8oojUq26rS6M3lGxxCNRMvxnwt0T5ArAP
qQALJaykZMdAfO7VDZbzHevioylgQDVIhJ4T9TFTmsgrqoI4bp3+MY3qReXoMfGawWnEk0rne9t0
uUb1OO0Z9HtOYzn6imbhi3qdu0YWneSSwTulrTexAle0l6frnPQH0iqpafVlOtRG+8kYGgjA9+8L
zwMvJA2CdcQWaernpw5SeVnw/7ozCtizQv6uuwDJO+to1zbr6VPYIj6THuVI+kR6xSusNztxV2Cb
RikcnLA9YeUkfVs+aaX5oKhFtGlzrd70vajuGDvqQetixxjMYe0HqPmWuXECO6S4ds2GmC+VhUjM
S0QZrb4JcyyHUoRNkwSx1obVYxdVvdHzhZki/dlaR5gGqTScJpfvdJlgEmDsrtJJrk48tNNoQgqK
TH9IUGPGQP6mG0xsYSq8M61sqxfTbWAlR4MokLpUbnRt5gmpUGzlG20YTmkS3dSxdp0bRIrO3YOZ
pqrNuVH09LrnLFgPHvrd4JhaC2Mtwe6OcORKuvAs8Ew4laU8SorwIEVkv9Qdk4+RIW6GhYkHYSo9
SW18Eca9VQxg1Rl1iAZXTTvRMc3xYEDiZVKFaURyyZl4ulVWAog57VpASMoofq2hFBVA8CD7nqAP
uumQXpTRdDQKfTNCjItwcToxSaeyFV8R6p3uZnPxynb29Cxw82rtgOghdQkv4yBYV2Pd/YgNIcDl
u8asAiTteuLbW6DQkBzodh11HI6xwvinCejNU8MF9wIn1LSPjkyueAzR3JdQ1UIhvtQiyHRRuZFT
QIzs4tEYbk0pe8QqscHXW1g7jNGSxK6ZBeOmY3svmrxye6EmVCQV/GQ0D0sCZsHCkT9KOIlakUV3
kaVNIjGSMJqXcPi3YdEdwrE+Fmusa9dlwkVWrXOombFXw/FQyUnt4NHmt6mYwh3FZBtVyF8tVUKm
O4mSe2hrZOKNl7rmGSl2dPOcTxt93pTqlmjve0QaBo3Ek67BPpwC9ZhEY2szoRQcenkwnBYsnGMk
QeGPA6RUzg3bcu5ad9ZxEAycQoySuREDDMwQNNInW9snb6qylr9vyls5subEqtIeFRVNsT3lcBum
YfV5XKTNiaiB392j/9oxX9vIb0ZUX3eKNyvDilr7+XpQO4qclaEsv0vGt2HC0k5qzgPBrp9sfOue
8/5KQNzpdpLdaEBz//lKY9sBuBWH6bxIc+hV8dQ6cSCvkOhyF5WMBqfTcKgqcP8ltPeTWZuarScl
nI6EQFr8uvwykvCD/OKrqVDw1in9FyEuL0rRuMk4vlH1OF0r30zYSNyiw5HexU9Fot4LUVZdhz3m
KC2KOj/X+tW9ZHOw8Gao1FjtAr/oFOMeb8dNtRC5rWj7XoGVrMhgRuadVlkXY0qcO9u2IZA6J5O8
jgYuRKYzVdJ9TkZSnAU7COgrUNG0Oy1/XsRZc7IxfKwnq7mXV1ak3CrhJ3f1Z73l943+7U2lY/32
50t13HZNYE5nc3qKlpfZ/N0R8K+Px2f//ruNQxQyzshhOhMpeVMlpOUpd588Fh8/Fa++1TfPO/O9
qZjK4XzW5Esyd21ukxjNzscXWe/CPx89E6Mu5lKN7s/Pd2mC6Mj0Ct/Ckh25+9qNOWeSu3gyPvk1
1hCDNxdaxSlmAIB8sdVaHE2ldxeak7hguqmSzxxjvrKpubfZJnAhP9uxc28X9v1Od4bjyzWzF18m
7xn/zQtvdLtVdh9/YXnV2d5/4zev9esHfXNbrSG2KitkGek2gys6ojfd9H5+FW0sb01K2Ug+93kj
OfTK7ciz3Aqm1bn4+vGn0H71Kd4+ne88LAxTZqbccN8fpp3sGXa3sS4Nm5aVHbn+veYcdTf3rXO0
mbbFjba9BR3kT1vWPXvxSyj4LtKZa7nCsd8WfnsRIdzbofuFzv9ZdGZf21k7Rge3zV2+ufn4o7/v
dr2ui28/+rsTtCC3cVYJMc+ljQN0036vNtWt5II4d8lNcmOv2OT70r/8evT6neZQsCd7YsH3yTl0
2Hw8Ame+Bc6Xjz/VK2Li/c/65lO9DyyJ43JoDJ1PFe0sO3KWbe4HtwWtFadk0NAO7MbBK+mb53or
PyGkeR9ff318/3n5v9+jd6sNS40wtxUmcnEpPWMcD4uQnodeLD/ZlNZV5aPrvFt1TCD1w7Bk85kz
tT2MX8VpOxKLrni1CFWo2nz8rX69xv31rd4XkwLuO0Wrk/4cGSmV33UVXv2fXeBdzadMhOTpOQVU
qh3kBB3Q+qwb/MkPY6wv4pvXXcgrszBmXrSyOgNd2lQyiaTmJ7/KZ/fp3eLWShlTeUbSnaf1V1ky
B5uo8/Gd+ux7vHvA+nIBK9Xm83kcJkaizuQXO/SAP77IJ0+X8W5V0oNQmBHn2A0mRtGtwkuzjrzE
3jHm1kkYDBsII/r4kr/8XqRNYgEzFZHcrp9/H7xjSlDFXX9W8x9NskkVwiZ1/+Nr/PLneXONdy9N
xoiSUEfqdCYiFv3+Ks8/URU+u8C7JXFJ80lJyno4iyza+I9TJfvkNr3ujx+9+O+e4yim6RNkPMfU
BjbYuD1j2CdKBHAtTuThhbTz31lf/3rAWYeKPlxr1m/95tWBDKlInRyxRz0gDBesqqeQa9vjM9MC
u8G+JMmM/2FrXu6QkHgl2Nedt+7ql4/1pbKnaoei7c2dvS2cyP/s4/1yI9fVvxYn/f2TEzejKAW8
dNLFupGTO+pn6q6QHDv1Vfe+sPcM0R9+MDqi2s3dfBjt8ZPVS16Xp49+lHe/+yC0elRbM2cJd3AJ
2lxsmQnbQ+ZeW2f9qPi9+yhvoI+j2G4av/JNR/hkhf7sIxjvqiJh6gW1GKvuTMivPcEusJNv2oYE
sUP/fdpWXn40fMEXfoSPijP56QWhv98/frteC68P7oLx7jlJByVX24JHs9lMm9pmdn891e1S53bY
TbtdvB5azlD470WwQvmm8o1L8pfc3ot24MSfsk9WytfC7B+f5+/XXXt3S0zBojdUsKTUnurrvp65
04YJp2N8kOyv4S7YEMe6q7aIesfJMe48uAf8RJ2fbm5idz0k/HE4+G/rXuWF+Kx170BN/Kdhbf3L
P/v2q4EY8KsGFY8G/atL+K++vUxwh8FkHrMGvOmEc7wxrOEoei3ztNWutq5ef44g6r/hydJkOBKQ
OamI/yPYJwraT285/5IJFob5d13Bdb5+lJ/XQSKNUY4w4pJMHJO0MOsEXMiZTFBQcR83CvlSSSPh
12xoahFNi+ey29Wa9GMoRRxgeT7uR1ChNvSNxO3EfhuWoYeQQi+zweJVFohPPaFniZG8jAGADAlI
J6YpUimyjghXg1kvjnazdUln/U5rQBXUo0JkLaN3HGzuwrAjACi+DxLlNgfzc2FIAemxkzRiAybC
UGQYbZ9nNHzUEI3Zsq7MFJVm6uXvjFX3m1AWxtuitrYYCg9JNc0bcSo8oZ2ua2m8mMoq2zEKeB7A
XDDT52tiS4qbNh1zo7mJWgTuZi5PrWYQ4tYpfipaERFo7dc5potahuHgGSA+HCUOSLyqb1Rr3hB+
RBSi2tht08S7ITOeJCkynHEaOWDUrmwuvKUTXbN+yrdRGZPeiurmZg0lDwp6EErzVhMkbk0fD4cs
Xgh018KzVcV7yyS2KMngMXfCtyTJLAIhaJmHZeyPC6iZOqDdKQzomlJEGFhP8mKfgWEOC5TnTqLn
tQ4Ndcp1UhnXZftNNssfBv9cP3PL4pqMq0hqn6O+UJ02YKpZNTo3ATWC5JZgQNDJns7QpOZMjR2m
9rdmaV0zOAp3IpdO9ZRMnojATg93DRnjGfZhs9+qKPdOOliuKWh3VTFb+3pICLBDttfr4CyuHiwz
SDdBnB3asrskutbtMtHPxmJTAj7GrB7fW2qr0qUk7jNowQxaWb1ZYnil9fwgl/lGLYYnFXv7LleG
66FFsZaW8TtXnrxJyb4PRi1dFGWu2LU046YwFabsopMFQfo4KM2L1AQUqY0k7wiI0Z8iITe82ugt
zZuLlui+hVYg3sYmGapzOAjGvlqdj9OrCdJ4NUQqFSg+hnC/YQsb94Om2GZgbBr88SuFedaU0VWC
5tFSx8ihrY91seISCM1Vn26bkQNor3GLTWbLhTxa7pSqBNEkz6OjVMaNWeuHTpq/Z1GduszTXGdB
FB70ZfCWfCA2enQlK+E8q9O+RM3/liyVtetK4xsMNTI/iXcGPW61bim1VzSqucXNKcBA6DJtVsE0
aZwctRgYEIOtQPB5ws3eJpuKv5gGwgDGcEaqDX5kVXBJw7V31bwTL4aoLx29BzcXLNmhxtLvLXQ7
tmGPRwCLADSQ/ZjIULQxfyQV4T+63nXHSBWwy0B0/C6KQXpbimqFjcJkuk3KIowwr4vyf3enFXL4
we4Ut2k8l/0v9ib+7s3eBC91dYiBycc3zS7z196kkKVpMf1O9xgD2RtomYoDm0BgTdSRXHXr1W72
x96kir+9osoYaYf2+ppo/B+Mx0uv5evfZx32JpUN06Bywp5GDrLOBvnTGT3o6Wg2enk5NaKxKQaV
fO1K5cCljkRq48Yf5jUkSRxF6jhNPIhZLhU2BIZ0l5li+RDnQXti/53sVlHqm6TX1S0WsvY8pkH1
repWZ09GrFOUGTPLKHHHtHmEkd1MEqbLtsm7izqh/SeIOtYrOuhE6QYSYwZFUJxTsuq/mYxszFOm
XYQS88gk2oz+AjT7rjNn7TEb2ERGWetPXRsZOxo7sNiNXkg3kjaXX+gy4mRVWvk7do/sQROzYhtq
reUyctA+D0SdeJFIupLRkLlkJMR8MJteXY286VkfdxucOpU7jJI6XERCoQ5fyzaM1INUBMuMOaFM
e5wqXS98V0Mric6RmvU1jNS2aC6MqILiHEpTdBMRhGObtONqAhSVxRjPpsWRgFxIlZ1sU2aM80IS
GbCBuJocZgwKCaCZbCjb80syyHXuyaMFCiaYHvVxHeIRDK2kJ6YXmzDStf1MPuRNN5bLM/TRtd0o
xyKNHsYw4lCy/KAawhdSXGJHLJblOWij5bseTw+NUG+KMN4La2JlLunwRbSm2grViPvClPrZT7Ff
HGj/zse0nCpXo73Oxp+XTIzHYxjTp+wAcNRDXtlVWt+rRsxeb0l3SsokdSUwKRiJ42BrZkN/OGn1
G5Om8q4TOuuuEmv9DABcdHN5ZdAx4FLeBq0IZ2PIrBfBGIW98r/ZO6/dNrI1bd9KY85LqBwOZoBh
FBWoZLUsnxRohco519X/z1JwWxLt3r0pYPgDm31gtCQWqxZX+MIb4tqa5H1yhsi4NCvrtl+2EoHF
vIuLop71bpCjSptVK1hX6SWkpmplyKP5zRsVC8ExK7zu3Yh2ZaiHp2Tw4S2wsWzajYLOG43Z7dj0
0jGT15tqFt4voODdr/aYdNcpIi3zJutBtQd9fu63mBOmICfiWarrNBmrCtfoFo+Cel71RjUDPo+t
kodCEb4m6oMDzkGPtSOr77QLwj3bm8iZqTzkWT4uCoEldvLKnNQdfZj/7MWwIwxZsDB+sxfXmzSo
4k1TbdmNeeeP3VgW9u1oS2P6/uJK8mM3xhdQJAi6bWhC3/+nTAE+IZ0HFe1/pOvgt/Cr10wBaoum
4wsO+9YEPWv+o0wBO4GPmQKGKtQk4N9AvZG59Z93Y/jRWlT2cXbWDGY0nmI2YoRrBVE7dV7XSXyO
UnxbTxGhWBt5cd5AutLZD+elmnxplRiimZKcFGp5C7T/KK7SyyAJZrWkog4RYnpsGKd5n0XT1OqW
ntZ6SOZGJyzQmzFMH5wA59+sVStMRM3swvCwT0qghvhAKhqQCljagv2L6/CU/Q5soQ0+TGtT5TvC
ypO+RSdpAT7WxgbN0soAATSz9paRIhEvyU/SPMmTTA+kfHYMAcuyhIpPYeE5+iTsoz2J/LhPgj+O
wy57UoZBdRt2bjprqBCoi7Zpw3FaN+GxVaVmOKV/VnVs3YY0cyq7JOBNrRZCb4klwhwtRZjxcdd/
bzBYmHRxemPlRgNlu0NO36GYEpib3MVSweoQogrtuFtAfDyFWFlM1arWMegL5sXo0sRxkGB222tV
dv+UynFVW9JlayXTtO1WBJqzVoKm3BkI0KJDZuc45MXq5VAFm1zKjpEpliZZ3ZzSOOc8kPJD2wc6
WDrKZYvsJ2Kic7gga1voRGgl5iHdoRLUR52ZHCIHc+I5ALHUft1k5Xd5qC4dPz5UQ/M6clp0GaxD
V/HOTJ8dqYjzqzgf8Q0QglzysjOqy7K2Qa11K2wSbhKhieLYG8euAOh1zdRONBVh4cdUwW03Ntda
18y7zIZUM06VrDp1g+oc3cxb7GFnVmPPckmZg1Zaj1lyZiN9QSK1TiFFVb16M3bZaauGEz1J1wAH
cZFGQ9H316GbrSvNwYTZWDR1fRQa4RIc6TfVCBd2UJ/mWv3dywB/Cn0nz3K+6CWG9omytM0eI+Sq
njSOvG5UDK2KcF2a6kVBuF6P0rXha6s4FN8wyCCkbVYVMAeaGxPHLR7IZKZtGt9YoX+dyf4lciUL
NzdOECta4OK6lkNcLM1BOel0ZEK4iamTKogEKCcYLx9RFZiWfn3iWcqC3f+46/1VVpFMI3byUFoq
Xfz+shyEX6DXGhdwU5aB2flr09Uxd1CTszIGpJJEMYrkgZrhASNiKFRSizPZNDBDZko1jr6KSaKm
hdnBrayc+8Gj9dPj+JxoJ1bgXfRFbc76PJi1yNnMQJF8q8OB6aeZszx3l33RDgtJc7+NZXzaOb2/
sJPmC94Vc03SEGjV6wqMzIhcTJQCVE10ayr5APDzVkrnqq+curp+qZcIiEBuqidhzzfOeXYe5tKy
0hOalmF2mPuRhNWQFS6KXjmtw2YZud7UANQud1UzZ3bwbakAY5ymOi+gXk1TvTpWNeDe/lBBKwrO
wCadaIW0VLRunpjFOleFnXmR3CEnxJcxSvBsqm4WuvhZBrV5gcjXCtNgbYY6EdyyCLl5d+zrqRQ2
CJ2Sm6o+srRhkJ8ABG7gPaExo2Zfa0sHc6YmaGsm47pRtNM+Cu5NrQgR0FFxRgcX2gfYuKdhe2mm
6p+oLh1hmXhoS028wFcspwDSnVITHCatzg6AJg6q83mK+FjhNpMuAEMVNsNJRkljYmrBWRQV163Z
mMhF9l8802C+w3NIcXxuUb5wY4aGagvQ+TK8dtoknTqBMDMxpO4E58n42DfM6Llu+Z88zAA58+uz
/0sZ4Mc3fDz4xdt+HPwICaAMDTJUxlcCG8E3aZgpdDOeDn0ytxdCq454GY50FmhSFQFplM3+OvWd
A36OSwVewdT2sOT4JwID1hNl9W0OBqwBKTTV4R9u5V39W8JayyyKKjlPUdnSTyu1QdJqaAJsfeGS
daqDrA+aAJPYyu+Itb+N2egveym9QkETrJb1fWhx08kb77B0k0WRB6i+2lC1G91ay7WCh23YxCCd
Ad27GQeH4Q1ICgH2n/i5t5YkN5q2rV+jnJOdVUN9Lwl6ueF09zon2NyHt9040MgzOzjudYGwdMJT
ifijlDNjlvnauPZrZHxqahSg4cp7KUPaqWzK7y0pFGjiYSmr9nepR3q5q8F1996hZdXrdIzgToCj
nhhFd9vZ0nVcD/E0jJQrzai/ejbVLceWbDYPzTzzyMXnugKqrTGicg7QaWNZY7asAB5ObKQTApTz
Mx0dY39UYUhYxcRvgotelY8S2XjQ62Spld2m0pEsVYcIBoM07SE/wn/gr53DRC6/NrDtsx4KYRp5
X7PK/OqE0Nuzmaxrd5Xj3JVqdVaOwY2R9XcRuhCIuqCBSFZ9LnGzsE27w8QPUGis0aAdpcZbDFFw
VQXaGv2q9agV7jSUURkb1Bh5qcJOViGYvomhoLXcyfq5ZHRUeSoXiweJeqbXK8ehb3rLUGpMcIDx
qY9U7tyu+muzIhXuCvwerPrIzhACk53kLAfuC1S/wJchT9XlUItYJ0R5MYB1kg+xvYwsv5yFMga8
Zuv2c6N5IkbwW2tQD1Eg+9O1LRzNmnNTbmBYp90UemuxLHGlR9TOnuAZtFIRXpj0dYfeaDeiBSOX
q0TCmbhUJXfJQnOnXdYey5a89vkq+EvUaqXy0myN886TV15o9VNTDVEowuOi1g8dBc5TNJrXNRKh
cuL9SYnyAXi3NI1GQleDksKkLRyOuGb8itRsPvNUrGat/AY6Cv67VXctOTU7eEIRfKTUPNfa6GqQ
ALdqKsb3ipI9JhV8zSDLT/XBOYt0qEX10INazzrE4dpu3tvwgC2A46yV0qYiG6hTVMIOuxrGS6SV
/aZ283BGJdWl6l5JsGDCmwZkchxcU/ZFrcYJrDlrDWpaS3BVW/UyrZCRMDoy6l5R3amWyccDcEod
FdpZEgbabJSkC2q78DHSgiBLTdZBiqToQGI/DTRMjXtvpI6dbaKeNJm5dqVrR9LwGMmoU0leeZlZ
1Ry16XDm+9bc1jNoPdYjuooIt1v6YznKt07lnCCms86H4UpFW38CvdWfm0jBToYE4eGm2sQ6ji/B
sMLCD/klR0hWo6rH3AvxZ9bxlh4e1ar85knNcZfVF0B3ThGOjRbQu2ZjhAyUA6BAkdsIabdOnYQN
BOTG8dtpWdePuZQkk7jvRLPD2gRF+Q17IeyKkWSeqFlfTLBZNI/qBjHfypBsxLD1r+y6BeEZfh5t
bN7Vik2tHQ2IGRvycSWV/dKrGvS6xvYIldp2qpbepen3mxBBELh8kb6oiyrG/JkjuNJB6iRQgn14
Iqg1XdVo2AtRknncU9ItgJDPkcwrWXQZS8I2T+MyCOdZ766zWBNQRJcOn+RduS5MmNy5clz9UOsH
e2qmwmRriJEdp2DtKcUCKdT4a9kh7ex2EN/JJQUOmYVthDd4ZKKp0Xbo/judjkya/71PqQA1eoAu
bHrEhn456Fl7WMgJQvFqc0ENTkXixJi1NLaWSApjdFNpOgVwqiR2eoT6nj6Nivik8tuLwNARLIFb
6AJ8B0NbEqp7Me9t2yvDDO3DMW2+Vxny5k5euhMs5v2pGRboAo7So6NT0MMqLFhSlbpIh+y7qbG2
i9iycRdHBhn+ORBkd0yRfnJohWfFV6wr3SkFuHiSDIhyaxjfQBmSMXRlzzbyVIZCJ9eLWEiyOcEN
OiDIgLvpYkBBZ6LwlQONxyO800D41z38dGqejCm60CtN6/B51GmB+HrEosEEp9Hba3+ILjrOxGkd
ouoSGOgZQ89APR0FRTTbLERvQ35mi1pjLo3dLKLmg7NOBrzXQqde7hBbjMxrTOaWZTrcG5lxHnr5
Q491JR5qIWJ06K90lMQmZpOeIE9VrC0DS1pR2rSsFE6EsqrjvKS3oDaoglH7hLcdr6qxuNZUFn6c
ajfSoJ/hJXffFfHCccNrDnv5ODArxM1sZ1WhbEUG/8UZo0NNqrqJhU6hyGDw+aTc6tLSEEqhZOFU
YanetzPVsu6CPkOzGYFPIPeUj4bMvlTcpJgbAjSewhed5zk0wjZu3JVcDhuTfj7fZ6suosj+0qcg
r2xXOgo8b1NC4fAQcoRtni+zIuP9Vn6eRa2Cuo/szSER3uUhJcmmDm51OQBjX5jncmP+mekmZcS4
Pxw97TGUO4s9FpdlVYW0YfcwFkyLcLw2q4hK18D0C7HhU4IBWOuo3JpVu3YQWJ+juoDTncSu7Q8Y
1KOr101NKdzIqXoaQeOa1oEbTos2Pw5EyU2vy+Uw6jCINOErLkeHoYevHRg2zrsav7xCddNpJop1
kLPvfQ+mQGF75aJVNBkB5rad4Y4wzaJR7KrmTYLP1MTz8DRNCumLX3bXpUM2kwbONOvik6aCIeg1
do2tQUYbUfevatMqkDusV43XVNNEdq71tDn34s6ZalVNTpNLDUkc60lr60XvSTHS2ulKInIS1q4y
YvzV99xLznsw1h6jxRGC/oAJNhqlvoeOxpyUm4+mLH2RaCLNrER08pzo0RI9OJrEd+1QHjuc5JPB
Mu6q1lpi5VrOUk85clMtnTljq097M7rxkqSawgRVpzZZSSglyBt+l23vhMBAn9i6lE2UJjzKDVJs
iG3hWg2ylYvQ6sS2o1sP99gJtZcvSomIRN5Il1aCuIWaZCvd6W56Yq6J6Y+0NvMsnRc1DMgBkh6G
GgWPo9Nvtjs0W7NMP7bpftn2gJCrVcRT1t0joloJKSOdQi/SFnLbfM1blq5fKhexl4pkUTvVzAAd
agP3BghWV2bAdwQ3TSO87Nmny/S018t0UZr6kWLXd2FCO486yU3R4wEO0fR6jGFLDfEXVYcA3sGj
zSwZ3206u3aHmYNTW90ME5qTvCoXqQyQnGoKiSvca2Zt+OAQG/utSbOwTx/GpDwaHdipHtUeVU2/
ou89g4N9nbf0byuiPCti6/MLZqbvdBaqqgE32VhLuS8fTZ+Qzsr6Wy0h5mvRHA3i8CvlnxU0iJkf
pRvXjr6HdXOm6wVun1BvPEgULg37CZwtXMGsy95X5r0Bjc0tsqu+cg5z3Vk5FLoKOTyHGIOxNpnq
oKHp6MbzoGxP0DFZNUE+jQ25VY+qUEFO27PU6CJOR/PrkAUmyFXJaPmBUaPRONgm/dBc+o/M3bMr
rQAB/SYHffA3yWZLCsq7fqSgQg1bVQ2k7KgzP8lE/6g9aweySUQr0CGYr6AT8SMLlQ+oVVMPpiZM
mRnq8s9ZKOkp8oV0Ci3eRP/wH3QCDUXA3d5moaZpKOKzOGuBarzrBKYxTcKY2zhrHT+qZqGmXXuG
fBimqXTUxB6qO/o4NaQWhZK2WfXdwKGBX/RcaZ2j2ojMaQ7tY+GFkHmlrFg2YRJPUiUg8TSTedjk
d57aKxi31CiuLE0za6SZJjV/VhQMLwc8L5Zmabq0rgdzFfYWwAW0IHKYZqeGqDwbxEyweJXvtVs9
ym5TH+Zdui7VUAEnkVXRPOgbzHr6C6sNzYsCw1qcvjsc8mIcYEr6hZPYEQAUBOqhUebOBHoEJ1e0
CL1GOlRCy52HdOgndhPcK6naN7OqJQuvKRgdmiIj8/LRndQa1KHITZUzVw2ByzUpP/Od9NCCXT7J
+fgxiNNJSQ2ATwnKyUhhYQLEB4U0rTuNLfcszPyjPlUP65KSItpom5pFf2x6+P9kdWtAlgovM6MS
RfjjVpKJt0wNYlpSYA0hSkzk1XPIyogZ+KY7l8ma8RC4csqScp1sr4xiPC+7aJhppnOjFdZdVmbr
Ap7vpFR89k7jHF/yL17L7tZ1JdpEzmOZ6yu5cU6ppoMpqSRzimeNtYTC+jXs4iMzDW77sEah2pEe
e8+GsFo7iyBuvxmp85CnVrFSdB9h3LS2J9TlM0IRSvya7/knQdBRjITXjn84p8IQ/hnJnAVdAqY+
To1+jrQhh2gGGXKsqhuzrW4p/U4z7ALmEYoAk8ELyFzj4s8ME6dFIqNQ1dumN6vk/kvGVx/HaqtN
gxYHY4zRURpCfWnq6c15XsEtla0Og8cRybm8/ooo3n3ipfrC1ZT7nL4gMCK/PkpdFRkqG3ErugcL
syd9hYjv8fFqv2xkuLGyqyd4NyooSuS6tpIax1l6iEJONTtjIWT24xAieBRV3zUh+OMQcM6VsCIi
NatHxO1M7nZIpqz9fJqnUbwIRovD1EVCifBjWgSsEbK8eNJm/jhzqdfQZtEmeGUtvRaBat/uz7TW
PVSNFGeu9MyM7JUkBYtGXSXJzO1OHa6JdMtVXnQ1oCHrPErMG4t6ADY48aTTwmHmhmA34d6h1PFQ
pfVX2LJIMJGaT7Iwd+aV5ZTTDHd3BDaABEX5KVqsS3Lm68prVlHhndRJnuAiA7EMJW01bg/1poNv
2DnM9r4/S2KVyrkc3/pVsDZMWt+EONYqLKwT1SGvrfNlLJED2dWAW04UjQKogt60rwBp9ZRg1YTB
idoEeDTlt7FCYmhTYsbgyb3WLeOmKaszNYn0pY9e5awPFROZGB15k7SmxewR4kpNvSRrINA2x34q
odHZme7N6HJ/aG5UCDMj0FLzPi+JYbrU8SwPo5U7lg9FqulzdYzpY+M4g1zjSEACx8RhWKdt7d+o
rnZRd/ihaEEz0PWtdMijpXkYFfIjhb1jPQhOAjJw1JaBP8VpMZOT4HY0tS+uy/eOwIo1LSBbImym
XBq2QxeaVM3T0gtVQgJeGe1H02mWtDWGSZHaLmS29qL0m6Wbql9avzqVUbmYWIid4dAF3dtKLuIC
UrUVSEd+F18HRp3O5Lo/Mgd73nrxQEqlGtOwiGPS1C6ax/jWzEbZP0WRHAgVoosYx8SP3uh+KXKP
wrkirKcD9Ot7P7wvc6AWGTmhbHfjDDUidZqCUznuPBxrajtfWB2Ip7EYLwZytbnUUnqJHO+qR2ir
UZFld/Nj5HLahZ6XRyAvfU4Bn+QFVZ+l1pkQ0010xxA0+5pg74tb66ao+gCFS5QCbPT1zCa5Vo32
ZLRQDwPJMNdbfVEi7t5m9nGQl4dh5SJdwySik4/lh4EHAo5td6OSnxoee3ZPv86kqlIo5UMdBqd1
X2wgoM8tEoxJNeDeqSm3Gbr6KNdTyKJnAlDr0KrZTb16Qd59KCPUzs6dI2EX2zMjQrmzH6wvqNud
jrrxENVslIFmZnOgh4jZA5CpEQGix1GiGOOclc7oLVW9+zNm3pKS0kW1utKftioEVyqVZHYtEsoU
L2WqmJyd5TwL/AbSIyVOWRQ7bVH2BOShLsuq/BpQETVSLNdRVL1WrPo2FEXTkn1hUtVMDerCsPso
r46UWTUoi8vSKRfc3/cyxFAhtbP7StRmnRDIWCrqtWkUGjOXEi5nHrYC/K7LUQASVd4abrcm6r5O
0ty7ohIsW8W95qdnYehUU1dUi2s8zhVRP9ZFJRkLwRZvBlqmrqgzs8qKqWsbcH5kVpmoRsMlXWSU
pwdceucW+6SoW3cUsAdRyQ6k8FtEadsAQqH5CbwrF2n3EDA8UrJXipErZISFdTRK1iqvfY7ilMpA
TGg0BSI6kEAq1ZmDXok3JNTGoozeJrhTlF0m+KudyFqAFEydP+KGBphVd247zJ/nUkF1HSjiJvJR
McrRjpJRJL8g/TllN68c91Rv/aUf0LJBk8S3V2iVOwVloTjzzUkZyBRFcPSi4Uz1uPCfCSH/6eWI
5sav4+g/8Q1tym2BNG97DaQV+8DUVBW4DTWXt4E0Cm4I+6EzaujOi3Tpqz6pfuDImH0Cm3MQZXsC
ib+COLQDpHtUzEM1IVMqfvVPAun3YTQwEAG+tiFjGw7T6S2Eo5clry3LtFmPNBkKAHReZUwCO3kG
+vySXKPIH+J1hGBU/HYoRSELJwuw4s9YEQVsd2GGeo4noeFcI3JG4JZY8TAeEuJTjtfqtNFXaO+P
V6FK2Ap/V78JbVxD8yzESNsbnGPFEsgtIBT9OUn4pTZk+HOag2dVx20UVtq3ti9MGzBr0bbAU5FJ
aPU2mJiRFOMaHCOFGuR5ps6pnjRAjCUsNiZB5ZIxR4MzNxD6lWdVemfEere28D090xs5R7okj2I0
A9xem8Yt+14sBODYnjPtTG6FMFwbh2dlHXWTJIek7zvnmiI/GKjJpdihARL7YqHElqI2ZwjZOVXm
KaQ8mDsoNDrJ3OiTlTsMBVpf4F8qhOvioXj0bf+S+tNaQdiu0dqrWKgyYAcW3loR+DdB6T2VrLxc
F5VhHsUBGslOQkNhVOEoSZL2qIcVqGLXl9dpXUCMad1iEsQSUnmdjQ24s65SWtnsweyGuDYu69S6
HhTpKwz6YoZsBEj3uvZUC2FTOPUeOm5z1ZYDCvfiErW6UCKzvC71Wutnpp36lxVAaNT1lHLu9HL/
VY9hp1qExjUaWdSAdKkcZiF49sKsEUKVFGX909o7f879fnYVUEXj8U1KSH4JCpWsQGdxMK3fTrFi
KAvPQ5x2jfXZhsNNuUJYdQKKeVofpmBP4Bp7cwCecwTNJ8aRvtDmNNunf2vxLGBPf90HHA2Y36i/
O6ZhyBAy7HfcReRsusar/GyNqeTREPv9NEJ3C1kSnRaOFTnzonWFAKtZYlZvy6eeVbpHCt+RGRXJ
dLDgI7qIodvq+K3uM2dRqfRJ6zpfuPb4zTJQJApdqqIgDW7A0VgTtSyGqVUBQyA6UEH6E68Zfj8f
NGfZKSmN0hH7QtudjIZzOGrkeqq6RJRImRR1yaRw9Ckt/0MqqbNMg6aQyfm867wTFUg83pTwEVrc
TZIkrGYs4nVHxLIsPPQ7UDG49rrsUNGS06a3ZdAL+VKOmGiWU1CWlcOr33/FbzeRF5EDGbVjHUVJ
U3vvAe6MAEvzxC3XcpuESzaCmIfHVU4K/LmRBagMFn8n07Sdd/fTZ777NqUezG4bedW68LRbw6XN
1XjEp5V1qCcNaqjgYzwTuTsLYVgjpkpHd2M4GREum8BvOMkC+6scUGMDP/Po0u7Ji+JUzcwL2R3v
DK/4lnQo4xRpkT/zGf8/OJNfbnGrO/cPNzTx2/OMrtuXbP7e3/tf+qPXQ2/7hV4svf81u2+Zw+jN
Kf90Y0+G47+9TryhO9LcYyiuAbrEisHB9gG1XV7sCXEGGvn515KiqgJ6aVME5jd81k9j9KtR+P0D
Xj68d0L/eJ1f3/zPtT+cGjj1//Hz84B/Pb51ICqFYP8d+enF1vvm8Yl0aNcSYwB5eHrtwyBQMiSA
A4yzuv/v/3qumwq+6T8eCd7zZig0GWIfZL3nJ/0wE6iR0hO2FEt/Har/+/mwZSiEWv6OQ2EfKDAc
CWOp+oqXGKg3iwKZYpt6MFyOfZ0P7+P/f2dngGKJSOHLdHA4094MAksDKAqsFuEJs58zgdW880wQ
uHNwU4znm6dX5QOLmoyDFsLTFHn+qP/j3XHLajD42Y5jYB5oGjkdDZCnJxW4ujdDISaCQ7IDM3hP
J4LG3N1xEKwD5JBgcQmHU/HiUd8MAuRofB/Ieh1iZ177OR+4vX/nyBT7389nJjm/TfNKez4o3m8M
hAw4hrBsnqfe/q0J+X2T8d/ZHGETGqZCQP/0en9YsibIpSw20OeNeA8HYfcTgnUvDkFG4WnKfzwm
Bb/SpgMmiib7eULsvjtSClMIBGB4bp8JQjWBEBM3n/3cEqg7PAcxzzWxH1nJP8kiYMvqLAXhTf38
+rA7EjDxa8H82teZsPsgKAccEAQFIp8Srw/7os560TX2xb3dGHc/J+0DC+A/8tDPYyCOm7fnJHGT
A9UatPbTVNnXRSE4gTuGDOYBwkvU0pSX1PH9UIgzAtN0NFX2dXsU6n07DoJF0oiwKXX6551hS/Do
mABysBl7njH7uj/sHjdxUghzNmyZ3q8JaizYyVraS7C+f8GCsvNE4Iggl4QY9PHp9QN6Ihqudi/7
5p7OAOV5q9rhmNRU9j6VKj9tlKfX+2NSMQ4MNgxAY/u9OSq7h01oP8mYPMnWS9j0YXMUNRjHhEK2
F3VHHvh9yU20aXbbHMWa0NgbLUjST68PEYN64BBZ0nrc12NSeU75d1kUxgHakSJ+fp7z28oLokSt
MFJ7ujMIpb3dZoIG1REaJGHTS6zwYSagR0MAjXzN3sYKux+Q9gHVRBEbvhSa3m+PpFLsF2yeaEQ8
vfZ0Pii7p9bU3Kg+U0+ix/HyqG/CaGJH1DUcksp9XRQvQe0uOwM+gXzbBIba83HJJvxmECg0YU2u
mEC293UmPH87uwyCfoC8nKqBTnieCB8qTfYBboJUqRko8drXk0LINe64SQJIwnZBnIjvJwKpNzg0
3D729elfuqe7TATzgJ4UKYL1Um3jUd+uBhl2A61aOpX7uhp2PyIow2O8wRC81Bferwa2BMgblJlE
I5vptn+p1EsZcJeZ4BwoImpGM+F5X/wwE0DaAfxATWFfDwcBVtltM0A3QndkAiIs2p5eH5Jq+YB2
DVXZlxB1D2fC7juiyY74DKh8nglbIiaEtKBC7W0v5oPg2D/vxViEQqhdGeavwgTCRkhfQFz2dk/Y
ufgMjkcFEasTEP5iJtCUowCPSPK+Fp9f0rvdNkYVkisEupcjcstyACWOg5OzrwHjS6dsh0FgY6Ts
zNf82p59X1nhiEQh20T19HkT3sON8Xmd7jAIGpqvIpFEDPYXUbOF9jjYDbSK9jROEBTU3Y5IBgF0
vgGR5XlL+FhZsSi9WDI55L5GjNruhUYbqgK9enQen2fCh8qKCCTEf9SgxGtf54Ox+xkh4kaF6jKQ
rafXh3xaCPyj4k+8sKeLQn++sR12BmquYDLghkNr2T4IWBnYmNywge7pIGg7D4ImnBfgGZBOPi+K
D2cEi0JWZfo1ezsIu9fY6DuBTlFs0G1PL4b1TUKtAA4mYqIkua8TYfcEgo4UpHTjyU/3/cMrrBJG
52WK7OkYfBCM+Mf5AzsC/TaTKtsv+vQCz6bpLAWBgeS1ryeEtvsJYdGkFUKLwHqfX++WBEMBAJLo
Ukgq72V5RYh67Bg20ac3ZY129HNA8BHqKR/wSxwDcK/Z6/mwexhtkDSiV0fr6elJP0SQoKBZOfBD
hT3nfs6H3SNICq8Wyx+c3POaYFjfbJUsCgDijNDeZpUvq3WHsEl7wvFYFv3H50H4EEazSarIqSNj
t68zYfeEinyJRgvtqJft8cNMUA4EDp4Cw/PJvH+ptb57q1oXR4CosP/iuBStScfmwAT4+/Ta1/mw
+3FJ0c2gyiAY7a8nwYedAYY8tgr7GkYLH88dj0v74MWV4SWheh9Gsz0SY5o6nal9nQnPh9cu2yOp
NVoJUMZeFsWWncEUc2V/K48v5J1dBoHmnE3GxEP+YjkIWxBVwQH1OYPdv+3xg2zGP84mNEDexIaa
/CtCLdsjrDFFNl8Qxv/SIPwLf/SDezz1g/j+iZqMxtQTiv+Zcvu3f/DK2/14gZ+wb0+k2zd/KajK
z9d+RsiJ//+fzT0OhrOgqsvgrlaf2rA//fa1Lfv0SS/vf3nEjx/+5sNen+v1h4fBQ7kp7/zh6RfD
y42uNwnc5v+N+ed+8x65JyrCrz/bTrP+sSH+/upI6jy8XugvJq4gF/31qP/9X29H4qfd9rcXTzb3
Wfl6oZ8uTgyz88UneIBsu3Ei5Z2vPd3Em5avpHq91k/3zqLf/fqIh1YfvlLyMM6WT7h4WpebP6ZZ
VW/7CGK6nT9i9hD/sc7KreNPjLDz9efxH7OsZPK8Xuun8eeo3/n6ixLdum0X58Db+eLL+CFNX6/z
041/xnI9bJLvWXxff7y8wLbvfOurJH8og038eqm/7l7Axne/PHrgr5f56dKfsWKPH8otYy5AEzvf
9XGQels2AgGP3PnaJ5toyx4mQIefcOmqetg2Jp+xQE+y6o//Tb2H+GHbyHzGEj3d3LMBv47DT7Pl
M5bo6QYbmC3X/owlKq6dZ9t2d8FD2vlrPX1I77O7YNvuJTBZn3D98u7h/vVCf427YPvtfvGMe3+9
zk/X/oxlepptHZPPWKVcun4oH4Ytd/4ZK3W9ybdMdNG423nA1w/t5mPsaKAb/QkXPys3bAGvF/rp
6/yMJXoeb+4etsSOokS787Ccx02yLbgTFIidL34ZEDpWwf2WkRFoiJ2vf7W5K0kJ0nrLWSqQBp/w
AekfkwdssrZ9wGcs1auN+IAy3ZT3Wzcy7TMWrfiQWfDgbXuIz1i14voLVsBdUN1t+4zPWL7iM46y
TdFsO62EHMinfNcnTVD9cfY9qPJtz/EZi1k8x+mmfth2/c9Yz1y/3vwx2ZTfN9tiBlEu/oyR4jOm
8fZP+JyFLZ5iWjbj6+3+tafqn7Kw/c3WnFDgUXYfH2oYWwf/Uxbz7+3Tn2TEdqiCXGXxZlv0IAre
uw8Mgck2uwdRtN794n/nZbzz0Igyy5ZzWEjV7nz3X37nhLHrnf/e6nHnqzfsBFuOeEF+331cGgpE
yba6nKhv73z53wsn7zoyt1m8ZZ8XxKmdb/y2+b4lUhaYwr+59Lay7A9azcdi7au647a3va1Fi7+4
ix825f/8PwAAAP//</cx:binary>
              </cx:geoCache>
            </cx:geography>
          </cx:layoutPr>
          <cx:valueColors>
            <cx:minColor>
              <a:srgbClr val="FEDDC2"/>
            </cx:minColor>
            <cx:maxColor>
              <a:schemeClr val="accent4">
                <a:lumMod val="50000"/>
              </a:schemeClr>
            </cx:maxColor>
          </cx:valueColors>
        </cx:series>
      </cx:plotAreaRegion>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plotSurface>
          <cx:spPr>
            <a:noFill/>
            <a:ln>
              <a:noFill/>
            </a:ln>
          </cx:spPr>
        </cx:plotSurface>
        <cx:series layoutId="regionMap" uniqueId="{88CFB33D-A36E-42B4-8544-E6F07B61F15A}">
          <cx:tx>
            <cx:txData>
              <cx:f>_xlchart.v5.6</cx:f>
              <cx:v>Amount</cx:v>
            </cx:txData>
          </cx:tx>
          <cx:spPr>
            <a:ln>
              <a:solidFill>
                <a:schemeClr val="accent6">
                  <a:lumMod val="60000"/>
                  <a:lumOff val="40000"/>
                </a:schemeClr>
              </a:solidFill>
            </a:ln>
          </cx:spPr>
          <cx:dataId val="0"/>
          <cx:layoutPr>
            <cx:geography cultureLanguage="en-US" cultureRegion="US" attribution="Powered by Bing">
              <cx:geoCache provider="{E9337A44-BEBE-4D9F-B70C-5C5E7DAFC167}">
                <cx:binary>7F1Zc9s4tv4rqTxfurGQBDA1PVVNipK823HWfmEptgLuIMGdv/4e2U4mouQMXRXVrVFdpZMumzzQ
IT/g4Oz45333j/tkvdJvujTJyn/cd3++Daoq/8cff5T3wTpdlSdpeK9Vqb5VJ/cq/UN9+xber/94
0Ks2zOQfBGHzj/tgpat19/Zf/4TR5FpdqPtVFarstl7r/t26rJOq/MW1vZferB7SMJuFZaXD+wr/
+dZdJeE3pbNw9Xb7Gvnz7V/JKl0/rN64qs6q/u2bdVaFVf++z9d/vt0ah7x988f463ZYe5MA91X9
AMSUnXBkcsJtKh4/7O2bRGXy+bKBCTkhjJjMhpGfvvUKWHkVR4/8rB4e9Los4cke/787wNZjwNv4
6z+/hfvN29gAIAGLP99+yMJq/fDmrlpV6/Ltm7BUj69L967aPOqHu8d388c2hP/65+gX8LZGv/kJ
5fGr/U+XtoH8DyDfrbJq9cZZ6a8rfQiozROTIG4zgZ+gFiOosTixBacmpvbTDduIv5q9/bjvH2YC
+vsJj28OvDlTq6IOs4MsdmExyyQwDx4/dDQDCD4hgpimENbjdbwzA17D3Iv47wwyDf0dsiPD/q8k
D7P1AWDnsK6pZWMLgN18+Ah2WPgMPpbFzG3Ap3O0H+sR/QSYRxRHhrCrYL/aiPYSBP3j5vRb93J+
gjAXglK2H2fYyzE1ucUwzICfN/PX8rUf7b2jTMB8L92RIX+nklWmDoI5sbDJGaNPIh1E9lh/Q6bg
FjLtbcync7Qf7RH9BJxHFEeG8F/p6kHpgyBMQf1GhINw3oYWgdgmRFAk9u3W0xnaD/CIfgLAI4oj
A/g06w+xgG0wwIhFEHvenHe0cn4C+rptcz4S2lP52Y/uFvUEbLfuPzJkZ+vkzZUCC//3r14Tn4DC
Dct0szFvPjv2tXlCkEnBvh4Z2K9iaj/Gu0NMAHqX6MjQBj/LqlnrVfn70aabtWoTTBh72o0B07HI
tjkShI5341cxtR/t3SEmoL1LdGRoO3V1iHVNxYmFAUb0kk0FprRlmTbGZGRET2ZoP8rb5BMQ3iY4
MnQ/ghVTH8hZRjjiFL1kS4HNDJoXRjYabcuvYGk/wuMBJmA8JjkylC9XDyCvDyCu7ROQ1tQi7Mnd
hXaMJ3SCbLCYTQxa2c8G83SO9mM8op8A8YjiyBB2VVKXh0AYVulmuwXf1wsbMjlBsMxtYVrbCE/n
aD/CI/oJCI8ojgxhiMpkYZms6kOoXezENhEDF+ezE2RH7cKAMjHBMTYS1q/jaj/Se8aYgPYeqiND
/CZZ3a8P4xDhAoJYJn9ye6A9UQzETNibyZPJNZLd0/naj/eIfgLWI4ojw9lL3syUBufXATZofsKI
sC3yHJwWY+cIAReY2EwFy97nAnsVa/vR3h1iAuC7REeG+eVa30Oo3T1AOgJFtrC5/ewuAXk9NqBN
jgXDzNwH+HS+9qM9op8A9YjiyHBeJOvsEIFosJ4JsrAgEJTYxhdCVIJj2MtH7rDJnOwHdpt8Aq7b
BEcG6xxScQ4SjbJPGMW2ZeGXU0wYt+APHqnb0znaj++IfgLAI4ojQ3hZp19V8lD9fhFtwpbLbWya
u2vXPME2pgiyyZ4Ur22L6jUs7Qd5Z4QJMO/QHBnQp2m+1uEq+f1AUwK6FeHWRpN+/Iz1bGydWLDW
LQzRyc1n5Oh8DWf78d4ZYQLeOzRHhvf5Wh9iQ7ZOKHv0Zj9BueMJA3fnJrcEUwIBrJ89YVP52Y/w
FvUEdLfuPzJkn/IbXV0PB1jL4OlkJjYRfk7t3NGrwQ9GOEdIjNNEHpNSp3K1H+U9TzYB6z1UR4b4
1So/hM+TQ2QCUrYh8vQolnf9I5DSzQWErvhIx57Kz36Ut6gn4Lt1/5Ehew6lA4dwdNonIIABW9P6
4draMp82KdxwDaAfi+mpDO3Hdvt5JoC7TXBk6F6s4gOkikBIGRJBMEOQ0PX42fFikxOBLWxzNpLR
U/nZj+0W9QRot+4/OmTLcn0A/QqMJhPSr7l4TrzflckIFi4IZSjP2NavLlZTOXoJ3S36SfhuURwZ
wqBVvJnrVXYflvfq+6v+PYVUDNQnBml6+0UzJF9D2QW2OB3FI7Y4mqL67Qd6/zAT8N5PeGSw3yQ1
lPpNebuvrJ8TJ4LaDCIUzx6vnfw+dAKrWlhQgPF9tj0V0E3naD/eI/oJQI8ojgzhC1W++SuT62R9
CJjNE2QRQvl3xWtsP2FQuiG+bEJg4nHvHvlCXsncfsT3DTIB9n1kR4b9RoRdQtXnIUKQ7ATyfxiD
9fsk13cWOFhThGNTmCPMX8XUfsR3h5iA9y7RkaF9udKHqo5kJtRHoudo83iNww5uUbwpoIUrP/vA
JjO0H+Vt8gkIbxMcIbq5Okgy2ONShmQ//qyFj9P9wHoWtsk4ARvs8bML81TOXkZ6a4SJYG/RHBve
6+xB3YcHCUeKE5DLUHPBnj1hY8AJhfRAZlO6KcvYWtGvYeoFrHeGmAL2DtGxoa0A7N+vhkOZjSkQ
aNnf/ds7eQXoBOreIVkfQxRrC+mpDL2A8hb5FIS3CI4M3Y3qMQvX8hB6GEQjMWzOEJEcpYxgBmFn
yjH/rqFtA/wqnvaDvDvEBKB3iY4M7Et1EJkNhhQ0IviRALZTMLcpvIBIlYA9ehvoqfzsx3iLegK8
W/cfH7LVWq/73y+nqX1iM3tTrP5cIDfOKYCyKduyTZuO+w3B+57M04sIb48wDeVtmiND+mrdrA7S
VgoWqU0Y1E89113swRlhKLowx/Hm6RztR3lEPwHjEcWRIXwNvm55iGgVhewgSLzm9ktNZaCzmAWt
CexxXtB0jvYjPKKfgPCI4sgQfhdCNXMZPhwGZMGRRelzVtBuWhCDvCGGINw82oxfxdR+nHeHmAD1
LtGRoX23utfQgC+rDqFj8xOLQasoE0rUHz87vs6NmbX5A6lim8+Ox/M1vO1Hfc/zTYB9D9XR4b5p
Dugmh2kNCMsYYheQePBS2QU+gcAmhv16FMUCK+c1bL2E+e4gk0DfJTs+1N84a+hreYjVDp1nLGge
BQXQT6t9p7gKVjsiCHK9R/kmG9N2OlcvYj4eYxrkY6qjRFxnK/1wGJ8oJOlDwTN4S56zjMaaObhT
CCQHQoXltnn9BPprGPsV8DvjTAZ/h/IIJ8BFHZZvrr+GZX6IdW9B+iexwfqCfJXnXXwriRCKKm1Q
+KB1yZ4p8ErWXp4D+waaOAn2kR7bLAhW5SF6REIiGnT5BHcpfalDETkBXyriMENG638yRy9gvk0/
BeptimNDOFzrgzQ1gdpKG1EownrS0felGsJFaAQNTSGfl//PAZG7yXy9gPM2/RSctymODucyDntV
/35n6qa3HIWEQvK9d/uOAkdObGiKYUEPm9FaDqfz9BLKoxEm4TyiOTakISCSgo3224vi+YlJhQ01
HS85zR9jY7YJiUojnCdz9ALK2/RTMN6m+C9A+Ncsbj3ypn//X9/f8J6c4defvQARaduGfvyPgnjX
uwbVHBhQx9B/6vHz/bufMkihd9+PAyOeJPg+nvYj+zPt1jM+PeKvX8p/38kKmyaAh2hFAwkmlBBo
+PgM0Dg2vQlnbfoz74Q57iZztB+/Ef0eCLd+BUeIjCiODOH362B1CNkL+jKUN9uQ/PtCR4PN+Shw
ZAZ0enxKKhu5RKfztR/nEf0WqPsPSRlRHBnOX+qvh9hhN4liGCrZIavg8bNTegXdPKHsioPltC2D
p/KzH90t6gnYbt1/ZMi+h6ReONPo96tPm4YVUDUJuUPPtc87UQ2oq4NqWDj2Zrx4p7O0H9/xM02A
eExybCjXEME4RKQSKmMp2sjgl3UpIjYxDGu0gt9P5ugFjLfpp0C8TXF0CEMvz/Qg59iwE8HBNw3a
1H59GRyX4PfAmJMdjKfz9BLKoxEm4TyiOTKkv6jkEO5pOK2IwWEIIJFHiZ6gTMMFhqHJ0GgTnsjI
fmi3HmMCrFv3/19A+vLxdD9O+putqpX3eEbgTyfU/frq48uBsw1HpM/J0vssy+dLpw9/vrUghPiT
9bsZYyvL+mdz88lU/TfVGjzdf741MIbI1KbADsFRCBb0CIMB2/XTJQJH120yyaDLKwdzeVNplcF5
DcGfb03oW4I32aJoYyPDKQtggZWq3lyC/kWQuQK1W+DrBHc3NK/5cX7jjUp6qbIfL+T55zdZnd6o
MKvKP99i+I786bZHVpElQMWH4nsbkhcpHKEGszO/X73b9FWAu/+nGqjKi7rurrKWCq9p/SB3FI1Y
7MasbW5tw+rPoq7JYg+huPpSKbP5EJtlVzilyIpPP729fdyAzjLmBmJ00AsC+iDC8Y2bFfEzN2bW
57EI6uaKFBm+kvGQ+U7NlB24XVMp4TStWX9hTW6Ejk55VbhFpGPp+EPJTBeSa7MHUVXoGsYI6hlJ
EvxhsAyOF71t+WvcG7ib/5pjAq6oHY4h9xNK4OEMOugRhkYchywAbPvqinaWlDO7G5IPDZxcROcV
65XlNH2Ho1nIfO4MzO5Dp48RXaSN7vFMN6p6CLqyxG5o5NashMM5G6dKA9Q4TFux9KSKgpu4Fmdp
KYJyBmq++FgGxXmctFbnhaVhX4Y6aNLFr59qFwZoNIugTRac3wFJ6I8P/dOkYL0hWyNPyqus8sVH
JTkmjhkTmBp5Vnc3bafFXe7j5POvv3Yz136ei1BlCmd4MQqdraFYjdANWz99rYU6aealzK4yPuAr
HAf1VVZqN+R+8PHX3wTLZ+ebBCQBMOhMANYRH82zPDP7odCBuuI5MldFq3Sy8CveEyfOAw8VdTK4
FPVcuRG12vQ/TZrNpNh+UJgocDqOCQdmQGu58ddDInEYyCwNr1gRW6s0qq1VnGx4sIa09GytlNMj
gH7RJkVLnCJWbF0lojxtRW9edDbVyKVtpGI3Yln6geqc0FnA+36dG00+Q8aQMtcSytRLi9pD7fz6
7W26Go75ZxuxAQ3G4QxV2NW2gUJ2bWWW5RuXuPbTVairUjrYiKvMdGjfZ/KsDcL4q+Qiv+iGIpjb
yuxCl+CGfavYMCi3DyRzTRU161BT9tBYecDOfs2kae2ATE0Kk2hjHkG9lMVAe/p5Otmah0gHFb2M
zCL3BZ9VIhgWXdVRMa+aunZ1V6DbJu2t2gmCgLkaZ4uS6HyRmDlx46RI3+WJlXYOS1r5qY1SddqX
VeXkVpF/sMuYz/wi891aRVHohBWNWsePyuyqzY3yujAG6kmJReQYg5+lLmmCdGnZVfKORPJG9hnt
nKRmxVXlF+8rkhp0ZjcEXmTYE5ANZj0MDmp5dJEEFv/io9o8C2yOLwbZNcJtUWCm0Hu9D08NrvvU
aXs+zHBrGbMh6u7zsqjuamSwwGnTis39sqhPTZ+Q90WA23jhMwOHzhDE/ldIn9KNE2aF8XedsnSW
5yU5jVWWn+JCJA9hk9uw7mka34XC75jTFKY8076u3R7ewwKbRFwXbdp5ZquLOcYdbrwEDuuTbtNK
XrgNCXwvLame1bm4DnxDohnGqlrCVkNaN0OR7fCKJZ+7FAXnRIv8zqKVtahFZJB5aafDittKeyXq
omHexFzOja5DK1Im7bdS5rnlDqRCtZNJ0sh5V0UKFkfber1saj7Xyg9mSUXTZQa3OlApqRW86LRh
TlRGkeEyv2UOU1Y3OGaV+C6tjCxdaDv2pFn36Lal2ITzjjVKnAhmUjWnVSvKRUdZd2HHw5D4t3Vb
VGnq9GHSZ/oh8ANChi9la3QsDRyhQZSre9KnUUU1nGtS1zm6quIqjbszERbDohF15Z+mOgxzJyKJ
ukPMoKdRT2nt1oCB7/QFEh3AlXI+y3wf9sMqidvCs+NWIlcnFfavgwLZTC3jnrXBrO8SUV3YZUVh
RrW+wmXr1rAXzm0jiPzrBpaOLd2C5xwmHI3LdJ4loRZOUsDm5XtdE9qu4YOL33J6H2UmnP3op6kb
iLr1523CktQrfdAK5lYm08HlgwUSMyOxWbtpoI3EacpeljdlaKSpp2TIvxl1w0I0Q4pUi9DkNb+y
DF/6ZxllFbMiN+vKYuiXJUT9dODlMmCp55fNUMyFLrNw3id22i9RWaa5a5E+CV3WWX2y0GERGi7A
Sj4ZeTrgGaT9xukM/iLjOomQUcIrz7JPUZqK9JRqUSVeHFT2u6GuKJ1HhiL4PGiDkmUOC0hQLXzd
5NkdbMb0LJIDied1Dhx4qkrk4HHcDcLlUZ+3lynvYWobsFT0zMe4PtPUspKZ9KmsZyxrAM6QlaCf
ZENEh3USQzhsxoGBdEb7NChOMQrNpQxZbLskjgs6C1Xoz4bajy3HaHUubiK/jUyXhkU0OGkeDcY5
8hNzjnNfWsCuYLmH+2BQp0GIW+nFwgxaZ3Ofg0UoMpg+khZu14bG4FRdaPyt4Ti43nBCWEfkCg9Z
OIQOb0yDvu+TltRXdi56NctEUV1adQZbkixZDAQipfC2/DDA2ZcBJ1lwVvRp0s3L1hrCc1zJ6r0Z
EWtldX7qOxzD5J3XWceoV9pDCMzXOEpnCS3i0uWt74U4LL4kbQuaRSSj5q607PZrrgO6bFgrfY/H
FiJOxn0Yx0pU1M0z3eCrocupeVtWFn6PKwPuaG2j5G6Fe9Z5DUmjcKk7QtrTjMmSXIcGEx8zVGwm
ZxQV5YIlZVDedL1ZcRcVLWATtBkwpkoQuuewg4mPlCOY3SlIST2Dnt2dOq1K4ZObSNdx/I7wTJin
nRm19WXVVRvlM+i7Gys27M5TbQpfrdQwNE5H0mpYoJhtHn7DegvyCfjKU3xlWhk8RV1Y8KqCWMWD
K+IGlk6eyDi8zTSDJa9r0AokXAOZSqosuC6w2evMoXmAAO5Wd/VlagR56YSoLrp5B7VJ1OubgmyE
BiwmF54IBEgn8EZPrrL0ow8N6c94E4bc4YEVw7zopb1qMwpsdDrq39GqQ+W5BDU3Old5Fkd3HHaL
RZkhfFUIWXyBxEq7cAIzCMmZ4lLU536gZDPrNStaUHB7usgJvFYXsaK/j5PYuunqEqllgfom/tTa
qSyXqW+k3/pBbGRIWCTBDOwATr2Q9EE5z+1UfDKQn87TNpeFw0wQc71ug3ehqspzkcaRNbOIJhLE
HhxR5zQBER91ZDTSS0gGy2QwfCpOzUzhYp2CQO7PoDE3rI12I7G9yDLgjXbN0HiwybTFOdY1sV1f
JFUDOy1tEKjeRfS3Fo14b/Sgpp8NotL4oSqzvnRSjFlzGrYEhupSHAyu2UpbnuYAS+sasbDng2qa
6rLrWXIXNWXhcFYuzbRrrOXQ2gBOjHA5LPIkVuoyszvzwqiQqbygyNLmXPZtHrjcKtPgPWgi5QMS
GYgREJ1l48RB2ZaOaBtewC7QF3eJLHD4GauB8sYZQAPrP+QVNQQMVvraC5gRyzPDz9uvgURG4yas
tOPTUCB825WGPyx0XZShFw41TNKQVBG96eJksK5SO08Sp8gbZF+aODA7twftpvTaIAfUWp6F0tED
S0F2lGXi4Y52etYkhOvFwAuY/bHZSTbr/R6Vrp+XdvGptXr8Pgo0zDXY6cRHmOtpeZOJDIOAJbmI
5jwN7Nbp6i+E1y3HThw37INFsqKdtZaszEvTT3jzrvBLoWFzhxnt5SEFNMFw6LuLkFaxumA6D+gN
6VBin/qdEvBcXWfIy1gbeTtLSx9kBmhjdXWZJD7wr0Us52XA42DWdgid9oUJ6763bRY6ph+wy0et
9Nl3cfOk5D8Z4Pcq73Uog2r047/eqxT+++eG5sc9j26Kf/90Gd5rVapv1S/vWqzVJmRejm/aGhm+
/Zm7jfti64cdV8oLzpJ367JOqhcuvuxJ+dGGc+NpgFYF1IK/Pynx+9wpT0cYfveDbRN+96iAPxSK
7DaHh4KRCv+A8fbDowJtqQQEvChUzENTsk215bNHBc4wtDblH3AMA4g9cHfApe8eFSjpgkgKHLWz
OTEJusnar/GogC9mZB1teqFtCsRsgUD3hUMdtu2OTPKmSRqurhFK5DKX/iKQBnc0bc9r1vRuW5Py
oquJWlA00IXo6pssMsHgzNKv2iRqVhrlMukDyxNU965sbepEZlC4dWAOTmS0ZBZU3HBYYQ8zo+3S
m0KKT4E1aLfRlLodGs5h37zQlrnkSoC4NIJF0eeffC6VOxT8ctB95TEVN0vA/UymUQEL1jobeJg6
0mSXNjE/SCuvnSrkt6Jl8SzT4W2F9AoyPzIQT/Jjk1q504IZC4oba9y4GS7tjH3qfNjfMaWfRaI+
2V1zLmJ80bLkvWGllxVvcxdE+YdM+8gxMKjkfnvOBvNdlkVzLI0vJOxcWch5hQrmljq/yJn6TLh9
RYM0cgKrWzSdlTkwKVZVwksn65LAMVjlhfYQOLhLkhnVnQ06a9F7nGe11zRND1ZZeq3bDvQJSZcq
IKHTtfVVmzS1I4cWL6y4mkd28a6Lm8i1Ypy5BhluqG/fkyp/H9f9HORR6lCZ3XSmPe+D9DSE7d3x
WXlj1+xDUPjSy83+sx2WYAm2Vj6D7JfYTbJQzWnYl7OMsEWlh1vdZWyOg+Ssw8k6GFLYHirywQ40
hu2M+K6txHXUMHKV+GzZcXlXXJnBqV1HG1Pw3O6jyIUkyHnIGuWYBYjuaoi8ilYNiHL+ObBt6dRF
RpxEhQucZpkTp+o+ZraaRVUfOaTA84SDYEbS66t+GfZN5KRp9FVruoZ2cOtWIbmUhXm12dS6ppDg
iGhSL+oT8yO1YtDfe04c5odw+nlxllr2aWJh0BSDueYynmMwIry+64hLpN0veJ0r5mRWXXltY9yG
efsghrjVroXCyEW6WAyFWTqsKs5MoyBuYeZLYavAUcSPQPljfAbZYUtiyGyhdLcC9fZ9iNSsKVMP
VciVMHVhHolPijbUDYqquStMXHihkJ0Xs7qHiQB2PR5q7FVJHjnUSt6JBtx0xKcOOGFOM2Ff+E2J
nTTW0SyREawLltQej3I8p4UiDhzrguZGQhMXwT553pPs1jeCeypb87by03dcm8jZuGRO8xKeJaha
0AOG2itNlTgSDddKwUqJ0q5zaJDf+My6CFKEZjmKTMeO4AVm9t9Vhc9KdRuaZu5ozW84T/3TzlZX
nZ+0TlO1Z4KoB7NMcqfoo1VqprnH4jKeGZ0Rz/IB5kdrFeCkKyw5CwZjQXs3Gv4mkj40+iKKTkvV
eqEqerfwYRo0qb/qN0oq6YtLf4ixk1HjrsvNZYYDA6zN4KMh43Vcw5IhmYK5nVvzUhSnqZHmjgCv
C2z2yXtwfnwTjWpd2cG8owlbmCqTngk+H8fIh8ppZJFdGKSzLnGWvjfCtLjqGjAmwNyPPCYGf9YN
jeHWvq9cqZECZby5bHTMHbDGIicR4V2gYTZbpsSnOokCz/QBcTAxwFHXD7fKz20HDxQ7ZdoMbt4b
72ih6xmCb3KCofAdo7HBxRDH/rzpq2imispcBoBXYwZnMVjkTk2L29Sk54kq75CP3vtWqGaYNGc+
VBl5dBi60CmV1tF13mH9ORZW2Xp2mdmRW9bReV030eBWDU3JPGz9bFZEYfmFCxmYFwfRHP77dAIM
Gfl//KxcbIVYnhrF7ioEG6rvCsGmwdVmv4V5R8ynYMkPhQBDAB1+zZmA6oDHXf97iAWfYA5eDgjA
QI4M+Jthm/6uEIgTBv2TYETomga14NCb5Tt/WxoehJWef94KsVjA2pa7dKOQQGQFatIQhDXA+b+t
EDS16Ixc2e1139KSeUHjRzDxmOhnsg8DMFv882qIJVhvUdPEH3GNDXCRIR5Wp/kQbmarPcQXZS/a
wYs6Ug1e3OaZKhww3WzrvrNbljpJrv3Bq6QOe0d2etnZWIpvAqW4uuvLstTzKmSmP/Nh4YtZkqvW
1k5g+MbgFbYkAwieuIW4yqCwCR7PWnbYS4nUgwexyxQ7Pqf5rKpjvKhRzPlCN9K0PiTYCOw5A+kX
EpzDBmub1RKc0P2yo30dfWsp7+Yy4gMCX2iUVh40qUPLIO42dglPvoZ+Zs+EbDFInbxvPCPRNoin
kDkiiAMHpQZIK0tbXxurDJxhSOmiQr0ROFYhzYXVB9/s1jCdNOPfoiwxIXgiU4/lcC03wClrNLVe
dEy154HMy3OOm8CRIUiPpIKtLdFG9hUxFjsEV6D1p6SJHY0M5NQWBr9YH6IliPfACf02W2GeDI49
KHmWg4PrxuxB9Ug6LBY8z9YxG6wFTSiIyqAxF6WqQg+BlHBiCaLOtOrkJkZ16RbgPEjzhjhpUbQe
NyBCJDldB6WhlpaOYVo0CXVSaRaeVpI5yDa+5rEvl/aQ1C4Wii8Crb+x1vfB0g4Dh6VgZM5aLXt4
JlAylErLM2GhaEbA03cJPINKp2x1FreNG9YRmkFOkelYrO1vhfCtRSsU2OF1YDngvYg9qk3utLXf
eNmggU1OPydZTBxZRGDybfY6cJdKR7Gkd6q8KZwaooULnNjFrewL7HSyrW5ZCB7loccFdoe+j2H3
Icl8ABemV8J24ZRml3sdZjWI7bLw/C6LlzjRAWxOUbr8f7H5ZEpBUOllsflXkofZeldsIqD6SWxC
8zAKcm7T0oRsbLMfYhNMLAbhajjr+zH+DAGef9tRAjx90AGFWpB3tGVHcWjjD23coZsVrGJIHn1d
ZHonfgMlIARikBSCGsAn3hhzP8dvpGZtFFGeXBu4+CLDChxMdfIV99ZpAqqtE9kDmAi1x6zUQQ2b
D1ReiL64ankKTrk2BW0lLFKnloarWU3m0kJzpOhdGzbE40zVbiP7C1T5M9tQ4KnF1ceQk9xNcHIR
WEXiNoZeJnG5Su0OtGpsPvgkLN3cSKUrre68481DXOPC5THqZ4hSz+4bC6RGNnioNpKZTq1uBr6M
ymW1qF2zR7ZbqayfZ6q/Ib1lzYhMzuvOog54Mz5TiEzNwMn0oJB9BkHLfFZ0We7IpoxBIFDHCiCQ
lzFxMwj8qfEH6UQ8jCFyZbROwir40Y5Cd5AghdNU+qCkn1JZzXumfKcAN49D2u7jEMjLimXnuZ+f
B/BMjupD7aSEvGvDeNaAQu3FGbn0MXnv90k1byApClRgCmHpsoHIVwyGrGnSZUr70PV5/olb2nBt
1MtaulZThPKuIlH+N/hWP/aD2Z5XvLzOaVUuEtxCAKXQf3cSHGhZvEjz1nbM2gJDpu0VKGI+cQKf
XwaSfKRFSZ06bK8NaKrkxXE9zIg1SG8Q4LuUWhgLQ9XvqBE8WImvFuDHdTF4Z8+Vvaq6Fbiw52Zu
r8qeqkWt0QJOaZaezttUfRQ4yO4SlOTxOpTDQ9sF7waKQOt/NFViHXC+0ji68mF+n6IqQ8uuIuqa
aF9cm6lfnvXCd01Re1nL7GWlQZtGAQrdwBT9FY0GcBuFKm0XEAH71GbtjIVpcEk7tQavGFkiJUXh
aJsHg/P/cg7k3KYLz6/lHDjAHlZjQfdE9l3QQYaVuTl7k0MUCFQ+BuHsH4IO6kIZZNPA8gQBiAlc
+i7oIC0PQUsQCG8D1JC9A5e+64fQcRXOD4PMaWirCm1DCHmVfrg5xGRbP4TDXqGvFLihIUoF52SM
HEa8k4WoeVBfR2GVn/FEmJc66855lhSuVeuPdpqCXVHFywy23WEdqLIwbuserNtiCF2ISCW3Isgz
p4r720qaZ6pM1bxIYMnjoYdUkhgbizBpTMfMg7mMm+AU4pVgPee+6YBHWQauaIpsnrI8qe96mX8R
ASxIA7RjMM07sNRzUppnTWcMZ1aedYHv9rwPz+oknvXEN5aVob9JkQ2QxYL8RY8VxNNxLE6TWjYf
8/9l78yaKzW2L/+JcDAkkDw2w5k1DyXVC1GqksgBSMhMxk//X5Svfauu7dvh7n7pCIcdDtsl6egM
7Fx7r9/aAF89+zySVzRoYRfzh25AI1zQZnF3nUd5PmrI3XhM2lwFa5DXNUfXGSWQG15ylrG2RV95
WWh9uwvn7pqGbEzHQCUoTuucOqWFC8Xa6aAnc+0Zk2S27V/1VF0WbyoYarNv/CuXVOdptSy1AnMt
juk5yifFLM7gUsY7nFalgyqgbfVRTir6vKxiLHd92LMUNjocTma8Q6KHeyaDByrcdjh2EXPsHffa
/gAjPGt7Fh36cDHtQ2TdBOJ6KOMxDeKS7ANvwqAlLMMPWQ7TcQtW7ge0pfnatLeLMNcR6U5tza57
1z9T6+yUmU5OE+VqxXS6b1MXXWbIu29T699zm7z+Uzy+iySCS+2vRdLD91Tff9YOtHz4rt9rBwoE
2fZnU4qEOeIyP9SOYCPx0FUCV0J92crKb7WDbjtIthufYMwHz3f7gb/VDgplFfj4WQRXPMbRf6t2
4CbBP9WOLetMsNOCYOgHDUfjDRH+USTJtsNR5gr3xg9CzXYhxRQYDvjwVQsMP4mc0UOV8oCrpM2E
lzyXFi1QqVmfY13lm23qh7iZkhS4Uo5sF9R9x98Gxz2asb9IR8BlC7VIeT/mZTTanQy8z1M8V+Bk
JnNGE3PsxyoLVn4DbOLYsOTKyCX1NK7CoRSAP5ZVpbGhh5aLYp2cPA5sbqdIZcpZb2U0lFnNp3s/
sK8Jjx0MX9u7RTpeqjrn0WFcZ+UoTNpzvqvK6FyLl5ovnwE9DKkIxb3Rwk11j5FzE54b+LyFWNv9
ohQu+I7cML6S1PXIeQ2767EdztSU37pkOnM/+uwvkbwjcz9mVVteTQS1ofKd10mHhQGO/UXDKE8n
QD6r0c/cd7+hkwNN08FPj+r6aY6db0M44onUyUFKerXUFSs8PIfSlVd87b4YocxuLCUvpsWCnfD7
cN+GJWwpBg1Am6elK2/MMH1uIqtSGfuXmfZ7S6SC2w6BO1JvR02178vwRvodFOC0HobJczOYp88i
SnbDFF5NI9u7lo6ZoeKubVySje18oWa9TIa6xVR2L5yFATCcXqR9Ip97s8Tw1uxLuE7nKeo1pF3z
oai+gnFSXZisrhM4vHlro2IyUK+e9Q+mREEzffXo1/rodgzHTmyT0xQNXeFH7FtbxQ9VuewHOc1F
o5rTAqwCms55n0l3XqN2Fwn7Cf8PZ1ioUzJSWijI6ZQJe9saUV+SuXmMLsqTdZqAQopwPeUsALsT
D+aj8fqDiPU+GnugL4OudvhC0Gd90SkIVFeOOBIc8+CNei9C+UoWb59AkqYdDc9GxDgTlCJ52zZ3
g2DLrjdyR+xaZysa3YXFXYqoMs3kqq+6pDYY15a28OFm+5U6y5Ds6mRYU5noOyKnk2BWZEwv1zrB
a0+26U1oU4fyePk6VEp/Yq0Fj1clDU0j1cb3fofdNVVKdePcuV3S3wOOaeq9N/OdDdydxAwlHfzy
Q1bzexkmbsZUDTCqj09xOz+bSL9ZOfRpp9RdXCV7h8k7r6uPmBKHGSytvJtjgIrxmPPa1Tsa2msv
qAmeXFf0ceykwSwOys6kYCWZ0qSO1wxTgybreJNbNe+CaPkyRz4ajvkzLWnhJssT3miWUuEcF+5c
cLbtmXQwLldpJL2sEnWeOOVBNMtO0rZKZ9qlC1lPQWc/eb3OWbhUud/Mu7EBYRRwcYl5LzOLSUIy
xxg6RMBZGrwhz1aL/TIPu4FO2dgMRw4qKJUtPIrG5IwnL40QMjWaXcYu8fK158lubqIhXWV7SHr3
OrDJVzMRXARLtswAYiRJ8qBbrsggjpMOOrQ3rj7704T3NkxLZzgMRn8d9HgjZpobQR5dXjVpsujL
CqskBZ1REImr0KUs7THh2XnSfQiH8r2PDD6dY3O0SUUzE48Hr4rnzOnDAwma29JdxzPreCp4CMSC
j+gKhqsJ7dbswIppZJ2Rir7WAYy1iB4G4JJ6cfdJPNzyaPzk+t2xJPMuGt24kAKeGZtbJ+0idR8M
ic34qm+IC0emEocaBbDj43UZrY89cNHet3elDwKpH9OoD4GfYLq4rv4uinQROB6gFDPmRqE3Xadg
l4T27LbrjrZkzBJM5PvOfatL46fWHz4HnNbZ5IfB0YurW69d0q6q7ryVXhK6jNm6OnwXrdPJjWSG
2RrLZFeJonF4go4zHPYJm2+D2tnJGn1uQj8Cf921TZebyBZGU2fHed9mk2NvFtvd2pg+zXxgWROG
wFWaMClmUHAvMigxIO3GD2GGM5vd53poj8KqC0vAQgya3w+rn/tcf4TVUgyD112zed6BlHqSnr+m
IUapqMCFacM77ZQKZkzy6kT609zP56kBzGzAO2ZBt+FDAA/RQ7I5vKmm6kysRRkny7HsE9GmHtxE
coiMkc9j7Uwy95zW2zmrnTI606J2+dEPMbtDg7nms2LfyBgM+TIq9PPa+5Ks642nm6CAXKjyyvd2
s15FWgb9R2xHmSVWXmE2i3K5zG3OFP+khH+rGv+eyBbujyLpzMxXjEty6MpT7Cw3JpqPq4/6pWMP
Q4GwfZoX57mb1SPEs9zmwnlXcy+ly3QzSgxKyEof1raDuh7EcKet4EVYx+JAWrdMo3Js5qzxgpGd
f9BTfzL79v8w+gYnDC7ej0IgPJgzQSP9KE9Mj+17C8ZFN95Dk76Eu/G2z8BDZcmXx3tzpU68UJk9
8AvmkDk7qB07hdVBXLH9PwL3u8D1/usU8Le7hP9R4m7f97vEDRBDwW6daGOlcSsYzNl+b4+RUMG9
GTHrQyuObajQsf+2T0iEOAsOru32cN87539JXCRTsWYLYPj2U3E7VkRe/oZ9sn1CfmTlEQMJsL4R
nxM0yeiRIcB//ATZYZl60LnT7eCeKpGBUlPm108H+Jo/d2hwv+CfHgTPwnfxKcU6A3jc27jxP1S0
5+gAp4zpboMpEa7BEWAkRmuB3wa3DD71mPcqmuXdqnhErzdY/EVXsS/vsGZ2yZjbzP7Jj7rMgBbs
GViksi6igBcr95Z0WINsWerbEmx2rXCgmuTg9OrBuh2KOfOKtY/vZ24OaEqblOHQRKLYy0PSn8As
3ThUvtWL/OKUJQjq7igggmHbY7TO2U1lTUH9+hgzkGberD/0EIMt41Ne9yTe8x5UodN4dQrW7dCP
ncyGWDzF9NAHJsPTe6ki9wjGDNa4150wcHyvkTRJy5mk3dK8lx1MWdp0NlXuTNMeLhJmBJfSxlNO
Wx2kekK56WL3bTbtKSBOk3ukfRy96gTW/EnPrE59bj/JZjEZW6avJiKnhegWZbq7atk85UkfB3nI
yzArlX5AdFmD+VO2qJbgqqlanVkT3NVTUmXrOLw4ItitaECK0IfnRX37IWKMain30Wb06rZV5BxP
moDG6Hlay14cIsRKUmBxVTaLoS1453epN1KJacj6yQPTH+DtTNXg3IeTg1Parx+nJoHNTeWr02uC
uWl3BEQprms7eRlz5Mk4YPJcryepR6tLZb8GQu2SIcp4M/kZegqTJXX7qVxHkpU9xWCj8k6aDjq3
Y7xf4/Brx+cJyL4GEUS+UtB+ORX8gzZAaSoCkL+3yWPVRx+ET+BU+TvvwynzjDgwX7Pcm2mmquZ2
9M2bJwQIcGKh8mR7rDnYZ4JGjVNA4kMgxowYOxXEcZMsbIfbIXGexgpOlFPbIwuYLjzCHqrZ9rmK
qyFry6CoidbFWMXFqvD+JVQ8+MGG+GDuMifjJ+muUcqX6EOI5HPoQSixyQ92wSzht5dMXrVNrSER
eZehrjzBFnpoSdidMDm5qeo4xhEHSNmD1hxFjU/P1IO3mPB6xPH6KqPyEQIIrp9o34k3RbtRu0+y
qp8MBwkwQ2VjTG2vmtj5sA59degCjEKyDDulTJ/PJZC/Il4j5QOLgfXU+fj0FxPRfXno8GokmJ73
j2E1rWkZSXzKk1o+SdjDx3CdxW0UTI997x+ctXtvTHvksqsB03TfANH2No15VQyW8p2c7BkSRHwi
xOZ1VNaZiZ5bKJf9whZxaTZDwXHu9SASRDNE3fO8bBA8GEHxOPGscsQcVGbqMExXfH6roNvPKrgi
JmyyWGO8HcNpwLW5MSPXRsUvjIbv3EXsDrWzT8nq7Zq6y0a2nDHd/OLMw3myHEDO8FoNBDbiGtzr
1iuAsdwrLzjCYL1flhhWR/Xsy+jV0DBXnntOpuoWUcPbBVPq1djdOkiwsMu3YQTDz2KRS2NlAWI3
k8BLYqMtxmbhTnfjdRyrQvdo1wBJQKiHU6qSGaQLyLTScSDt9HPDE1mUvnk3lu38fv7kmPdwwCdx
jOJdQETcZGU71dDe5cQxnxgWxynccYmf42qc932v/UxUoIlC2tnuWoIraxQBqbL2RTy2iD7UAnUr
lYp0S9qEoOnsonRGa4zhadA8y97stJ1epql+xtD01W10cOcO4XqLA6/f6br/0vvekeng21zSGwQQ
rpM6qfK2oTwNJdIEmHzQzBE13zVrkzwSMP9XVcMeeFW9CR/exySH+qzXJS66xgZ4Pu6SYZbw2vp4
Fyf2yLkSeRI4p2E0LwNY3QfqBM2udIyBndKbdOQ4ewCAowbANYpyM3TrjQPA7zESwZIvsP2LSquw
xVVuPpWJGXJi4+aAq5nmfW1zEo3jYfTstC99jexLo5b91LosG+suSSsrOS52Hh6mOvEORo6A1e29
IbBbI28vRjKmyim/cvi46Rp5j12oXrQ3P1Shjo4JGV5UMsGjqdby+r+LQ4iHH07274fudmvg7cQF
nwE68+eTPaqHDhs9++FWUSA13o2gjxF+63Cb7ZBP//2xflYR22MhQ4uonedtC6G9eItx/hAtNEbB
xpnMdEvLosQMZNkx5/n/7iH+Q+oiqlfX01BPt5jIZYsTp2z8TLqH/4MHQZ4NMD8AVySK/+N5MCln
0U7TbaDR911m59oZj//9If74tuCl+uEhNkn/w0tlB4D9QECmW0Ifmn63AtqACmnjL2L53zzSz6Ds
v96UHx5p+01+eKSajSFGX3gy/bKmXhthRHYaGky0irE5rc2/LLK/lHk/9yK/PhxCn3Bu4PYkcK9/
fjhbiXnV1ptu6/7Fs2BcoseKnZfm5fvr9/8a8f7/D9TaVPNfD9P/V/Plm9J/7DS27/q90/iOFeCG
ZZRAyuOe7z90Gt4vaA+3luI/fTgKGCtxsQVlW2WDfDDetn/P0nGLhhDgNgFvjRtYxn+n0YDhhw/A
j60GhvzYWRcjhuzhzMMOu58/IKoLVxkupblx6+BRAgj0DabKxNzJGezotDGDlYs8pUcOYllE3mxc
YTmCMLTzUKZu3/VpvExDjoTVvUvWNWMd2nqMlqPUrB4A6g3RTPCz2liB+8LhfEwqUDYdqx/0Rjyu
raKpp+Yrp4fwblrRZdNGSDpzWObxRk3Wo++kONL6axdIJW5KFF7F49pehO9DpEd+DyMLZre/wZgG
Hhrd+MyIsSpddfvIWooRwAZxutoce1CdJbVVYTAwgepu3hHWfUbQ0UlrPzwoMKHOBoeWvblaN1x0
Das3EPSYI4fDkmkwpa0+Cu/ibZwp+6KDDIOxg1JllU/jgODyBqbGi6zztp5l7q+mKzrwq9MKfTRb
/W0A2erZDjNJF09Ij+UR86FbFE9ME9vCWS8DwNiZ0M8hQFm1EbPJErp5AohWV/qWb1QtZslYWTB7
NzLSG3E7FB518ZYEsUltVZljvFFLiC/e+xuzmwDenQHxmpYivbRxvdxjHtQJWF9M9ED9RoBKuhIt
SL0xwaWcPEBh9ALa6rgMHOwUFLigLWhxA/N/Y4v7AIMkauDIRgmCsBHST0W10ciVdSEJAChXjhKp
4t2+d8XJyPiRJOsXb+Oam0WmFgCCGFmSK59BECMAmXZAoSd39LMIcHTg4bmswKWToBGZLL3Wve2I
bR9oCU6e6k1JqJuVaJzikzr6o7OJui+J4irVomohvb0XdLFXGgHO3KEEGwmm4B0Q/PsYL8vOWAi3
3tDygEzlW4NLNIWFgrkebFtgrcND6Fdwe6h7GoV47dbkvPYeDEnF9mpyLv2yYJjmgku3VemlSpZT
qo25tmLF5TM+sqp86xmazjZAilU4zUO5BgwJueFTH8RH2dvqQEMMgxYg02qJGtge7TGqwifNXHYa
7cbRifUBP3O69GM4ItSmFFjHSGffA4yjRhLVS7Y3bwb57EZllHsl+WSUQCZiHQCambY9GX+Ys9mJ
cTQvvE9rU9tsnY16qVwQdi1j+lZEYZJOARqJdoH7MjTP1MesroJ+ndFzp8ZXHG9Q1xZlDYPNcMlx
tVv/aPiGrYuI5dofju5K3WNP2TH2ynof4XdJ+yhYUpRFi34awVhh11T17YFYOBtOlAsFXloIGAtd
DftrDYnNkG+cMVVnMQhJk1viIaGKf3FIeCuqJMVE98mbxTnUw0kFUK5EP4wxMg2rafYgO2XaNuWa
ttK7HufhiUNCpoiV3DZkuJPV9EzlfGWa9cWUiNFJ7NdIGyWeo9E/kdk9gBl9tBQdSD+0buoqFcA4
mC8SwF7sarVrFuQvfD1flZDUsl3qYp68Iva7kz8MbbqY4YOE5WdeeTcI+kOmdLc9evWMjuatLMM5
HeT6UjNwPqSHGYQQ5mfTxAhnAdnHFLp7VIxgbt6pYqzxqcEiikU+B4MID5xELWIzG5/NFCLUG7H9
zxH+fVy4aey/PsL39Xvb/skJjm/6/QTHHVNwIzucjxv38v0w/n1WiH1z6DXxtxdi+hJAYv9mhye/
YCc/uOcEwSEXeyXxR78d4cm22wo/C//wcMT/PTvcizYd/9MRvjn1LlBv3EuRkO8BsB8lJSKasT8P
NLnxG73AIvbWbq8DVbV3gdMyvwgZIoCfkWDQd0EN9vjUjGg81zG5RCK56DaRWdfIN9mr09Ijxe7b
arcQgmu7C+q5yXSwHts56IthTO4knT62ECE6dhTbwUfX7meV4XkV9nu36va0Da7nzjk4vH4L9Rxk
sVCXSkx30ucijazOKx0dMD4/uEJ0aaCnjCcK6Wyx7LHV8dpf3RzO85BOLKx3g7scFjicaet4bwJI
Nrzr8Khp/NKR+Ljq6SvgnCuaIBdblHhurwmOL4spBxZWqHe90FwiD5+KxC6pdFV/szrObgbKgtUU
3qG36jzKeswmi+mLDByNhjZuj9jJjmfbAtExav3UmPEKy1m2mQbMIi2JLnweIBHs70UwVDstMWfz
MBstxOR9oVKfkVLB9JTEGrpmeG3m8vMgxANr1Q0isiC0mzLcNQbcZeu2x4mjOCfczFgn0oS5O23N
aUPVHlR1gPYYKwiw7uPSieWuCcEVIyuWMl98W5qRwq7bDDVVPtOaeAhrLV9af8BJ5Hkf1ndO3jgc
J7tchAY1WSYWIyakTA7JNEwXBeQvX4jjIMlj4QLW743TTi94P882/Lw2SMEC/UTmBb2DgO9VPkyo
4MiySWFyz0t6dnH8dliLlssK08a6VrB0AZUnSLxUYXysDSWgG+DVc0r1DKCzT6782GGnWKpxj2Nf
HfG6dG5BXKgEcJDJQwlWKMnqxZvbtFdrdBjDBVy7DkkNGwcMhrds87m41f4lruvhE1VwFaHY3H86
mn/FUWF1/HU5xF4I+/4n5RDf9EM53IIiWOfkbguTox8bGh+gz1Yn8Resle3+vr9ZJ+4v6GWw+XxL
iaJriVBf/10Otz1ScDrCMMDtvRPytzqaLcPyczlEMwNGm+K3A3CEZUM/dzRjNxss6GDBjZmJC60z
HqeF9LknAozuo36nAn9AN7F8in2Qd6YiX3VALxZHbR5uGXwxA16zmp0tgoEprtArR7g6pWs35LMZ
r2cdmZwkmDopNbwtSfvKMCHFYoh7ScS+XewJ2Zz7vkPLI/plSJPON7gg/UvbYMVF5cRPRiYqq5PG
Ih1fPq1KfAqx+gPyc52zaG5uwiq4wRS4SFCR47o/Sgz5jutY6myQPsUAdN5jTVjh0+4DdOP9MFXh
qUXkFtnsN4ooTGLW5xk8ZCp9xD4CrNlII9K0AATKzJ0Bgccde5684bNEJixD5uTgD6pNO4OC1bAA
cAzkZ8a74Fo2/amWJEgnBDD6kaH+OgoCsqY3vNFo1Kr+RoRjd5obi0g7RxMUN0oita+rLHGr8tpE
ys2hwDE+78n6QRE3uR5J/HXleHG7smF3PgLzKTP6ncHpvRKqPoaJA03kd8uetYbeGD4j3xJPeNeQ
Bk51ZatMNpidQ+UzzMy9aM9H+B2RHsEkzHF151aBt187pDf6itfoKQGiYD2OSnmDtIq71OIQBHNd
OJyjhrNt8RWgqSCakRuG6js0ZenBcACnUBPDd8Ttyh2ZgrrQjfX3VgVN0QbiAgryvFpxI1vvaJdq
zXlDP8pVRCmmvKRwDA/yZVhE4ZXxspdDVReuYLCUiLcAu+yTvRUIEYpZgx/wYfA3lcYmK6wJuQdp
TfdDF7Ii8FxxcF0YYUhYB6kJAueuxh2B0mbFM+3nCL4EUl07WjkWTuFE00VVXeFg+QiIJ8lPITqI
feWzx8U3t8PgtgWDgZAq272pGgNZziIsvEFI59QlUKYVIkDpsm4vEffbz5MJxVOLTSupYUl7WAZs
p/PnSqVQEt5NSNFks24tsXEACZlAAzShE444NhHMBOKBf5NbsMkVcQl3pXEOrhW7Iay3wxpNB3Yu
pE0C+wu7eWBtETGkjphorrumzqJRRHerN9+JebiPtqCO8YXHs9qvr7GryR6wzuPDtuubRcRpZztQ
AXVS6yuO1QxZMEd5rfvoGC1TeYmceNzTsiX3vjM8Q29YJ3ftMCOm7s+el/Kh+zrht4pXB+ckE3Vq
KOv3Dl8ePWcCvMCqKHPH5NQ2PgixafGAxAyAfQ04EWz3wmqiquBt65wc4h54EDyN21kJzPixweEZ
i/Z2grvhOPGVCT+XOGIHFY0vmBK8Tzh85+0UbrfzmG4n8/D9jN5Oa76d25V0Lz4ejXXsPI7ko8ca
G+R76yt3cr10TOLndVMBXKx0w9q+mRirybC56KggGbDt8TKEHGuzNjWBGb/aS+7B1BpZmM+LmjGL
h/7Q+PJ2UySxCcIdXBNw1H1zMzjVQw354kLGQHChCrrdmMeQOBxSZ5ZRhDkK1M9oVLVDhg+oc4DV
bVBIIBgxXtlUUw35ZOj0acDdTfLYIbeAoSgUDnQWDUN85aa9hk2FdZBjSGsdsPGizUZS7sSm2Pim
3WAAIz0/J7md9bvZ9F04wl5ifvQKxdCEhYIMbH37VUEWtkP4Ao0aHjkEo9DrG9ZzYQmVmg940vWO
beqy8VZ4WPE1g+xkm/70IURl4iiwJx6s6ugADz4Xm2Z1+HSHdZOX2jcYbEDWWpocYshcD3LXIf2+
wvIpvKfZXHv47/ALo5xnhg8fhscQT5MtRrUcbUNYMcR15hB5h4VBDs6CIauD5cxsfdckTu5x9lhj
AyKL2kM81G0+NBxwi80GP4ICLk2cNst6KLEQjcP/dSEZTeLD0nbfywHEEs4xZ9kD5DQUYyKQV1XU
3rscxuY/reKvrSKshb/WRoj32++3ecLtvP5EIuF7f5BIIdgRTNw9mC8AOH6Y+fq/IFsBFPrfOui3
jpHidn5QVEmICJgbAjD5t0SKf4GmCUMkJn4dCP8tugQc8x8k0rb/Mdl0EpTY920iP3aMSROvSYuZ
0k09cmyqy3Sv3BNyneTUQo0AOIkA6ooKF/DsXGiL6LsImxH9T5QzdEUQ+eJxruxZ0vlhdOfLUmI+
2rEoSbHEBtuI+Iolb/Z5apbruAmOIY+QlAeN1m/BqHk+RR24gRlpNb4i6t/gEJpKDHfKOJnRuQYf
Aa1sNn3PAHC5ANkM/EJLp09XSnZoGWhGNhgwMex1iTA6MTVZCpSJJnd190giDL/I4MBCBd8WdCvg
4cnCzQP2rNvyEyzB3PoRhrnGgMKY3qJBpqLsmzz04q8Y2HB4tfwl6meTRnF0DEAeDD1OMaxNe4kQ
s6Vxt2YlkEJGNRAE0xz8aAzzUdGDmZFbWQjKDSTJ26LKt8bON64C/QwH8pW7Cc8aIvewtI44O9ud
N0861yPqDq26b5VLUJW99qVTIfCUrWSXg32PSn+9BmT+hXdheUY5x97G0Ac3U0WF01Lv3od0ywm2
/mUcYD6mZHOynyZ59sJ+RDIfK1JQ/rTdYftktpKYY6dArHb1EsBNxhLAgjIsCKgScOuD35qrxaVz
LrGwdUcxv83L2lkyC1WfaiMZVBM2Ey4uL4vWNfyM5RT1niaTffDDcX3G7J7lysU2L2lq9wqTTcQU
JylflcaUDWdN9DKaprkHJdjfssjnR+rp+dInJRYsLLUCU9RryABCxAUR5G5bNjdfBr3Wfro2bvk2
U+7QHEsf+2Pru3dSJV7B2NQ9uQte+H2JFbufHZFUH4RiqUWz5VzQAg8FAtzZ0sAsMFsaZtxyMUZj
jRuCMnYBw4jgTI8AjUGQxt0SNU4/XOstY1NuaZvYHTG+2xI48ZbFQZr3mmzpnL5xsZB0y+sguIMt
heB4tyxPu6V6oi3fsxLpATsAwhFv6R/1PQjk84f412QQMkJqSwtBHY7PgKfpMcIqcoTUkSpyKPJF
BkGjeUscYRVePm8ZpH+K+fdi7v3XYn75It//WMS37/m9iG8pGBfjNqxMACgX/FjEg1/QpvpeGGBR
KAJx+KPfijhu2QcwEEHiGH+IpAt+4G99Lrahw5pCgxx7UeD+TUTwT1YuxVGIFCpW86Gxx01ecVz8
VMQDRBfcvkVOYqyrs1M1ffkwzxLJLFxUcj8hspouMdk2XoY52qD6SDSAqnBwwoMswYA1iw/jeXIT
VL8aRsaMViUl2EuZBo13oSG8uUkgKSthpjiJgOm2ln061+4OK+3QyaLjS1b6HgKrT8dlqvKyJCuG
Vaw6t/N0xm6CnUORvOG+GO7taODRzNHnek5aXIIsKSZP7GvsyVsBAk1+dd97LdaYRLgWofPHrG30
wa7edWKS97gc7nhAb7DI6Qiu4oHTLQ1rXpyKdue2VOeeJUfNCD96yfRSo0GkDnto/PAJazixhIaC
7yMy6B48U73iPsnHgHaFcMvXIKm/DAzLVLBEEBXLjtj8x7BigKOKBgEIMK27bVNqcu5RjVOpfQz3
6uu+9mHyieqqb8gXzeyNXdsPixc6TSzWTalpwhae7tTEMv4f9s5jOXIj7aKvMi+ACQAJuy1vWEUW
PblBkGw2vLeJp/9PUr+kbkkzE9proQhFdFcXWQUgP3Pvucsc7KsNiVdn4e8bJrO+GWBMaiJJrATo
Tlce5kB79proIkcrWGK02PchLujabee1L1mxeMW0qIzAWSZjuTPH+iWV4TYttXJpi2behJIONqyi
D4gwzVJWhr0qDLl1tPiQhT7kbbCXRWWZq7GDPEg9+FgFkQX24HvvSH3npI6/DsKaTsOG1eka37Wp
jTH8wrjNeg7dmHHx4Nb3Hjr2K83PdqndXDKohhwsPArxAyVdBXw5LNLFpIfyFTv4wQutb67dCpZ8
ib9EA/RiNRVKZ+sVVtelRuozNMbLWAUNw5joOw2z3JRj6q+rNjnnrtylHGKLxjJaNFLj5+Rhw9AM
G8F6FW4Ss/+QUTMCNxIbd0g/JC62klq/ajb4Ltv3AVHE1WTbzApzNTbsEMBmHBoME/n9nV3+NWEE
fMO0cWBs7i46z9UYf/A0WLG0R9ZWB7w4VZ84xNAU+2S3SuH0b3xNZ8YSpBoYsCqKdnLQr2duhov0
Enebat54qdC0gdsyD0IkAv+DvxA1r5njSrtOQnzt7qSXa8HVtmjsWjAvMSRTUBFPezR+NqCPMj54
3jRv3cEe12Ucd4hmxxDP/7AZu/zD08NrTGhIlEzjJKBfLZivXVgEhKs2S861gyHDNJ5Gz5Z3DYzE
l4Lx18Ks2cIJY2JP2GBG5dRjICbSdeGFiwH9/wLvPYgoumn6PI/rxqQpcQsdocoInz63rDWdv79A
jX9KzQHyKurEHqb4os9YmmFtem96bWuIylwM4FEKp2fTZXsHzRP2wQgzb1VWLBThiTavpouU1C6Q
QXHyYUCJkRoWkZsxRGmqDST2fDl3s/5RG+YzHNtg49NErsdm9LbFPPFUSjN7W+Zs8Frmc9uB9cXC
MNX3Gzj5YsahVONUgrZ6jpV1aZz7Q4KXKRr5rXXNBr1WHiG2bmNleyq/DFA4oSjpveUUsYsXXs83
hN2gwjfVKQNVjpMqsmNr1ShzVYnLylN2q7HStzH+Kx0fVo8fa04xZmVZQ3k2NmtQj6dWmbdkn1Od
4ecKqmrn4O8KldHL5vBYVYAT+HvIhk/elN/nX9awaLgplFmstGIfdxkGsrDWdzaOMomzbMRh1gfe
56QsZxnes06Z0EJj2rqO9Yv+6h9xj84m7b+1e4xv/qrR41W/1QjkmACWQWBnArBnD/hTo4eeRkfk
h6rmyy//Q43AMpE/ogWzWRL+2Oh5/1bwD+z58EiV8ufvNXrunxs9V6d8wcXAj+ChM/q5Rphoq4D0
BtZ1Oleu3CMRzsX7EIkuuAYAK/Kc2bZm7rxAjSX66E5aobVIMWYD7+vp8wInXiDyS9d4sawVQl19
p7P/WXmTYBg9lG+GnMMlDcnbXLfTKhcENjQtnlV2PYpsc5PUUE9D7rAqby3cnZBXPTkzIvMZokMS
CYCTp3SWWj6so6bLVpGDyLhAw2m48dNgOBz7xdbJ8maJs6gYZuT9QFEGPdd5NpeXmZ0+pJ99q564
cVYCle54MPuwYBmezW9+0lwchxunZ3DHMt+8MfUuO/XWXG7ALRcrM8hKSOf1dxGEb/iEumWuuetO
fo6Taa+kXa8HTYSrLC9Ok2k9VUWI7AOm485q4ds3ArpjWhnRQpRQQmYWkUtjmI6Yg5O12cyfvRds
+nI4UpZsDRfTflVuW9GuG3TRDDMHBof4E5pBfHZMctIR7YLPk3QWVwWTntkeXWAuHJGR23FOxfee
GgtlWbXLmRNNZXKf8YjuuuJSNfoxYp7Ealb5l/PLwFfaq5GTPsVNse00w9t4TnUw7Py9aCMkQG5w
xUjzCmZ3QT+tFsOe2hEbE+Pu16TJQnPdfq2RcX3JapsrU1yos2mDE6A8kRy7+OWYjXIOxxzItOMb
18S0MKqzOubQZtDN6a3O8XyYdp2MzlaB1RJ+J3ZUDv0Raxriafni6P59N08XYzBeBWWCTrkQq7rB
URWESykRm9NhVLVFFlGowIwgS0GA5VQViK2jJ6EkAWi8Yy2tXfUUK1JVLRg3EIeF3nWgKhoIJOgz
7FUfdcwPVdXTqfpndr8bSWmB5+4eB1Uh5apWyiiaUlU92ZRRYMa2k6qrGlVhaWX0Eab1vMx6iZ9w
RLGWUJCZWvsSUy6UqlIrVM0GK53xMFVcp+o5Aw7xpCo8pgY3kpKv6XRGIdSACcWgHUQhpHXqwzZA
NEPBCFl4l6kKEqv0obDbEZ9MxSSCKjNy0u8tZWdF+Tm0zLczBDupTM7ImI6VqlSBah6RmbsLU1Wx
CeVso+raRFW49QSQuFNVr0n5W6Tey4yuPc/svU55LFSdPGsOkNGI2hlV3AM727sJDZ5OcV2rKrui
3J6n+hio+jugEHcYpRNzcqc5Dg4L71rz20ukO5+VNZ9zCnmK1X45q9q+UlU+mQ+3w8AomvI/7ONt
o/qBVHUG3D3Oa0uzwIq7vw2++gcaCdY9R6dr0/U/ze9X8yv+q0fuBoLRW/vn9le96rejDd2qT3sJ
zkHta5UE9TfVC2wZ+k2XGponwldn/Pual4OGuSJt4q/muV/bXzpjcq9txpvG/xNp/oZDTrh/Eq5a
rto+81N4EG7o1H8+2iyGZwVuWXZQ2QgmJh4AzNVenZ4SjCnW3F64258CjgGz7rLtCC1YiyNg5lGw
sMtw6wdwReN0emg60m9EyTHB9UiUGWVVuHTyibFfSywBFZf2UoZ4u0LGfeG1wWTpVMbw9x1b+ivX
AMeSts644Nr+lll+spC9jc8q8F4gD2ZrT2gdu8PuZS7zHZahcCXs4SYeO7GuC43TUOjHeZikuk9P
KjMLSGL2WGg93o5G/4yr9vs4m988rUJ01+P5aczpLvcmlhWT9TJK7amZLWeBOwR9psNyePbPhSPl
kS3DrWOAwpkKVOVTkKxI1eQvBu13O+ghJsztB4h+uJ+lqfYc8YL23VyRZEHHV4oPPX225U1EkgEy
R8aKY7NDLqQWHUh4RsFOnfGqPuUU7QK+RSXkuG9ajOlvRmxBGIinJt9FxQBoR7Hu6Jlq1L8aNnBm
Z2s94NBgqgEdz/SyDaO7dC9MOsKlozh6UhH1IqnYenPWXAbF2+sryHuVYvCZLXb5VilcI0XoyxWr
L6+d51LR+0ZwDGurgeiH/Ttdd31EK6Z4f4Ei/zmKAQgtyVokiguYAAiMFCnQV8zAILXiU6A4gqPf
t4coxLg2KcpgYVEqrmrFHtTgM2yNtP9uKi5hHdX9slasQgNo4YB2kObGp2ZQq1qjZoJCXlW5s3gS
slqyaZbIaCkUC7EBisgMu10y6M1uICWka+OLnajJeO0bhbW1FFkxHVp7yyryM5+gLpL9gTtfkRhd
xWTkk4ONrTiNXknojanYjYFu8dkonmOhyI7iC/JIBhU8NUV+rEgqYjzMhLJVcEkcN81xVKzIcIQa
SYQYSk/V+lWdk6358qxF0NrfmYYAUgI8aWiW2LZfMEp9hkuZ+FUE1sOz3vWcHjlin89Sl1F5mDcs
/CtrYLCgQJcJ5cUqKXrol4qD2SSmvhuhGXTr6AuUOQmYmf4Ad+V7hpdn5xmGeSHNoOYUdNtjF8zg
DEQVLxt9ukcsSkWmZzZjVj/dlFn9KDXqDn0O0IPj3Fm30YTwqH3RwvopAwAAyRNHUZTPBGbkoAMS
HSelK5NHoyipUdv4VfozZ2UURley9+C9Yf8EMXwhYc5b2A7JKzAt6j1+x88oG157nUSY0COizde+
j0nX4jOMX4SWHDKLUB/gpFtBUNmSulU9RPwTH8W+T/3vJfep1nNddLl3z4zwpjaiA4UFxOimPLu6
9WE6/hOOe5r0Zrrp5sbbe02zK+f2rp39B3hLwVonLm1Z92rJyq4+DmK5BTfA2qaYLJS2xXEM22Xj
Rbeh3oCzCoOKBl3UR1uf3yYiQfDKmzu0u4fUDa49MZ401H0rSevLncLAr+BiU8E+xcIq/Pgd3Xfx
6qRdsgvFEKOZp6uflF4AkZC9sJxSeYfzd7+1eWbp2E0dUd+gkb6DHjBuE6VBCAvUCJPSJaRKoeAq
rYLUOmdTKf1CUI7hJVeahpbb5dKrm2dWiodGvWmnVBBJEPtbva3i20xpJFhxEt+kdBOtUlBoNvuO
SqkqZqWvSL6UFkpzoUaaJOqgw4iVIsNX2gynsb/DIplXqTXvASRf68g4cuQcdo/ORIy6uRVK6yGU
6oPYv3gTMdXdZkoTYil1iKl0Igm5SrFSjgRKQ2IqNYmHknkXKYUJ3A0EEkp14kRkSkilRNHrwMCi
xm9qK51KpBQrvdKuaAnQV1jZI2IVBpcYSTF3KrXLP6XOV6lDdMF/6eJXn9m/zqy2/mLYr174W7UD
14ouWXeQ934R836odqx/myyJ6PF/JXz+2sirxEqdmxRmMnlwSuT727DfgsEMngqUp+MItr1/D5fH
0uAnSRsILEjKvkU2po+SWNmLfhz1d0GftNlcmDcFGgY9ja/cMF2KQf5SDf9HsxhOw5/eiN+EMala
TRMmQRih7f7hjYgpS5H0pOONbdOsdKTiWGubyVkeExtSmmFKRJOLUKErr33ZX9Vp9eCaDSE+uCmW
I2Ff67Qx0uPQ2OBoSqA+QnboXW1M/8HYPI9tVS1zL6KfVVq0qM3uKt5waVbZTanHVP9ugYm1NuuV
R7jNUnDTonPyjjWsDiAFWB+Mdl75toN+Ky024Lk2pmV3qx6H86oF/FW51pPmuSc8nD7TdvEcWVm5
HCb7DmL2rZZPZ02zz12sD4QLKD2yx97AH85jkIfsCo0HOppsoYfDsDJVv9QP3YX0HOZt/ZPvNZ9m
6L6GuXxpVIxB2rs04zK+sZvg6Lh5vIETu3P8oGGJ0PANNc1D6YS72GMLk0XRkaXSezFGKYQgvWI9
CE80K6eKE0EJqgDJb4xufjXyXG1pk2vLYwErOeY0ICa1k772rvHQtNSfU94vSkPeunW/RTWwC51Q
Q7VHpNnIFJnVDOllkWnfabLKljmLiaXrv/odCQJiWvVULYu2t9IFF8TKYxrF95dsU7f/7kkAirpj
n4BI0w0WiAaBQCwNV57NEVCNZIgzRgZecCO7IcYo2QgxbufcOoUhNVlnWFt/4LONRp5pmmMPq6r2
X5Ea7JBX3nIQy5WY28fYwUkTEmmzEF1214793rBRTDdC/9CJe12Eo3zM4tjeTmK+NiesMG2UDKTv
NN+MzPxmjhmzksnYgSHbU8sZDE7GLerKSw66DPS1c+WKuQBZVnzMSfUcuS2kHae8Z2SRrKzaTXdj
L7ZICpemCBQQiHAdLjHsOdYIzwxW2VuRlGGzmT0NwpLtMG829CmNqUzNhsWHNdbFSnfHjeGNSinV
TIcss/GGSGOpB3D7LfGNxdo+to3NMJeIn2VaDY+pLZSeC5wZqJ5YTSImI16libkX5BAYSCM7FVLh
1W8M3m6NVPvETJxCMGsvJVcjCr4B3UXbUXaMK5Ylxh7FOFrEcbjyGuZYyl9txynbmnaIFYpyfHES
t2VqX53CWA+WbTUx7FNpVi2CcuC3Xbsbx+6ZsEYiBvxkOSQ6oV/lKXW4ZUWR3tD+HzNN288ZtSDl
UbSeJ4lIdoi/OaPMF8nIYmHqjVvi5bDzd58pI7nl1KNnc6pnBuAY9vaRhSa+03bScSlA9NfZllCU
MrKlZPaaWXfD2KIs7A9VCaCcLUwCAsPcEBgR+VZHqIFYj8LaDQAXGiNitDRXw1a4SbfRDbSt4WC9
Fqjfu6kcV4HWgFobq21vFNeyHF+aEpZeLK1HSH/eCUK6Vd8rGUToWU2wK79QCT8cMDe/OC9+hN//
wVOpnqIcFxYzK7wYDIf/iG9p21ZYgXTkzSiX7sLaBofprjzBcVpob8UTNdAeHdkiODI26lfJVvwP
i7ESOP/uB/n/t/ddzh2Exjaqup9PiyYA0ac5/XwzuG9VsPf1Dv7Yq1bmv1QU//G4+Kv3MVk+u+y7
HYs59s/v43ecWTGpYjdGfEWiLzuPTz/cQxf9H+/z8+n3y++jZgYIyHVc7H9cdNckpNi9Eek3jn1s
HMjKwDf+l1f+a1zwxw/tx1/mD9v0PtL11oS5fDNs2kdcgOthp3/zVspmecq5xha3zZr14MbcPZy9
VbY4D6d489iug/UlOYyLHSKeKxaEi3BVbvhv/fg/rqk/O9RN0zJZ87PRZG3wBQ7/0TdOMirzV924
YfF+Di76Wj8ZT7SABK8s4W4tDi/Gdlqe6824s+1lfmQifUFbu4GTvfynkPwqJG0uvP+8DlJZ8X+e
mKnX/FZDGsRt6T7rFt/guWyLH2pIVH8mvCXdcjHCqmrw1xqSjC4KLYs1EbAwQ/8DNlUg4XA85Alk
bWPy+jvGCBKifnou2PqXS8wSwBGFS9fsq+Lvh0uoa0YkGWYyXVcd4tPK61Zu0NyTwhstE1N2Ky6w
8j4ejOzaJNn1ru2DZqfpBujAOTBgjU8oxEo67NoSZ0EVSbwQZZl0k08xO2wyeEoco3p4Jy8VJ6ME
Q5fW2XTjhyFFX164S78PynsLOXCj9yzcC381xFF5za6IlpSoyFvIgsW257G2Dge6rdYwHkg3zXYZ
+EBmDYwl7H4vpAcmqG82E+GbFFFVfJ3hEFhajv+q6c6480fvsZjN+KG2xvIUmbLYdDMwei0tpqXB
R3AdG6xlJr3zd3AEFf6O3VBHVOpurFxyQkLh76pi7tgcuM9li1XbqpCEKw1wXyPk9yGm2qjGO6wU
PvObpR2xsuitdeqG+toMhwPJe0fkgI98mies4VjPu1JZ1eF2Fmn0ag8W7EkcnjiXnxBePDV2kZGi
EY6LIIzvOkKPEExqqCYLg/F/GO7Seah3mpN/ihBVAhXRwWmI9EJ2ggzSTpJNp9kMKIORuY89v/BF
g1dxqjsoJ2crk+/eHO+EGnlalfgWyPZGa4vhCkmcUl/MOso37yxmP1vMwXy2S77SrppWtRxvUjaG
pmie0PB9EKvYLMqIwUE2XTsjyku3MrqFEeotjYG5xyJpsxRhcMq8FXOA1y3N3No5LZDTKYd+6gqm
r0b0UoXzBe/OMamZW2kT0a3k6qIeDUocMAxxvWsh9US86whi5d5Vg38XWZH2JTBq8NqtMhsHOI35
p8Z6Pu49sFSahNBIcRMorZI+ZBi3GWa4SsfEKX/F1I94pQEmdaAbEX5FL95KO117tUH2kjabt42N
zXrwGtZhYfpRm5WF6iKW6zhHPlgmPhUJxEPyj/mQ4zbYa5LE0ZDstOXIDb7UuVJFWN1mRTFxZZOY
6vnKpZ7r90UUtIvAosZDp47mIwH85Ds528eRSl8n4VQGn1IyldE8G7+Pfd90watZFOQopFgoXf/M
gjPbj9g/F/nIatYl65EQbOvahf4DirTplpURO5upoZwiZnMZdPaVHrOe9AvpL1E8HJqsjw+GRCxl
ZcYeiQnfUofZTjy3RClrY7gZZ1aU1hhvuxrjwdLPaWQoXBehhNVVZ+9RZqMIrbjVuU2qyp34YPPX
KmoPkwswLNUILwPBaFwjx1TKVS26TeI6PBQW6DFWoeehRuia+A6cWX9mQjJwnQ9gf4NqukjymvGh
VOkBNIqHENUMdnrdWWuvLa2tDAN/pWt1u6/q4hhG4EJl2ItD64TzoU6gvVtlra/Luro4mk/lnsqD
pofPlZaLGzMhY4+nX7rXYsvH8VQdNKEivAjddZLqpUbK9Z197sqPuI0vbpJ8zsncIeP0Rdf8Us78
I6cQ1Cz/+fy8eyv+dSjf6j7+C7u1eulvx6j+b2BFBrpK80u5wB/9sHiyPQcxJvoIuCnK2f2r7pIc
Fg5xLNgUpGydlSvw18UTyQUeSSpf/9gXsvxv7Z04xX+orjlF0VsyiaGshqnjcMz9fIriOwTAQSrx
tSRnDQ6X2Rvw8ovCS4gsjIrr2HJOceRGZ8dG6zM79qWWPNrmUL8VgXWbNv1nqQNNmaZoT/TVMXJp
EUV/lZrmUhvmQ1agvSyA/ppq5W8hIq/EFV0xd0qfn03L2wShe9VG8PKldnGS6MGVxZM9dUsau0+P
vUfD84wM4H3al6tI09QQUuwZ6zw2kmrR0i/Yjs69hCnn62eCLGkPHGLdvXlrs38Z4/DBhiOIrhzy
SjO+o+Q/BYzZu0a8ijDbDl13KAIHirN/HKz6HETR2Qeo7M/WMoTc1iONFGV9aibzCcj8LjLQcEq5
0MB1JKSMlJqxJh5sVTPJifQBBnp7E0X9iaZ/yZm5xTi2Fplzbkw6Jf972/jmOk+YPkR0iLPvvans
+tixnpJk2GstRYTd3kbhzCAVPE1FXlXVkP5FcxlM8XVou7sUcqOROA8kDO9m2d7mXvdemIyCvOIc
BfXV4EAWU1OuRu4IB2Y8XX13k+psG+Z6DnwAv9atG7nVgi3cjiQZ5uLZeGL6Q+K4rI91kL6J0rr1
K2hOpCwsst7FOdVdhWa+mkl+aZhFtK52m/jT3tCDRyuXDygL1k6Bra6OYuhcE811oNdLN69PkIjH
jTPW0yWTfbACv/nmDn6zrepp61EB8dyqnkyTzUs+Tu8FIuGQlKpQr9e/xKUFrdcku8Qvon33leIH
lYdEv+QLIQE2BAmjMfLtT+3e1kp9W9Z9Bsm7uk3xBB4Kp4GrXqeMNTJDnCZ7HtDl4+/IphhIO4He
q0DMya1pmNvU5OC3IZkkzOVWyJ1gWsSMdgoTSxx7fneRVGBhOk9PYHCO1i4YChsksryLLVmvOqDJ
IIHhrZBLXy3LClQQq4sHDjN9DSdf2b7MS+zJajUTq4ZCYoEz9F4zg48Spg8UxOvZtDdWk56Bm48r
FfeFkOUTAv6JYfyTNvK6U9N3A6IjoKB1hdFDODj18vJilvnj2HfxqhpaUk1tB7hoZKUM9q33kAHa
Qic2Hk9s3a9ayz+zlQyRbSbffI1CmODyfDkMJApgyP0MK2Zc0nxgaPrJz89arSQCWkpBMmvFOIud
QLWiDEEMkgbxYqiMXZU1K+HF10OUH7x8fLQm+b13dSSK3gHyQryZtH5N0PJjPJtrP8/qswzGepMP
LADNXnNOZRbcIT9lVuan7dr8QgVY0OxGzCNjMvMp1/k3rfQgeiuHCdVTsUkwnQRatk2UC8WfB3bS
TAIzDCqx7r6zkXiflHOlUR6WmaQfoVwtbpTtQuVzMWtz41VsPGphbgOsMJ3yxPCYWtYtVjv4mose
24wMBf+4Zn3EylHjsBD3++5dgwPamnhupkBfkaH5JJQbR1IfzQjNlpYy6ijHjtU1sFww8USjwM0D
cmo9KYfPFATPQnl+gipwub7EplZ+IN8fuUWVR6gsuS0RhxI3h4Eo101ic5WnqEc4CbAG8GiO3Sie
HX624VBhRJpyqkM592zMYEVG+jnqhsdC1w+d8jBlmu+Ds0QR32NwSiP9jmLpaBfRvSFdHdexQz4w
M0nPGjF6YJOiBiVSVKbweyxWQ3nlrrKvcJkoYlLdjCpyRiuB4gw1OTQa6KO9hZqYbaKFyRw9u65y
a2SBcrfAu40a3wSaJC8I51D3qrybuBzif3r5XygHaib3n2uR01sTV+VfiTvV634tRIjYFMrIQdoJ
++2vauO3QkT/NzQ98Us8Cr3773XIV4KSAaHtd9zb73XIV4vvI5qxEK8AJvg7hYih2vXfJ1aqELFg
yAgB2w91p2n8oRBJGi013dmMrnMdtTN9LtSOydAjb283RRHelNpIvHVfO69OZKHe8LUC5dw4acxE
Z7d9JPCivPP92CYYQfQjoc2F2z21AlFmv+wzd+1ECQLzWHucTB4sU8j5nplmujQn54ac6W0P5qgf
AApm8m0M5zechLiQp1un9VBbOPrWzPL42pQcnEbqrKcBlrPWHCInaRZOi0ozbIZ2GeryLa05c2q0
3VT9YbtokT9wZwLkR5e0oUuYqEbwDNu9v7dC5rvDCNg2d26twb7NWSasUuF+k8F0nj1aQ5hYb3VR
31XCfI08xtMlYpMNcds9YSfzvPViHzv0UMZLx7JvE8e9Qpf6bObpJnWK7Apk7bGP0n5RByZZzK1r
LCzAaxy2UPOrOb0d6orRwlydREMi9axGz41S+zUAnxfQWxD1k0O17MSEPqAIs6sC9cnsVs/C4ZnX
Gqx+er35nNtGUuCoxXHb7zI2MDoTCCNFS+O6yQZFw9KyQDaSGIiElM1wlPAZsEWmcRk8kFAF/2dB
uaJLKR+LKP3m+sC5STHhKf1hpNG9U6rspy6xrgIiWDAfkEatAD+2G6ETJSIv7J2rEDEyeS7WbeQ4
91ZDPDAl0zciPI6zFLeV9BDa6h4C9QKbeDUopFs4HTnml50+4v4oi20Wa3SCVo8NHmc5bgSCWtps
5ThjjL8xXjtVd0eZQvFJMssi0r0NO5jh3BPNjgij9TpsHvsudQCPqfjAJu0v84AnwBbRuYDOu6g1
HQuq7B+InnsPhpElW8Q5YVv6Br3nE7X/s4tqyyR4AOUxSefqx9CHW016mzqYrzPyaNC8bPzghou1
PFtDf5X56c0sndfY8fNNkQIXbiYAaZafdoS9yGPncNkZdnJVkk7v4UnAk+c9aS5Z0XDF46UBJ2Sp
NQqLnJ7tKr8WfnOEtn4ztF7NLg4VU+haG03Ur7j7CQcxH3IoAQgz3UM1ONcSGh07kv6o+cEmHOpy
RdLePRaSd0ebTo3Tf5pBft92LoEUzlUysOzRI5c0xcxHbVLyPRAc+o2EQW6xOXQX3pThJCica355
pllj9FwzZ2BtlV+bgXFTE+hCEs67pqE/ZTO7cCMMBzkJHgp+elWI6OjmXfEUOWzl6DbMhaYX2VED
WMt4C/xyQMNGeZq/EcOKrEpmF6MNnjOtlEuBbHjBqmbne/NVVnSn3iAHvkee5uRvnTAOs82bjuYl
QcSWUVBHVXfdZvrWYqsjqowBToAmGwYXSiuv2Mi0WFkmsBSLIZu0owMVhDjGRgPBEOA204bBYKM2
FxAzTME+2K+7nZF4T31eQEMsc/TYdZy05MHp3TZv+enDoixX1WSZN5O0GAzExjnixlryndtwXlHI
2UPDl9O509NcM4qEoJQdEyuxtx0fwXrMtGxnYHxZVJXhQslAgkYV4HQRSXDofpAO8day0snISKDQ
/TNy/0W78V9HBuvsX6uyAbH657m7Wjb9cE4TSwjEVFgsq3922xN4zdaEcFbTYaagRKy/Dgz8f6vu
/Tc8m7Ju/HpQe8zxTYxejOS5qBHn/Z2DGtLrnw5q/h2WgQwMWF/x7/48MajDYLI1YwCxapWPo2Is
DsitNNQmWAjb5kabFYmR/fSzjexs6dsZzw8XmLKHXg3/71Ac5hCQUDqzFtVBPIIXczEheTjjDZJV
ZgsnZh7P0LsbGEGd1ZeY13xOVPRXVwkQyV7RJLGxR8jN3Qcf0CSLXOKpZuChrl0e2MGFuwYsZRdP
T8GI9HtIqrumjIB7knCzM/Two7DYPSNW1fL+XOo0bvgSDJqkxNhImzlIBRQzY3SIaHNeluAyE5m9
BJ156BxSqCOAmvoQZhsA/zD6R+xiqKjeHVz9u66bCOKebLlhjPDplM6n6/nJCt4MrRcAT38Sz4VZ
Foeqz0qyBb03c4gukaJ+8mN++EV+jSER9vngLkmVKsvHCTn+mm3fNjVISrWJRQUfsglLMBsBz+/Z
zj+dzFhPKkK1zKqtRaiq24y3o5OGO5ojD7+CjfhyhPKexJqz7rXp2qUlWcSh+RgT2Dqo5FaKMhJ2
DHqsohqB/hDwmg3jXjjda66SX2tBBmxPqzGrVFhPl1DaoNvcTC0+86qbkJxmbKH9q0irvs9KqBoQ
crFuE+S55QSCxZqzaZvHca4eZz6TTxldRGo+AApBpymxtZjENc1hKl5mndMZqLzf3/dOFp7xhFSH
Gfa7D+4n3UHDW4+Jfmuw72Cr4IHjjalWUj1+jEe7gnnTewukyslKhIzkK4fpv11iCdS08iZMAgJz
SGUzHf3e1ZgFjAkc2x4tUuYcrL7gI4a9ECTTU2XH31yRXwWo2hYF+k3IUR1SS61/s3gQY0QQL5qZ
vaJoITY4dLfSt0rQEcnO1MM7Qk/a1dTPG80U8N9mbyOLdDUlLizd9MoJXOLPiGv3pLzLMdzqWekx
SkJ0y5YAfEyKK3nQkg+0uM82gwEZTbdZ1F3JQbu3tei1Y0ONLsdf1L12rKfmrIvgYSqSoxxzvq3A
fAxzPCVRE9wHk3vsEj6hygytjaiQiqQeymrTegnc8cHRDVrEkCXLxLCZiAT9nSHB7dgk51BZUANF
IXaH69GwboXkd8mD+NK0xp7I1qXleYeQpVLvjMdKs99D2T0qhVBY2KCxbJXgtxPYByudeiRt5bON
InWbhFq+SGNcQjzmGMnXSKl9Cb8nmGgLh7h5btr8IPzhlApzH+nzY1+ghRy0QNASj3sYevGSCxbq
lpbdIol8r0QOxybNGhD43tbsElIw4s5bBx2rO4r5fEOuxG622DMlVZ7sC7daTi2EWBOtonri8pQy
SqLHhpuSaosBQadv+kFeKOkp+THl6HwEPJMuQjqnpPc/GLIoQ4zzYDrWSVh1QtMPSmmQFcgI9Yhr
opmkC/3O9ItN5kYcq1WbL1o4aD7+3V0+iKWRddTxeecsHa63fg7vDN16d3N8UaHpnUjsCLZhCOUR
ydwtR3WDrJINjTTddzN2UVkXGfJep1pLoZHKFJtIwT25ScH1sAkL7pIaJW3cGPdFPBSLHhvaRxVp
Z6cchjUJpWRGx09jNFyTg7fLbe/7jOpk3RXgf6NKh0tWV8Yybm0NB1s75//H3pksN26sW/dd/jkc
iR4Y/BOCPUWqbycISVVCDyR6JJ7+LpRv+ZbPsQee+0wcJ8pi0SKR+TV7r/1cAHyLzrOBipyKstrA
hjnZXvPgL8jXZoG/znP1Vs2YPCURWuTZzi/hwGrQHdoPp9OIjuqbGyvJLzHtlglddoIyqy+4WbNs
jjnjoSyychI67FvosmeyTqCWLLDaFGqtB71WEPQDOQ2grT2GAvFM/2DCuk1CkC+wb9NhCWJkbs67
mV/8hY9bq6fCxsU8pjd8H/glQNItIOrONpSQbiGqDYL2b8HuTj6lPRxe3WmPAi6vJabH0gDlYtk3
Dtxe6VslZBOe6gXpy9KKus0G8+s7SNATBLMgMMEDc8aux0TuS+jAzYIJdnEqR6mDCHtBCNsLTBii
MFhhmR7mBTSsZeOhTBf08AIhhrpnHFhZJWt/QRRXC6w4Ew3mxQVgHJE5COwv/bcq+314IqhQ/n54
sgWwVf5VScZP/VGSsY5xmFAggaV9FEsW7C+jE+QRLlBcR/BvEJT1R0nmws6wWe3oPxSzP6q1nyWZ
TTA1lHXXdqEZLf6hf1KSuf/ti/VZHPuA910dQxLroj+XZFkBQW/qQveCL/AYdfVQnruRcNQgLQYp
q3WZ9MwJxrYNiriIpqeKxaBaVz4TV66F+HUy2/sirtU6bssMemy/Ax2zRvrG1FyUBryX3MGJkH4Q
BpTwoNrJRmlE9ZSzfYGS2SFN1F6rsbiDCfk89gR73nZAGe/RyiNfmGDlM4PJeZIjkWiXLMQmv6qH
Gv6gFr0q2cU3YRgnzk2cK/cGEz36RgvvqLly+ryr1nZYiPLBcTVzG3JOjZt20sPuutZgWzz1XMQD
nPfxOTP8GAJmVu2TOE0VV3BzHlPrOPb2HaAGhdenfBJz/tBbYN2qWH4aHrWIE/dQjUjhJlKP88z8
iMsUkoBmXZzeeHam6aknGicwKQi1QVtrBUdAlCAsteidmNqPsARL19oQwvRshKaHNDN7MyL7Hrbw
NTxYbLda8s3w3Yeit74Li9y+lk3Hyva6W9dc1tETYggsSMykI5m9KWbJq2xM9mJGFlkv6tYi9x7q
XDe2VZmVuERIiiJfcR930aochmZdjAkRWEy17CJerBfuYnLKyo2REqebCUWmp7FkS8IgMGPWwJax
rzK0nYaXjWRHTsZBDTq63F58E5W/9nqCRTWGLChA2l1R+u9RXJ0c3z21TAUCaCVgomb/3g2h3Plx
u51C7Zvtz9tcTAcZykvUAEIE8LmWDczbolzYRKH86irEkE4ysjzXis8x9tEVqPKFr3SHdXNw985S
+vP1urX0usPNU106/GrUjeFN7qNcjiC3R7F+F0oNmRg3KtuAxg5AdrYLBJSpRPXSE+nDTKc7dnyC
Xdtvyf9OdpNtsUkTdbVhwHUoBnU91faz3nYXv0seiKTMgkS0T0UU38VWzBZF9Ds9crQDh7a5GuLm
TrnhA4TC27kmX2nU4UiRTR5BOk4U3pbwpg/nvcpDDaOd9tnUWrwWlsyQZHBJzbpPGmfPHiKyW3hb
wlqTqTgfK+lep2QUb6EvjIHsSzNgJbJIksYrdBjfyFE/MojPMaEnZydFrcJm40TyuM5wbXFiYEvX
eQDWlp6+N0KOW+V3135jvQxaLAIe9WGVqoI9Xs8SQS35t7IicxPJQ+9ix2bT67rTjC+mYtiVDY/G
OJd7zeLbGS4lXZsn33NlzFyO7os92vcGsuHDUBFHlDfGgTbRZO3jXcWDZsBkRZctoGpsxzq9TiKH
pKrsrsiHSxTz3R7ZDFNoZ2yr/BsjKuutk9NPjJKFA4JjtapL52HUGSmKRnyFhvUmzPxTmPahHk3u
+ahbgl+N71arPf2IAy6K4qkYO2Nj+ETeq07fJU7xWinrxBpQkZ+KXZnMe9eanFsz9VhgJFi9AhXX
H+ZInpthE+G8xFT0dn1mSNVt5ozuapg/GtN4rT3f3PuCOaj03Zu5H8q118UMUBscPg5e7ZUfq09I
9+1BuB0w7A6EoRT5Xgkyp3s3SzlrzTfpWPdd0ZFSH3vkG/ThuG56VNuplCXBB+Iy9ODxEVJ/H2b8
l4wVz2lqsKIMKxa9WQnORbMIcOtrTOeCjg0Q6Sdq9iLQW8vci3C0L8lks4Vr6wmXgRGvTaO+G0sK
GOW53UafAZskKHhYz5HtQBpVYqdEUqWxJIBtPKgifCvKCdiBZhUbsBAEAUMRCmSTfjpuSRcWpvPG
LhnqWabaO2VTHyppbbPYSNYM8PKt59H4cR7OuzKt3xqixUrSz6Ix3FWU7LexljgM+BKfPAHkXKj2
Cf/VSgz35LTcOqUht26Nficyr0DVRduuSL0dfTL5I4gTyA5X6siq/FtG7MaWSZt5NKSJRg07Gxbr
qMSUWc6P81jw2eAf3drLGJb5OueqwfTX7oaDWYAc0HUPh7s9nKLcP4b+fNKSuWDJS38TZvNtU4Rr
qMUkezGenFs6vbifF8OEupF9/MAKWHEh6vlWmtRhfaw1rBm6T6cGJFjg6N1NHp4RpUcIFwxMtHoe
33QJFhesfuusSoadlPMJUsUVgSVr3PY3A/S5jZnWYpFNQb11mwvSt0+vLD7yNmQg4fq0qY5mk/Zi
kw7hKbYQEUpv0ubwmo5Pep+9V5l2kzfJfUY6SSCQLG7SRncYQMvvOSCAqBAWygYLjEVi8ZIgcNdj
Ll5lQvc19Mkl9Hs2JboY1mPdhEEVZqfSA4uRTmn0VMfga8bw1aGZWhk8um5efMEMfrVNbWXH3UX+
MCAA8Altw9/oPm4AlrtPTGCx1yTYCwxNu52FFGvSy846tD9crNkpb6hELO5UWxs4wHQdHFK7d/vw
ygtVscNbe4TfgKQiw2lpl8+Fai5TaZQrRxUFaShWwAd6rFv9ZOdshaX3xRqoXzlMUMpa24dt+h2/
zbZlzbBrSZNuJX86VtqTSMXVHJ0KVtdN7x5A4cD8Tz/ilsN3wGOaNu4B6vPyrfGioHWa49yOdG4Z
Hw/ZyPSN7Wma+T4nxLRtUTh/NwWhGmhd75M04l/mAB/Q5iVNzpZFVMxjeOx2VG5vVGCHZKqY39Mo
mZ3DELkqgh61p1N7aPzGZ93kxcn/BR6ZnjKmVjuz6D6hLT1Hbgj7oSBexyWhmiJGN7nw0C7s7FiH
z+gRUZAlj8040o62gqw4Wd/IxL9SdO5r1jR3LKqQ6JGlgDyv2IGOpS810o2jj8WK7gLBYFFEjK15
dMoZT43ZMJIYav7TvBKSCXXnyssT4IzmUj00B9eMj6NKv2LdTrbR6F2jqNhV8671iQjydo0q1zoJ
9lr2wEIYl5VlFQHOsx0aF2KBXAoZc/4wvUUXEn14TnJlGT0gilDEfFj1O8k1GL2NMbW5iIfmxOPz
ECnGavRvT7p0QfwDmGybjYdCMd8bQLaHLluHnilvEXwU5MeUiTNuEsvWted4qCoREBjUNkdsNmPB
3GscvAGn7aCpW8WnUwo70dZWiGEjml3UJJ6fHauRKcCUkaJIz7mb/YiGvtK2GlqadZlp4zaxqrVV
ZP06HKoXMLZkB3iYugcV6RuUyY9mU96PljNtMVB81WnzbCWuvYLVxX9p0pHgzerAtd5lOd1MCd5T
NDkZkpuuCKi72iDLLDCb46CvNAYjXCcM/jPBxdZypfH5LZ8dtXnvwzHx46u60a1VLq311LmXoUuu
/d69WpCpLODTd50w8da3rvQZpZSs5Ad3C2j1PA+y0ntsk8Q6dr34PiNp2c2pcCDIeXsWSze1M+N5
jwGG0EqsqGvGtROW35qxQFARE4gA3GRbI4m16vzOyIZN2blDYBfVuOfcvfJHnEmK5EOIH+2+H3ii
U4O/0G5wJVj5sh3FKdXOzgrA+U4aVLu+nr1lNcS2+DqTwPzw4Y4Tki/s+CSZDhe0vjUjyu66sNNv
QOJxKegqGFVyqSJxsX217FgvlnHtMKrTcCg3jRYdB1E9Z2N06OLktXO7R+lXOHPQCnvNbnLce4xI
AXXvRdXGW4KkxcfpvjWL6EAu5HxI+/yNN/gYL629Sy24iTsJLLTQ3qyiGp6LGT1NVaeniRiIdTuk
FXDOmRw8ZQRkNL7IQWAVym7Rhb9n0iPSCJVOofzX3K6uEjN+LkZmoP+uWX6sWXTUkH/f0B8K+b1J
3vP/3rIsP/dHS08s9mJnYtBmo4mw8Lr+bOl1B3Ix+xUCaDAX6BY/9XPLYv6G4cAVSL/4wT/HPhi/
YbalA0fD8L+W238gh2BE8B9bFowxlm1AI7ENhxf0eX+/uhvcuG7KSavVeTJpM7c6S2v3LF18pl9i
nkubwGAixyrAbrQE875ysmxEeDyl5HA6sDJCgwfVY463b/TBVejEjE907QAa/PAdU+t9FmbFjcow
NtazY2xNW0cQZgkS3R3nK5YeubEFTF69XBzjfQ+2qE2aTQcLYMUVZ1/NPCwHrcw7QqspVJFCObTt
aRo1F9aG9EzcPzRP2YnZWLnGdaC2jU0mc1dn7AkwjAb4U2kHGV2wwFbHzE6uvKoLT0XCBjXTfB5r
prIeggGHzS6pftvJdylvO8Jka3PKAj1z5bqeyHWtvR7/oqW95mSQSmcqj27cP+hOLIjs5ZDmMpBB
5Cvt0qTO51gSV1tXrr7D7PA1p+kbJz5zWWvQi8MYwpGSVqoeKXRCOpP4HIGNOvRx+r2LZuPVaGKa
QMYS28HJ67Xb5gyUSXFhKeuXSEi1UN84o9COlpzElQ1xYZfgXV1FDeqExnVvvTxK70k0RqSlHjRJ
oldlwccQXnXrOlSs+G0BQQkLOHVFFvmccflaYgQ4oDLtSo8xXbiqie3XQUZ028LM4EkovduRR6Bw
U8xN4zTXMZ/dQFRGclZ6UtPbRzpMTBYWYvQDz9eALUH2YORgQGg8yE4tQsQ+T6CaZvOxGUr/OmGQ
Xa+q2eNWJL3MDK99LkguKGSsg+5nVwazAj0q5ntkdmAY/z29fpxey1Hz96fXffK9ad7/++xafurn
2WXAMuIRQn/qsff5IQ7/eXYZ+m9MITnQTN22jB+5ND/PLv83YNSeC5tywezay4nycxyJMgxUq4fy
yzUN1nz/DNO3vLU/S7mQgyGFXo4wvKMwhf98djFjKmJC9sQ1TAE4PMW8VJpvVfRNIBy3kYw2TnmV
eMzbk9E3riBOQkY13GsHj2tfy63jRXd537+17RwAZ5l2YLpfysbe1dK9Y9t3ligkSHp8hXYsEfLS
ubs8BLbLgLGlPjKi/lFO5QO5WPWq90Ue1LXekUQiX8M0WTu2cbIBaRR6/T7H0EDT+cWwWE0UU3eM
7XLjs6ILMixGbV9jCS7nF1Z7e4zu1CRZdzO58WtalI88GFd+Wr9wz7DKso0vbSyfgX0/ZXrBNrUn
Y9vXtrM735ChDfiuljvpp30wgtH2EgJFzRAfiRuO7KnZWaDuQddh7dxa2zYtYViq8J7qkfxAnk7C
wfqM+UmIyYg9IeRcbY8eCZtQgu23JyehsqaDgVBolM7dKPs71RXNY26r91xSVdJkHKNYPIsCzKeg
85BiOkeZtFEou9rGTst9x64Rp3N/sqz24JDOyArRPir9G7mLb1HYPyqGVCtlcWPM3viWidZf5bV5
zl3aIFcyCbT1xx+OpVFYA8r8cNu1UbRS4+BA7VP7tFU7D+ipHJKrvuV3FkW5tR4VixH4pykao0s3
dXq8CclY23U4yqdTVyWAZi0pukPledGmc6ljdfpRAkwr0bhEly10pvYHqSkf6hFbsm10a+cHy2n6
wXUqjKpZqxwlWRTXdSAt/1z0db2hdfssFz4UPixjbbI15zSkooaZsh7BSTkLV8onlIU4PephkFNq
YU+5C4UKm9SdO6OrYmFw0WJijMg75DUonCstfsmBWZUL1WqYhntk2lTQC/HKqu1v9JBfhpq+zx3p
dlANnyIH4BVwZjxeTMGy1jg1C0krHWFqWcC1kCtC2fKzvRU3r0Aeu63JSGhjg+RiTUQynOXg4nLH
byRljKsyZ3inio5Z0kL1EgvfK4+0S/SaD+sS8FeJ6NvC0mbDBDPKCOrVfHLKcpdW8nYw03gTQxGT
ViKRdkW7HL4YJQ+0VuE8h8TY0HKGK08fnxlD3KJzCpSltVdj+1raNhYFpVUn0jnnZM1LTSvhZmvQ
expzDDT5WtwyN2QmiWCC2jumLyXc55CBkpid8oJO+giy98vxrSbIuVPEtlZZ8/nvvfJ7VYyi9u/v
lUOp/mLJtahwf94quv0bwmCm+Bbuvj8vuXQCnH0hDM7r/400+6Mixo3kgIN1Ha4ciErLXfDzVrF/
cz0I8f+rHAYe8E+WXLqz3Bq/CoSdhd+3vAeDd4FtnCXcrxWxGedSB2HWXYrMibdVlSfrqSosb76F
IzEzV0j8GIPSxooHEbMvHQCn2Xpn6OxPDVUiLlWJmZ9qL6nVNboVm17c60cbppQ+OTUZOnYemzuY
LazTVpaVJzAftTAdjLUW+lX5NqNitG7cvvebcu2SHES4qW2PLS5crU7bd5dHep7Zi4cuiLlpagb8
ANCnm13aSv8c1yI+RMStrepxtB5rjIeZx/K57qtFG5ilxVqvx+FEhK7aspkqL26e9XdgNscPwdMl
kQfF0cdgNdM2b0VxlThZtQGzEl5SDTkkx3fMBkXH3u+NprrVXYMs5r7C2lO640VnM75u2MJUuAqW
5F6jeSfYhyeyY/gSxIzwDjE85geA7Axr4tL+9Obc3w1xPl5BcgJrNSe7HGLanTcLomKXNVWOm8Bi
iEp0j9117D4coS4NKqptBuNna0mdmUHbIh8C3Qaqdx66fR0Kdte6BHHj+7HxZs5yvonnOS0JeOuN
DxhV9qmv2+igiGZ8Me3W5MQ3GKVKP1rPXtFf9332ya+0PNS+o9/rbcIVnwp4GJg9/ZVNMvdFQZRd
R8pOLnbStjufJK1Nit3qMteJvS9g2bH4AsMbEzL5yYwmv0JO0D71RdVvWz/F4aQlBvxsHSadE2PK
VT5iX32qnVsd+ueWmrq9MROcMIxNqhOT1+HUttmRAeYM8kRDqWur6Wu08Jt4soiOU4VXc2WnrnYG
6S1gELXc45VijdN1tAa1QoMuI1Y7Fjqt1WQ3iKVnww+PeaM5TwghntGpGVcG1qZr3n641TJANW1l
MOFtGnGt5hhsC/jWQ5QwtKtQP52tVqq7uPHG9dCO9UYlPVTtYQ63LWK6aP3vyfr7yYpp8u9P1tP3
5i8soDo/88fJ6jIbcMBcEOPo6lCR/m/WQCmP/RJ8NjoAx3RczuOf9TrHp+/plq9D1uYcXbArP09W
i5MV1YFwsWDp8AP+mXyAd/angxXlgEfNT36vA/wEO+qfD1ZXlxEO8rm7uC0VdIb2CrVXbORrt7Z8
kP3eO+rgcVsv4DoA2amlHYvW6xdcKFkYr4nBWus6Dqu+PlhJKwswMOkoNmjBepeM86YZb8pRXqSZ
JQ/MoZHTxObsIuhZqKZAl97M3OYQL2EOSxFyXkcwD/EdlssRb1gzYXg/vq21PTX9wQq1AmmX3rl5
+1rgvmAsPKEbYqRt9g7Eva1RTol+LAoi6u+jmaZ5l8DuNjYdCKSdb0YE8rrMzqehc9ZNNaY7LQPm
OS5AuyFz9M041fNOZE7zRPZPr+8zXznzxmx7Fa2V4QNdzHuG6kxjQo2RryU1doByds69amNk2Ubl
3CeO0yBKdCWtD4nGO13GWXefmTkCRpqW/HoynNjY1S7/X0Xkl8/jAluViLuwk0xx5R5Y+Jti8+8j
+vsjytPx94/oYpD6q2eUH/r5jBpLPM7StNJTQzRZnrY/emricZayA4kNXTLP7/89o+iCgNhQLEGy
48FZQnV+PqPub8vDC0ePfpsYa/7oH8wDwfP950NKLeX7jgX/jXfBC/75IaWvpwnRxHxtFvFTbRJ7
nyuFFkTCFNXnYuvVzk5nAWYrjabDf4I6CqSxn/Bh+M5D6iFQrLpDkaabevDCdu266Do2CWSDx3yJ
nKoMcRtpZXPocEzTPMC2/TBIYmDfw7YJN0U4QEexS8FOMnfTfduhYykgzN8KUjbYQjj3Y+bMEMzV
NZJvplWluZbxjNtlqh6U0p7Irn80K7tfCYMYCtGMB0dTqEO9I7LGNbv6zwbFj52V4ypC2itT48b3
tCdjaMt13EH3DrvsPEhAdH1YfqmGIiJGLh5apIQYTWFubGO67vDM1HmK2ncw4QhV8bd6LOZ1J0IW
ZpO3iUTHrq+K9W1GScuNrlnqME6VFpBHctJxOpuoqMEzneZ+QWDELgu9mIvfGE7NIJ9j4b9qlsv2
KTfJ6mo3nV08ZQkXdpPOjx3GrKHX5UUPx00hqy9E2+uhSe78Xg5kiBRXMioOeqGeshanTDV8icZW
cCCUC7rNxCoK95k+KevgpWT7utVkYMZOwP4Hm7IhetbesYcHTapgVnUWDB26bKTjQbcEhVcp45aC
icnGyzJsyyDeA478z1jR9plE6HRhKlaIp8C5GwffMfd931yHOfNGk6UrFWpTS0w8Tl/Qfudsc9mv
HkBGBG1rn7uJwa1Z4TIBg7y1iC7LUByBTkGg00/QcKf3yCEsl9fEgMWMo0JXi7TU4bjX3kUTpUEz
IKbRIYDohCAxe/bOEOJxMwtkOkYfOyjuzb0El3Yft6F1MbqCUBMANEymUdDPTb9wRskQc3Jrkw8u
PqZC39Esd9uc7/+lT7ydq1kHsBpPwrb3ojeexqHT8fG3Yt21hn5BCJVeyZK5eUTpuIltGvpwQGNE
W2wFzADCndJ1cZGTiVXbQISRZAMcbUl+ZnQsMgDcU228sziwic9RyTUDNSRUlN/KK7Z912LNBzUb
2GP5odpqawzJSxURB+932SZCGB+kuJGuLVp+ID+7Xw61m997oV9JbX/eGeBqEBanDSUBhcRSOyzE
pF+ISNKcSH/XfP06Lx4z6xtAvrE4/OO/wl9YbJbgjERPQL3y61+hZDS1KbSC66z96LMbJR9K/+rf
O+r3O4q67+/vqFNSRi33EZlLnTp8+///73fxqs4P/byjcPAuVxT1IvyP/6ojmfgKPpglRs3gm/Gz
jHTAhfA/l/sD1sivUFdzadCpLF2DHZjLwusfNegu1+B/lJGsxpDI+qwmCISzlhvsl2+fHpodcB3X
vsSzZjaPiDFJGQlKVejrmCgP/D9payTn1stM8iCdqd6JMb8Vmhlwh+YFCpWpw2bqipBhm+e09aGo
mnmt3AFvRW+3FH1tGx5hGSNzgG42Z7cVclOJ7BQd/ts0GtCFTPNCnlC9thaNKvgf9IJ1/AFO3FkZ
i5KVzV68UkILJkSufplmQWFkaj0igI318IWeEklsJVLUPvkPqWyWV6hmF/3sYDeo59Yxr+oEVa+6
8mxpimBd3B6JlYTYJPIRmDXI17Ac5IeRzm8Rxvqgc4ow0GW5badkDKoi3deptk8SZthTU34IsyE4
Dl8D2YrFYxJpn8ZZlupcQW+YkCMHwNyzIMzDB732botKEKI27NL5Vu+cx3FonxmXbyx0Wf753wfx
x4NoczD+/YP42n/8xf5l+Zmfz+GyZKGLA1/MQ7UE4v5SK+q/0cYJeD4kGfJs/dLP+fyJT4Hp/t7p
/drPAc1bvPQ+f7SIwTHv/YNaEVDQfz6JhDe57D4sbgFug/+8B/KO1fBUTeK6S9Gl+CU5AZmpnQyt
lwgodHlrYzbb93Bi0Q2FLbO0xf6MVrKhRoOmPtUrZhX2VdOAk4B1heJkdHYDnrfcm+S5mTXkUsJC
oPsJ5BX9WoHWw4HtMjvjwQ+9beIi+ZJJtOvbENAcg5YAXMrjWDZ7K4nLhzqKwL5I+emM3qnq5SPS
FRlYBaxfJ6o/c4WMqGrRWTMp26OJmhC9VXF5K0xvp6eWdaOZzil0RhJvRjCwxaiFa00H3JznNVE0
3bvbR59hgb6IwZ/YROwxD17pL1tf7a7LvfzGp1BEtxezwjAZAIbKddch91oQaZSsZUhUxETsd+Ob
39rEISetvngdAGXauJfEMB+6yodznBrfAT5Pm3COHlmZbhJ4Xr3DHgHM3z6s/W8Q1koG3TE95HRb
ivTcOsZrUUYnRlEPeoqSyZ7xqzSGeJBuinmGD6FD5BiAZy8Do7PfVc98kb78hSj1bAUxHsQOsYaj
JW683OJoxYmV+ItGqBi98agUVGmoGxSWMPwYqkPKOw3LlN1M27t+cUNPNrKmuSmQTDOUT5Hug72j
2Z/hTdea1qOtYd7boNTM22zvVU1BFHzrXfuGVLucynE1OOlBLzlvorb5btQDqs7ZjW61PkPqnNif
PjvkS62Mr7yyFWJEpwJ9mxr+JY8biPAlip0ws6M1tXO2LXOcfREwpRhTeiBy73rUKhwFOGQBtVVf
RWaZiISqY98YF4RLZdCbc7PqEgtNZ18B2ba1XToNRIDo/Zsj46csy/qgIQmxxsUMeCrm9xbxy82B
IKMam59cdko4KT+KKISra1pHq9RudU9+WbHa9PG062sykksmAIEAE3Vgz3+QTnGcOntjRSZit+za
MnsY3rnvrESVPosxfLQLrd13mV8FseY+Nh3uvVY3rkJpQBP0egAMNdv9Xoi7QnVHcN27OkvvkiTa
4HJ4HUXzYftNhaoB9pBqh4sHOGDdOCNqdlGebY9frs3ohTQBa+cI7GwIvzJWOu6VqPVPRKd4Hzr1
DCaCOGBdbmVLO1V16J/UNBwydKjBUIrLmI8fMb/rjbMwy0sHU15lAHMo5dmnn3E8rFax2SK7CD9B
IkAkYAeq5WMdQKKugiztTwgRamA3ecbtbn/rRvs81qwpCy+9qsPGCBJZZAEAsF0at29eWp/AZT7q
2fyka+0t7w+NAkwZf/SBapVAhYx+Hc3DuEb4dfbqCZ3qLO5a33xTnS+vI0aoQTJp05E5jXaoCvg/
hHxdEZF4b/Xa91hmd55T2igkrQIvnIkkO3R5lRmRxL7AmdGEUI9SU8sPRYFrX6AkhWniBDWWNlKw
XYqAii+x8rAzGBGS/ApgJTOofE1mJhmg0XRLwIeAqiSYietp8O89++OeXUrAv79n7+P3v0yeX37q
l5uWaxFhlbFItVwYM3+ayiBnILcYJ7rHUuiPktfCJU/GMXYtxyNiCA3VH1MZS/xmeDaqrh8brn9K
z7N/KBl+3UnZ3LG8CsgKG1gfVNs/17zG8pfLvM5vBDMRHs+ehY81Pg2uQ0ZrrV3LWDSrdk7OWc4D
0ihvXytSQ/gStQDLvO9Vn5yRgT5YWZkTBlB7S2wJG5NoJiXX3Ht5v3W6cEOACVxz/lloIG+0Ys1e
4rW1OSUTamHALDii6vfYTc+q67+7LHFHeGwkBxLfpMtzPVmfcAF2kfJxb7V4XbSk6Pf4SfaN75/a
NGL8Y29nFMFU7jEn6nDlGNWjO5IkYMR9oBor2cWz8Z6zk+VJeInFYG/dEFeXrAu1a/SckEKYfDhR
2yPwvmHrhfLUGdreN9NNFqf34QASbTLNcTMAxyz1JdbHk1uQGmKPfl6cTJfJAsKCea2Vesl15l77
Zv6NkCK5U4ZNSB6+cJSw4QNo+K9cMnIQJb4SxK3nzGLOhZed7NeBhICYLiRwJ3wYrvI2CCtQdXT4
acf8sbMbptfQ7nvkVnGDaqv0/KM+gBV07e5MAuxDHfc7o5tukynRNv0MI0MVIzgr70vXmGhoRnk7
xSVyMc9/TVP9TiEvRypRuTiSzCJQjvkwF8krydVI7RetsYf4w0zQOBOpjtz/C1mLs09nFmdG0qsN
mVQR15F523fxc5zy/iPlZNjg8eQ4cPR7h2mFLE1rU7TAFlOon9BoRhA+TNuRnnW6EwgMbYmYANBT
7q2qMn5hD3UHPHUi2FWWqxngMPRfhnFlh3NX+YwGCGsBlopQgI2htWPvdV1V3jPeVD73FjwDu66V
KOSr3idXDPuumsRPDsjIvMB24MxZBjlEfou+tdDMbkVk8i40q0sZ+1ds2NwDdj98cm1yEWn1Wqc1
Kr2cAVKfNJhnCTNABYOdlWJLz4d9rYsbw2gDaSMrhnJwaqL+0JbysdeGXdWW57iqtmzpfCASrCyj
dvA31nI1OjkaP08ML6z1vrcDzMl02mG9VcyjsEmUTnUtFP9V+AqreuyCzB/uvSzfduJYz5duOIda
slVEG0RTea3b5Y0xhHvWEdcatRLutAHqEzOrZabVV7i5jYUx4aQs7bQiCQNqvZA8A0QfJS9aFrYM
PNRAAfkazroQwxdiCrq4wkSoIpdHlbHJBGttrDyQjFN/qNgcB2Hv+zu9tA+xXtvrObSKhugFimFq
1mmnaVO0sScTdwbMBvKaPXIDpIFtMO6OGDZSMHrWt97urC2cp2+VObzUc/+JjD3F4Y3UMTLHG9Uv
qY4JXGvVOcSa5Abec7svjeZkRHl3WtgGJK5RkCZTXTP0LbqDXRapszV76diPg8gw7cdWo+96S0me
pbpkxutOzbzx+mjSN16p4TCpSTVAN+7pCgaGac/JRSsxnt37otC7+9FvNPOE/7o6jSCi4xfC3ozh
OuvkHseeHkggGxv6XmubJHa0qgl4Ao5814ZkPnbZdLSsst82WgM4Uvsf9s5kOW4k27a/cn8AZY7W
geGNvmUEG4kiJzCJotD3Pb7+LVdVZolMlfTS7rQmWWWpFMFAAO7Hz9l7bedoc7xfIT+wVF7zC+hr
hletg1sytj4RE+suQ0VHJpzCOZgFDzNCd0bjlsVObxfPpW99DuPaWLVuTF9zrr7Bb+xpt4IUsPLB
WAiBc6Fua1w9uMinEtN35DHYLrUzp+1bze+OmVs899HwjYbHkhDQmIJvpGot7XTZmOMhnPa2QKXv
yfJzlBR3ToStvjUYo5l0Yxj7DvfCiG/8xjtp8fSUhsa3WRf8lMD+lvQZ9L5opc0H1ELEfNg12WP1
XTKy9AiM61i2xvSYhvIsklSsvLFQ1DLSKomypViiuolmHDNGduPIZEb05gVrgR3HYMfEWmXPq2js
zrOYjp4N+om7UO4khvVFU0AZMpH+o5QqV9KL5Hqu4bXmvvaAyWK2g0ejbjTuZOwDZFXxuYk3cPEa
gkPi7XCGYjMZScc2GSWQnjrCRB/LYU0u2wlMu7FwXTq6gS4v0ZCfsXFmy7FEXErjpMkaAjTbz443
TGtOEfdTqlXrOQtS8u7YQOy4++B3hNd1SO3oAR1iLeF37OZPGOTCDW8deb/tXCwg4mjLmvyOxvM+
sEBvRJmekizEaBqYOzMuPlR9tNUiOS4BNCiL4bV3yzvPLr5EbHQk94gbS7RHBjs+ZbPlw77Va8wO
9T7QeraEFu+nYTOyC5Nk79lo9/ogX8auUW0bmzZPZDUXIAyMMOQmN9qPaKZ3ZVJhbO4MHsDOGjHm
khIsdLdaeYkvt4S7hUuJcwDxWk9XW9O3jgH+ruWGLkm4vQhibcBwtIeOI9SicryDbMYPaU5HaCrY
BFmyNpjagq026Mc095zlNGDnUzD2Y6AbV0fHh6vhr4FVL7L9bJBL1hMDtpjMyl/G0txbVnQNu/ij
hnVpAzEX0EcEK6Wyh92cGbwStns16n6mjQbO0inGl7wIHk27uuCAfpkt82V0BAcP51ORBPS9S2fV
mtHez8pPosCrY9X3g2sczVhbIslJOO2FR6MePgfoyjppvHpIj8lPvZ11iQ2kFfc5ppJFTrw5a334
37L7Xy1jlFH/uew+Fc3//G8evKavzU+6zfzVP2pvHdUC7SrLIkrqr3owGI2ubUnCvSFU/dDlsv7h
EtNCvipNWxdLF13iPyaixndBAxwFzICMK2lL/Y0u19tZh41QAXexGrnS4yL9Qbybh8bEKLpD7sU3
HTBCW0L82VrV4w835ifzFMr1d500dRUcGExvUVOjnOb2/NjTrvyIHKTZjm/aIo7SVeGKHGgvdfzS
N6k2Y7Nh1jUZOglmLo0JwD/LdPaPPe6vO1GGtykTKdb76DQI0a2ErtlLnczrRapHYimCcD8Y2b7r
w3PUk9HQ6ScxD7fUVOdqLo5jbV7QYhxEnJBE2COljUXlbeQENJdQnImUau8r6U4DDP+MP2SHJLSm
+4ZulkMHYzy2L1Va0GyZ2KpBuExwE5zDoM3Z1h9GuWq1BiixZyAH6+aCHZKFgURW66NPg3MrU9t8
NuhqLDRTmNtIJKGzDruqZI9m+PhYFDpGYvoS0y7wsAnvdRPvF2NO98YBWD1uJU5nrHpuCLbRLE33
42xUziqtjHRba6DEt3oxkPQK9gtEerXs7KydfCz9tnZxK0M78/PLVfNdGz12x0LLt25hod8myQP3
NQKVWrrkQKRWcugQZrlXrteYz/YUkLFpTDAxUYCZd4Ws7fEa0m6DnTN5R6925KEPuuAJF5D12AMT
Zpw7YWNo887au8jxyGsy7GHeuWFP+LUYGu8DxTE8CtQeazAJlO4lOMyUcNYlzcxp3xt2f+N1HVnr
3PMTrt/mc0PEwzix1U0jTTOvonomuGGNQoipBGStu7nvDrGg5PEK3btDrEYGRwx8wJ3Yy4oyQ0SY
WKu+0FHiRI/AJPsTX12/ctja13XLOKNB0oP6ZYwODsCttWynedu2KQNej/lpE/b4KKeq2Tpmvxus
XK7C0WhugzKmXtOyc5SnZ2zI+Saro1ursPcuq//Kd9JdEUGqCkxxbbzhvtVl/yHgvPqtEOOiIWjL
GUbnWxF1Kzsj996v9AehdZvAaUFdFcna07JN4jaLeHQ55jnl16ZpX/Oofp3i6SPDj1Vt9gdvzDYs
IMiL5601ivPk9sicIR/axonWzSqo+y/C7s5Vpm3SQV+bKLXrbnrJwRgExYsvOn01OKm5HSVAnsTu
n2wn+pLOjrV2mqQ5tD1btDbMJyMzYJ4bZ6fsVjRRn0q+vqaFZp27cu33zgbQ0q4T8xNhwusgg4RW
iQpxfsDYv8nFHttszFQ3XNHbv/IZ72xwRRSDc7BCfI+TuRfRObQcvJu+cdumeUM/rD0GxsjDDJYg
rSgK2eF5yjKqLV4iURDO6nEQgp3gwsPn+PpIKv0yseU9yNjbvCpPqEmXveGdsq6/Db3okMKPN7Av
rIMAOumEGSBGvLHsappyQS1uEi15LhL9uUyyQ9QkxyJ1D3Gn386DvkqxfRdperateFml1XScpdyV
BEij85peqkTuOk6EXl1Gi5DG2TQPB7eYp3015/kBDMfXbPIlWcE066YAMhWnkWRbeZz4Gl27myet
2vx65f2J/42eD8kHDLUJKDD537crbzjp8NUIqr0pqsRY96k3rWVPv5MwwfTUZuawkj1MgiLM8APO
r3pZNbdVlYgHF9DuohjHu66OT2L0V4knH8XYbsma/ZYncbAqy7peA4GD2TeJTTHzTKc+ibi+3ZCq
ASzb4hSzkm67wzj8BZhKt4zi5qOBJ2/d6y3qBZGoPNQlPdEGBH7J+b71cyYT9daAHpYaxbbJIPim
2X0n40OHqX5u0kPVGSdZFie3MbxtO0z4RKdoZ4yhvSTfbun4GE5DK94G7H6rRjR31tRxJgqdgwg9
3muUaye/1Tlr1+OHOAK07Tl0643JuFjU+svKUUDySIlk5puwiffJYG/tgbN6RAPb/55I4wIvyFyK
O1g3dlCe0gB+gczJEEqHIzHrO/Y1AHAlvYdiYjIU15ckTu8sCQGuJ99k5SC3WJolzdC6vkZm06+y
mZN8XccfrMnCBDdGnz0gJRFBRouRB9St502SVIrfgAouUxRU3DPTKjNBngFZpZ11pif1tfBUI5vR
ROBpX32dnO7SqAAAIS1O0kzfa6Vay9pTJJ1PhiBjW2DDwGH+NGWGvsRbkqD8Di7mbOurHDjFgpAj
dwcCovtY0HY6Mm+tzymQot8oIpjHvxl7UyIgm2fAThK2CcP6XYkQz/WA0jsDpdAp08Ohpv3+65fh
7WCdH0mUj844kVmeGuV/l4b9MFg3HeyeLrFTNylGD825RF20i8q7eoh5EmiNO9XGi9e/viaZd28+
11+vqj73D1ftSk7llqlpZzHl9zhVzQV6s3t2xU+BRe0RMjzn0Gg/Or657zuwUf0IJSLNB8WhiIpl
Xs+fCk2eotYSyyYLN6k36F/c0JI0RuIPDjEBqyDBQJNaTw6JEQc9ZYbI05QXdN1kvnZLDWlb2RP2
mU/Tvhul+aXISUm0iOpeR1H0kvKsrisBNY0VeOIg7zDi6Lz7zkrnLevhhy7ojX0WmNdwar/G0tux
KT00db1xmoF0SzvemSLU1rGgQkkHTDDw88Wyoh+5qgcbOA74bzVDymFZ4DkNYDh705GH/lvV0CFg
GrevLXIgB+thnONHSyQHu8VWXicUa5FvokpvIw7hHSFIc3xEWb/KJx+HUco0wfQTVlnx2AuUelGc
nV0mT3lNg9SfeYKJjGiDDH16ia6LuUY5x+6qTv1zCWYnsCXZS0puF4z3aGAp4ErtoWuhSZkmPP5Z
tlsMR9h3u+IzI9VzLbLbCmkuonKcc/qht3Hi97bJkd9lRSSZLJ/C3ejTVejr7qZ02CNBV+3r2np1
K4RnfuRyDrS2QWmd5PCvEL7/mL2oht8/vEV/fdreNdIHixLDmHna4lN+DW60DTkkH4li3cPGPrls
PcsXzE32QT/nz8Px18+6GhX85OJM7JHVGAit1S/3w6OONtfNE9fSzsRaLPKTsSw3hGLoR+1Rbkgm
/HDRlqfHfk3wZv+Zf6Q300ksDtHGR062yH7z27w92PzzTpjYJm00ZByj7Hdq7ImGEfqfOLwJxbU0
U9q6j3W/+/Unfrtm/fUayFZ//MAMf8myCtOQzfU1AKU/3f765//0M0gGNhIxg1JIvP352ejMMKkr
Nm/tWjFyrm1qzn+uUP/NnTK4W//5+H5+rV9ev/715K7+1h8nd+UPxlBg29RN/xKh/Kll1v9hWGxY
DJVQiEi1W/0hFOO4b+pqiOXpKI2/K6D/OLk7/5AoCyW2YRPkuzIw/I2Tu2EwtfvhfbPpEjE1U0Rq
RIqgUd8/4qZmDDoYgOSiC6utDxDYQI1GfWZpjxy+JNLZ7wyXjqkBLqZk1XFI5pndjfu98ONtDjwq
ZPmNgcGEigpTgodhjF8fxZgWjD6CeAR9nieKzcl4ovEvaE3jlR1n7a40aM5GaMYA4F1GLe3pzhqf
fWlAI6qTYynma+6MLP1+/RFM1RbS8Lzp3PHjLIavDv5j8lr5AZiWdsFoo/Z1i53VeLdtEH/ri1pl
O2WQZHVITOXQJgRwZ1c8U+DVxESBP+oXt/BvyRZXNCOIxwGOWWRg7q536OlnybDzkYjADhghFpHT
18eIpYui6teITONdaWYcFzn3gtTynXVWhZ+6pGoBh8GaC2A6gFEB2m5Sqi+67yT3QUHdkdMGYlF9
Z71j+KcdoADwYSjIpFJQeKIp06NQoHjZgox3FDy+UBh5JGv2JXIZzQU6kPlpsg5ME41rqAD0uULR
OxV7TU2BvAm/k+rJv0uBRbmPPibtHdE2SPjCmtKtB3KPhhjefazQ976C4LtlDZcv8yZozMRkVNHB
kpqj7wkB0pKNASmwn2Sif9Er01p1pDDLKo7PIc7xzodQ0TJQCnMAzlYwb4Sd3VqxVxPXDC5nYdbJ
a1p0j0QpnQohghW0s23aJiQ12/YZZ/a54axKmBEzhDK9Y6R3KI36ydCSUzzQc6iM7IF0SmC4ofti
lRXMOnmTZ2PXLsNWJlcoapGxNk08szeZHcbzGX0mMUu4DpMS1R8ddH+fTOG+ywBKjT5KldEx3HU2
By/zSMy2L7BYl57iEqN8obLIaQ7X9guIzZpRskhAFrXNygzHdYd7XaqUrbEdVwgP7RU68ZhIptJc
+Bz0W2cAZSbsYqcFJNsLBIFjxH8Z83ND3VtLiMRL0EH5IrW9ZOnOVr8lCrJfiVHcSBuzTgJOGd4/
x2ZB19shB3mJAtxYRymdfpEZz86oo9qZivtBiSq9CYqEnzdyUWEHhzCOnENgb2ukfM384Csk65Qp
RLoEOs15RYuvnY2uf+qNtU5YKqCdKVsXurLIFINHDhO9ZUbCq1ygm1n5ZHCR2MYAdKAwkkVyyJu2
ePi+bP53/1BA/l/sH5+/vv6ML6H+1h/7BzpjChDoDToTDKUn/kF1If5hW6geXDp+eC6VIOPf+4ek
F+uy45suQmDvBy8M+weKYEQaeNwQOtIU/hv7h+Wo8uSN6oLYPym/x4ELYDzql/ixfCHEd2qMVg8u
PlknUjHh2kY922DizDZ9LMHGlSOD7RmQnFREuTzDBF90O8LNXy3FnBs8m8p6gIYj0+MIEmcxe/E5
xzm80pmRqXqf1DModi44Owj6PPqRx8g5Kl/0rmThcbubtguQnPVPDlA8HTge2IEYkUL47HjpSqP5
9JGjoNjlnP6DbPCX0rf7Fb92sekA7xURBD6mMk/Mv/JVpeh8UMJImtUcawPL91s/NK8Y4+BiKaqf
WzC/pUt3XyThLdTDz2xHH7WJ6YinmICFTUcwARNoK15gpxz3JXxK3sfiiwtUMAQumNkCLd7AR+wU
ebAp9asGijBOg3MBmjBWjMK4tgUdV4PVLb6K3BwXUYTVaFBsw5TT6RbvGkaWZngBsod1GG3AIgnd
dDOH+FhSET/0ABNRSzPqFpCBGjOVpyHz7hvwipg1bpt8qDdxCrJUA8EYgmIM2/GIIUegEA2bhQWu
MdBLUnsKCI4om4tF0dlA14AZqDjT+QN833xHTHEHI1zGqEghQlJlxBtY318ZzU2HoA91AHAs+Y1i
SZqDq61L8JJOBWbSQnRCDKF/OykGZVi13mYKOI15aeYtAsWqzBW1snC0bQHGkgkhTZDqecLgt20C
E3RRGdLcDCQUNTCYUvEwIVAoMia8i6Ca11JCzaSv8sI8GUynImrims7WqaJsjuA2U7CbTlCX5yhB
p8APnVbYvTexonQKcJ2Rr7frXhE8DaO6o3EYrqTR47BRnE+3Q2EvFPuzNpDVBt380tXCXJRNRzqc
YoXGihpK9DDWlRiS6Dy5Z5lZ3sodnde6hNlee/pNPrSYfloeZaqKcRX0EWTLgLmGrjn3OeDSXhFM
I3pwyHRkumubkZl2MNwjwEFeR9dQKgbqkCHWT4LcXQlFSK1ApfqKmVpZqbXTMvvJi40vdMuw5UBp
McbmrGUa3hvNJZoICOscVl+ITJj48mVFLELjObdimlvroM/MZGjw2HQ8x3piQj+Aog0fx4B33kjc
guZ7xyCVhN/JbM2rHLKnIWdI77tIZP0Gqj4G7I8j/Vo6a0PNhsjIelDC4qKdYOsV1JrdsB1SbAUR
m7Nfs+3qYeAc6wqIX+WC64db9zAX/gWc8akbPcbORf4taqt7wwz3ueEeexcWVBsf5zncGjReQy08
izgvF8UUB8RqMk7IautOFE4PJLjqN9WoH12TqQHNxH0hA2PN7OZp8IJdM1hHoYlvTis3BOWppcla
F342HQpt+myoJkGlt/aiGlt2xal3DtHcblzEiaiwYtm2jzkZhATthaU1I0Gti3tz6JqPtEIHOtsG
JD1HNH29M9mtnxHc2oe2KdPgSu5DwJS50qxnP3AM/xzbUbLNCI5adZ7/qNPZRn4C4QSAFGN4VYVa
BZw/YhmBGvPcrW1VrfIUPnVWt5vBhiFncnahqmylqnGRAYDLpex15/ky5lRQc0aiJrXKNXUC2jSq
Ws7KiOUJYcq6o5QOanlbO4KCZiD4AlfxLiXmdSkVAMhr6Uf3HytVmfMWb11KdQLRQ6UXuXpWdOyS
CTVoKT6T1tUjzRnAPWR3+qBTj7R+s6tSLeJZU8cCYSCISSBUqjNDHgx6ss8VfLIx88+y6FFqKDCl
hFAZJfEXA0V5EY9fRgiWeYXEZYZpSQ4276HCXEp4l6Qr5sydMpTTNhOGeUu3bqv17iVQqMweZqYD
O3NGXuMrmKaEqqlz4F/oCrQJwMYkK2AgDgQIZ6hwnLUCc+YK0QniGBiREeFjxus8wfE0e6Ejfi+G
hQHjM4ptwt5rieK4uhYKA4p6nuLM1ZC0GTeWQoXaAYDcusYLCUU0cYprAVVUg+e4LOC7xG7/Eg+A
RweUJYNCkdLTO/rl/GjDKG1hlSKcyZClO4dSYUzRFG0iT8BRdYE1AzqFhhqgiSr0RQcFNTcjNEZ0
afMpXeE7v5ceCj4daqpD/ivp3Cy2ptseY4VWzRRkNZ/GDfCyg6Xwq12EcDuCyOo5kvUZA2jSA7DW
ovvUzz5XndwbFf+unU49aNfE5KsWLkx5RX2V4F8zPXiNPW9n44otNP7UBxTb9iAjAcdmRrj9bz35
XcVrUH79op58zb8WL9HPEhTUX/yjpMReDWMAS4yBtZFOOX/0Z0vCUtUmxisbqqKFNODPkhK1rsBj
aMN9+e5cextqBVkG64tEfWD/nXLSdt61/2x0BIh3KSnxx3mSuIa35aRM28DNjEC76BxYiNCleLDm
V39gLJzYBB90ptgwAtzUk9KpQBGr77w6Q0kle81EN1rk8i5gW3Ihl07mqmv0+pFdSE4vtkYYoEP0
zMIwJmsbV3g9GoNk6qAZ+H/Yx7cwrrFkkPS6xf02Io7VvE2tG5/yMhEvQZVmuBjGclOEEs1nR4JR
H6g8vIL/1oTPsOgSo34uGegibEJyNYe9fRhyeYhjYlIGs97bIetx02nbziDnYER81AM1XGDQxRGh
zLfadJ6CwuMNtNek3mE8yAVn8hpVsCdcc1tPE5Y5TN6szjSPC0a6JgadtUv65MLw63I9M41DMdtc
YwDIvMRt+kSi43Sv64/IoFB1aclNVAUh8bneLUH0ZL0Y+nlCGMqOHF2Qa740ESxglz3OauHfu72N
XMwdGXqBZjzkIApJT4xGztONWDd2ZSppQz0s3FEU3DPG63wt2sWqcHbYxOQC9DeXWEQOFTAZ1o1i
vJ3dWG7zxkpux15cihJTjpeQ2unTqQS7Nc/RhlzD3C+WJulMUGqxSNXo/6m/JU55QtLdFaUQCQb4
eWZJdHTp33NWL7c9IQ9izYOd7/O670noK6KD72juObKgAy1azz8nDn85P+tV59/qXYjWz4b3mzuf
g5qR2ABEkvwI7ynR24DAIuw7XpYtEXCfUj/McE5Ol5QyahlO2beQNGRmEe1lyiic8DdI2gZuAg86
Yd7dO/u6r+TBsDF/9/F0H8YTX1OWba2Qf3g1+/hod/gkJkXiiDr8kzaixE5h+frBsM69XWqHyZRk
iZmpeQXrxf5YU3+IBu+QuTQayDplnLYnLIccJnjQLn0xOJu6squjY9EY0oqC6lm16Ny520JuelZu
7VbgPAfn1xwGFLGLtA/0jW35LoEg2UbLvK8GJDEnzm6LDpWfZp6bUjJMM7TyhgSNaW8opAZNgZ1m
43rP6E88CKK81q772mrjMUqZOlryNIUFHY843FbjtHaoEfjMF3fKT3aWPc+9drT16JSF7DBRZ/vn
3KVozJzSRD0b3NNPDPZwz/eEIe+Sii/JDeWhHCImb7H0F1SenwPwZYvWiS5jXwCIzmlwa22fQdUE
Zu6kew+bkAvkMatdeniJjgT7myMjlpZsQ1TtBhngUvSYwwMDzAGO8ZAUIAlNiqgUkiUQaIctwyc2
4Q9uKi6G1X1weuHykHqFw5nXcw6+O38rK/2OmPe97FBaZtnaaUcTbtNI/EGyjPv+c+iYW6cGjheg
ZIiR7jVJfucWxlcv4R3OUvO19aY7C63oipin81QRVJZYaLBJoYg7WIeMmhkPL3sI7kzIs5d5mh4G
9TzqSbyvu/A6F+MlUwzDONj7Y7GTWYGBhsuntrglVQCY8rSEnL/P/W6luaRqztoWkOFOMqnLynjn
NONGs9UA3oheHFeFxJQ7DetWEsr1VBaXvBSEsItiC8iLcWcXXI0WKH0f7EbhrrJCO3Hg3ExpREFg
LBDqLiteERiXS7/WV9A5ln6bvtbpa+F3d4CxeSIFEQ247weCRzhyYJJa6RbXgHJg+TCjLfe+aZ2N
RVa4HYx31ug9pPFskMQErBok+DaDTuf5Hk+gDwVfio3rZd8mhh2scBtO5Gg13ZXjolUnO30PdmE3
zvUnobcg3917xyk/uWFzFxAs1mVf86l8rYRASjTqC2lGG0i1m8YnayCw1oT0LAOTjDwgtEVv3pGg
igcBCWstFgIObynETvP6ndugbw3T+xiWdAuEkbxe+tfAxxy7XPsaYCrRbXgVbxrP3YCZP5j+xAWr
NXEz43LMm1VR+TnIM+OF8J5P/ChaEPiRp8Yql7xJUG7DAVfh8LnJG9gR2hH87X7WJDowSbhinWxC
0LOLsPQrUOETDAhH4qEAi93lz23l01mUe7pH6zK0kLG39S537b0YM/KGbaTvcf9pqMVjUcd3BbJX
3xph0XfcO28d5O1OtjZPp8SB3d8CBTqWiB16DTdqJHfu6F98c97nVnbofR2jAIPKvIs2WTpdoeNS
nA6EObq3ce2dTH18Kh1ELDUTTcNzP/i1c9vUzSVv7LtupEUOyuy+A5zQlxwJa+yvuZ2eUjsArFWJ
xUCvpFYL1Vx8mpIW7aq9LWmtdkBFYnNYNoMqenJK5vxDXU4H3YCGaMAxh2zvfwkAQ9w3wNuXs9Ee
apoO8wAhksgbTYu/cvL8ELcZVS2KDYYS7ZOFHszABB4XZDdG+lcnw+3SVp+SOtxjJL6w3kZrUSdw
X5ojUnveS6IKlrPQn0K7KTeemTxkdQthbky2ialf48TFjIO/iKaruUFVufMTZzkYGg7PuQBJzkkn
GAgtmIxVkiIQCfMrB+ht7I+AGaevpYb4DZZ8i2NWOeV5AzDKxb1cd12wrkMtX3LMpyTvllnKJjF6
+a7X3K89ZiEYbduglxtcKmvwG6w/DSeuYJw3Y5YfpzY41q39QB9Lae7LZd6gUo4wKhEdcyCmkGed
MwSzglovsJa051kbnpq6fOlcpeVp6Ean47m3OKxlgu3vh5L2+v8D1rAZDhsErOKr9rz3A6t2qOu6
i3LtIjKaKsmiSO40Die/vogSivy7q8mglzKUCTR0EdOitP0+NfthCk0/UDi0ZLXL6H6paUx0T2Px
LTBXWR/+5ko/K3h/vJL6TX64UuEXkz77XMlwb0KLDGCpr+d5Xzgf4+45Kpx/Cq3/43D/3TT4nx+M
t4lhG5NrenFvL2fQZ3H9tAiuvfbcdseK8NX05df37mefiGqZYpnLYN18dwnfkaPwGHJcsQHHw7ab
pnUKTz8LthGYIKO9+fXlfvKJMGtxaAG0AgfFeXdiUL05YxJtdIXpsYhMIMOgy5LffKZ3Q3p1295c
RP35D99S42ut7fhcJK6xO9en2AtX/7ePoT7mD1fo27nta3gkV3qRDlKtpHjw6Wv++iLvlB1/+Rjv
vpoyAQrSZ010HTVzgdTNi6741ljgngjwdJqLgZvj11f82bdDT1wY0nbQTL1XHyQRHrE81qOrrG4r
ESzLdC/9b3//GqYjHAumg2EA/n9763wScBy3r+Nr3oSMq1cyL5bYC399kZ/dOtIGGOwCx5SG9+4i
BZFZMorGmO/nKXdOISfFmMXAI9UTSjNNysG//fUV1TP1bg1iifv3Fd99WYi6EIHqE71/qE6gRUwK
qF9fQX/77Sivrq1LCxEvDgIIGu/1ck1hhUk46tk1PgEb27N5noulvbZvwzt7CUJh4y61za+v+faS
31fWN5/q3XrHVAeyd9nH195B9cVo0cC3YxS7X1/l5/fO4pawc9qO/e7bcmb0Fi3Stivgh6VBm9dt
f3Pv1N1//+0wk+Np84AwQZZ6+9CV4HOYfDFMlRx9J9eg2nyOMNIGcfybz/KzO/bjld4tcJyIixrT
c3zV7dfQvbX9+2r+zfL280vAKgJ7wpsk3z1qkZ70rkXW8zXPLzZyqzEyFkbn/Gar+9krxMP251Xe
ffVJ3YftFHCVKHlJiYYytXVtbWwAEYDcNQKu7d98R3/5WAbxoBIQF3wmAIDWO/kWvFZZZrJIr22/
rernwVlX893ffNDeXYJe2o/Ldt4H3NAQ0zlhfQtdA0oZ27+5bX95lr9fQs1xMdp49NneXiIex0xL
OWldm/RFm/eQ5n9zgb88ylwAMDSwMpvGG2K3txdg6ZSDns/ZlTov6xjGxvsIf0buvX6/V/+d8pu8
kv+5K3v/Of+fBY6K9ifMb/U3/2zLMs4nfQxqmOHR7H3TloVkxONr8DDTUVCarz8n/c4/GPMbxr9g
RZJX4N9CMWgNSq/sUMXavHd/pzOLlYun4N8LHkIxz7AV/tY22AGVFuHtUwJx1bb7xNXQqGQ4q4p9
rxy0eeoAvtRJYEnktNOYhS7jMLsVyM1UcHi5GDAnDRPBsWncIhxj7lGCpF0Kh9QwY5hIdakgIoOF
/jJkhOHG43MpqvPUmfsZ2sMJyn29tpiq+KX5IfDqbaZn8SpoEQkRqLqk+/ji6GSUS6fBBiZuPfiN
i8H1bRiQNVYD+W3Eqr6Jh/I+M+IPUsf0MyczVaIm53XmkRjRYUWJ9JIxETFicVCSYwNTOq+Sjhe6
3g4qdMzC9bxoOoaKWLkRKalwsnkgD3Xlj9Zz+T27LB5Ujhm9AxVqViiRDKI5USJeVWoaD1lNofQ1
pVLa9EpzYyj1TTWZ617pcRIlzFEKHQ/8RKY0O52Iv7aIeHyl5kHzay/M9ibtPxgNlhVfqX4Gj5k/
QMp7qRRBJF08x0ojNHpo3/CX9cum6I+O3zSHSuRfQPDE4FpSXNVrRkFkDDmZZdxWSQBlKZRgCCZm
ZiEZlbJj1DxCkxqF9Sm3io9ZJItLSR75iTC3aalJb51L72IG5T5Pi5tGJ5q2VrJyeRht/xMAe71c
JObEOSbeALcSewIS0YfxudffQ4N8pyDKLZ3NJb/Poxu00aGPZLAuuX0c/H1t6Q9mdvFd8QAiigFS
KTmIO/JoZVGbLNqhiuB2aka6rlPHcdb64JKEPt2KBoqBcMhDjtE9retS3Kvujk+C02KmOVoF3kYb
DXCezi38772v1Ok9LEsxQwFpg4fWzS6jB2pgNGjyiR4SlkJuod2KbYDHWfwI0vwBqvl2GNyPmTaT
x1M3u7ELHsp8PtVDdI+i91PU6jt9pMsWp2FJ4oddQ2PCHtUzQhU6I8tRTicHu/CRrxwSURe/xqNF
+4bfTZsCe22aA3JrAz3iLLcYKZ7Bqq59hXxtu/Q8B/5dZlflfkKedSKD4j7qhi+51sCleKg7XV96
lXcbhPGqbJj5laQIOTrimXiggxFvSY/aRVPMAIGoCwxKz1kXMBmVzkbFmyzMqqQPGkRKgDDzhA6f
PV8v1gKXwOzMN0TxXULhPhrGcCwajUTqEdGE/QUnirNCFHo/B+FlwM1X1cMptPWPaSX0tTCmTYXn
Zxkl2o0vvC2xLVBCW1fZF770gBbW5kBGXTDBp+9x06f8Z1A6hrZrF0Od7d2gO/WqoWNBdR/Blxxk
QVgxyc6psdEBOS5ROufZXSgoePFmBE8xosAcmzqaZ/FthgiVRP0TJrrN4PXryeVXMN1nUuiJILE0
PDbtytQ7xtLoOYLyExgyQkgy5iDkBp5co7tz/x97Z7bktpFu3Vf5XwCOxAzcEhyLRbLm6QZRkkqY
EvOMpz8r5ZZb0nG7f59rXzkciioWCRCZub+919ZrhI8Jx33TmC9J3xxGZBqpDVRpehbFthHCmnlr
FH4SzMtwsocxDia72IVF4x3Yze/jzN0lXvacGtk1Gv6ji6a6kqm462IVY5SnuKiPmeifwcnfNwnX
Iq+Gz1bOV40C7WQwLpPM+0M06/2K1NFeGnjzfeOOm+Sq7OFLxE13aUOxJUhJtUc/vORGzSDKktuh
FTclwSKYpEcypOQvR+1ATGgv2IR1OGfyZdyPKK3+kl1Pfrfr5HLbDVnHELwGvt9QiMkt6+VsElr5
iLXkjWJsxjz2oSOYgDx5FZcOudP4aWiTe9trHxAh5Ipz83awY0R171MmKoi7ZAaXvDxQ23mNf/Kq
WNSMXx+RC7Mj2am3SZr3vowovMRqope1CFJH7Kwh2RZVdaHN8Ji43td/9ia/T4z/cm9yIsv1mS3I
L6BT44dtCQZEhaP3MarbgsEw//THtFj/jVA6iXS2BN+Gwn9sS8A+cSoigAX5yVZ7kD+2Jd+AUOxx
fBM4qQeS6W+xuFX/38+7EktZ12kGpHUCF+S30PgPskld1vgT4jS+qXumKvs6G/Ev2O5Fh1XE7iPS
FBYeVOhIyU1fLcLHUedaIcbdqWu23u8kFEeP/K80cewbSlXDd1KbqdjQDinhNOIDDK90Bneg8BdN
i27AQyU5/hYrpmZJ742J89JiL5Ia7tYPiXFiOTNxI84Obid81T7DombuqYFPm6SO9y5GIMo6Upve
9ok09L6OGj8NihxEj1OPsgGyJokS9ibEiE1EQRSuLo8H69IBWLOBF+/+ufV/v/XZJv/nbfmp/FOf
BD/zfUMOdAHplwMRW16EBJod/rjz+VI4bKkFsr/jsJ5wpPpuvaWeh5CN4DvBYcrkAPrHrW+qfh6O
Vz7OW3Id4u9BF0yfb97P9z4Vl8g2mHTAo3M4UP/+w73fLkgDvd0758hk5wH5CCgJC1FcW2swRQMc
9CXsebZq1BtIGtNDt2TQD7hq0yfpt8GmkCevT0SuSCy8BjXLAMstxlQ95v1NRKodewD7XEkAomPg
9zz2WAbXi4gsHLOZq/nVoYVDBMp0sJ3ptk9dbFSxBrHEBe4V9FPxzC6XkCoeya5w6TZuhw4wEdFS
LH4QqCKt3Ya9eEgL49QUDjQDtvfhLO7geWMB1NkTldDLqjI/FnV4rY/TE4wv0qxuGa6qiv7k6iBh
R65AuRmrxEmTIHMpyJGTizPPY4LRAwTFO7U8565/owviCmpp0fqWti4arlaoYhVsbu+qYapiKFN/
wrLZMV1f6ZGkAVPYzDbnm7YsZhBpA0nZ3ieDN9RdYLrLtIZzJNcEM6masRnGeMLYEJUHetXrmJu9
4QsspiMuN1xU+CSoy9a/TFNVBr3dboFI7BObOSUdlNcAa6ogaZqn3sZNmtbjddsjjgws+5ulNO81
ixIutzfoSIezqmG1DukQOqDh0RNvlefUKO/qegxQPY4JG7d4Itgy4O6E4LKZe/kJWNS4auIBEAzO
E5mBVWbfQ3XllRXm7JU9XF/hwrrbTekKslu29WYXv6/ZndjogumXKsYN1kCPomfANykqtY/TDDwW
zWLRDY8zor5+F+h1dzX0AJ9q0TxHJaaHJbOP86zfd9G0oeBnAEdAmUeR3kXFcJ3YtLC7Ca3hzpLg
agRwVEF/3zdZGAdi8m9IU7gbrzY/Sqm3e70CA20X5dnWKfSMzRxPXvbIOfgpT+tVWdUXLa4YlvoZ
zX+SZ6snU3zO+dPowvQD2NEL81VUfbmmhRuUrryfMvuAY3NeOWqiHntI43Ob4tcVRnwkoq4DQ1jE
Ph7H54L1cJ0a3fMUjk+61T5YLQebqFl20NYuaWtDPcPQYXefJprCQX8wVuxdwEh1psMs4fxrdv19
mHJMKVO9Z2obHaLWivZ1V9/1zvKKH+CNPqOE9DgQKz9N6k06WHpgif5xSJiW6xncjdKJrzStvBKu
/14snDNEVBuBUer3qPDbpLEeKB/faWZ5M4pkRNAz7y3s+2svFth3JzroYuuUuBXwnyzZTonEHeQW
u0Kf3/NomfbZHFEQ3VikPT0/KLSswNcgy23XFa/Q3ECXKRaInBbv6IsZO7jOSFEsjSrC2uYjB5zQ
oBgAMo2zcjhXy3a+cA5m+s++tGzqc+W6j0y64yvaIuTG0aePLPHvUlq5VwqGyviUAr52mb+OA6TW
YYB0EEaGFaD3ekHVKpSDS7w5lP09iWVuHTJzcPI0POoVJ9R6Lu3AKoH9RtO7E3fFpqNYbzM5/qm3
65OuWR8ZHo11OUkLLxUWXxuvL0nJrw3e36hM9vNSvhbfTMG4g11lE+ZsehTKOOxNGumB3sGQYFiH
qAP4QmOWKqZITzrOY9qfdpzqjtByGHXToivTQ9zV92EM2ExZlzHeX894mR2teqiUudmcSW8JZXj2
lfW5USZo4LJgurBFp/ijC2WUdpVlWlJ7YCsT9ajs1MkwPvnKYN2XGt9pZboukux1UjZsiHBUf2HM
zj2zpHHDwCuPa9sYP0Zl4naVnbuYrWPs5K8T6MKd7jPHHzsDEEf51JDRDsyW0g8L3TnC7TxneD8X
E7NAW372DettacTXQedmqArnoWq4YGSHzbUtO0p2oqLe1rl7MxDHiEzIVloEIVLK4Ywn5o63ioUu
viy5hQRsqRj1oMFcJqLgsrivY08c6GLDqBN608Ea7XujCl9iF/ZCI5OPfMRJEFrUK+oIr/s2Gx7N
QjEa3WnBrPOt7e2fXdLvuyT25n+5S+o+YMH8yRmBn/u+UyLkiqGU2QGzELVR+mGnBJ8dwBTaNSqM
/buq+X2nhHSJQonVhNX/hxPC71UI8NeZIRsEnv6epdRVB5Sft0nYkaHMknWiKYPo6S/CZV5RyzcD
jjjn5jJsabWy1qVwX12CeaXbP+OgfsyW21DhJWt9Y8D177voEWEoC3DemZD3snVNB4BzndIHYI7Z
Y64KAnRVFTDTGeB0OEFn2uwr2gRERLkhSwsm1SYEekj4kN6ZN02VEOiqjsBUxQQ85kJiOilu/MbZ
gxK8KlTlfGrSPY9vqKCLfsFbJCvK6cekfp9pq/dj8x0R52VSNfZON52wT1NsryruK7ru+x6hgrPx
8DwL7y3BIH4sKj1EGINQLqr0Mevlm5jdBQ0Lg1gL38Txlv1SG29Dm5/9AlS5496jsGaL2NQ+5AQ7
HR/7OHn1Em0/ivK5bbToyqVa1W+tIC8GagxBtsj5PM3J2eqVUqRo4kn8pay6C7tHkhvOePaTET00
MQ4WNGt6FuIZY5pxr0AI+O+67BVdkodfhSwFjHXV6cNaWrimOhvMXJYaOIMsBBa7bcnl+oUSBnHB
aNdOXo77snMHeAj9ZixT/HvONTmFBTppzL5Gyn1dyi8NvpV1Z7RIeI3YNc4SB/bQ36D/7EXK8iTC
odjFBQ68BJMqUHWuPcYxG+6v7zafxDInEGAY+XrLusRxMzkh6NOeLFWXXGTln/PKWjupzU51Tq/H
iBZjuBpAHYnCWfj5pLCR4GIe8IDzp8AZAcTLDDyLdKmAT5IuD1iIudkSH/NnTmyic9/xfQI3pEyH
ct4gVKI2ruXbUcncLnq3g+49KwHcqtO7QkniMVdOQyOnTmBVK9GcKZ93XWv6QXrlqUJXpzPqKUZn
r5TgrivpfVEifKnk+FkJ89T+HgYl1Q9o9rBhVaSCNSBBzw+VsJ8N0x5yaLltOHCsltlBtC4PppGk
ZF6wVSLMlAg0FkJwhmBj6xJjIfspsCHYARF1UsQdaGvHDrGnVKoP9uMr4kHXAjnIULqQRCDyEIpS
Gif9OCLihoLkICWNSEpVrz3iiDmIQgHorY/ScQ6ZiC4aUlSBJOVkNR/qMl5biFVmX556pV5hq7uV
+bCbQqi/kGALZK7KLw+6mj0if+EUvIos9LBmNo8VAtmIUCaUYtYvDXuO7mVUWlprLWyraGpXKtuM
3NYgu9lJdURT3FvZ3PMOUeZSJDoLqS6qXPySA15qNDzc2fdt2T6zJB7DKT31iH1xNN8VQgKj4kuf
yRiqYvIcIQ/aUQmEOfGQdoudoxTExO1OptIUOW+Sqo4OnDJvc6U6RqIOYmTIwRcvQumSnpBy7SNV
jrF93TfwzqBLxSuGey9IEXu3Z61G5qSgj8MZwqcpnbcFIXTUyFYjjEoE0oJqp1YJpm1EKTgS6tKG
L8k3UdX9JrAaSmul3BLZ1VMK7Ky0WFJ1cNAcefSRaS0/O1Dq0q00BNw4ji8Wgm6olF38cyeKszG5
KdFXqb9aI88acnBd+udG6cPeOG1zpRgnSMeJ3l9PSMkmorGupGV1CU3E5grRuWyjDZVPRz3SnidE
aVPXzyIjrOO4JOuQrQ2lXydKybaQtGulbTe6vS2U2l17+VuF/D37HH87BPEMYTwrqnHdIpVjir2q
kc5jJHS71W6HxNEDw3pwox7czfIple79orT3QqnwAjm+youTpvT5sJYbC8Fer5wdta8rSyn5aQcK
bVTqfsaR1jCij0zp/lhVxHFmFKCrmYCuV0wHGBO4al7ATVEFhpohOJHYtwwVWoYLNUf9mWFDyNCh
UNOHiTFEMSY73vNDNMvnro6Hw2Td0LywTplfGKkDZTqfdrZVXkYmHIkadXjOsNeYfXSLd2iYhSxS
R/T2+Wj0i6aGJTFTk6E37unc8QCjAtD2GoUA0MfbynRO7bepC8MmJjC9GsbY3+YymL+ORoF9PVdD
m7h2VnmNP59+eb6daBQEMVZOw1siLr9nw7hzo8K/gabn4SGntGPREiBaQw2Ubxim1dDnnwaCbpZT
pFtWGGz6VLfQ6qgC7dRll90+jMmPTYoLXQ7+cJXKiWYRbf5aNC1xCyKY2QwPyUwbfUWS3tvYUj4P
ZWRwYncavLResdXj1tUgFTsgefLoGtd3dSnI972kugul1V4aDerEaN+2Y7FgPl2IX4zSIpEMJkMH
LbHI9aJr1yQ8riBt3RhetrWmdOMay1Neh3dR3dCha5BOMekRkV6/gfD8EjI+VBbPTaO3wGwymi6s
MGM61n0a0p7qCe+VqeNpGIkbUFcOem7bMdYE8/WA13hee278zpP1icqiPfmYi7CnjzA1j6T5AADE
uFETdv2tRsHTYh/dJD8B0DTZIeeMxrC5Vnh0e5ZotEks0k14SRE6JGTkrs0SNP/lUEXOtT0le70B
8pdVh9yH+lOKjMpOevmc1Lz1x/y+A/c+lDMQsaJ4oPG8QJrIjhw6D0JoJ/qzArZCjNPqQxf61HvS
u+zWR6LCz45lgsbVrxqTldb0oBRWnzkYb9Isup1CdgozlukljDcNp2G77j5yeOZaQR0wN90EhbL3
5Wey7mANqR8uRXLXQM13jCTwLfQtMyf3OIn7NtMUZVfTAkaihFSjDZiwbTgwk1UVfL3fbrtU3+e9
8YILJpCpPm1tjegJbA62FvTvFLLm6Z69SJOmHB0Y9sh81c8QfvtIAkNLn3w/3JneciMG+J1Zpz/M
I+CPtHou0QE5OYNA04bkS9iUQzClYw/IwjyPtjiHkfk2ic7Z4LjYWJCHU8DufiL8bRTBLs2Wj2q2
z12l845HYh6Owc0SlaONsoTCFc+Vvglnx7uUtLIUFnqCRCuOO3ErLe1adjT0aZG5bVuyMqEd66uG
tup9PDuv9kggxedJg714up4mj1TAWD5P1L9WmvNqGLQaV0n9InB6M1Htt1k70IvQ8q69UN/76tFT
k10YSj/eR41MA7Anp4r4SBZpy0WDZk5HeL02yBWs6ybnpDi1bBHh/Vv830zTlz7U91EyVTu55Ac0
A0K+XQ9vUq3atvUy6XzRUgAa62bC4l/P1lnPknM2ZoGVWkyU4qW9rrCNr5LJfCZyFV2NTXjrt/KV
KJC1V193YJuY9ApWc+xH5qsXd/dFZd2iIybXvlkAT64OUSUeDFKxS2kLsgjQ+UW5Fnl2XUcCFDLd
NpGdfwUugw/ANDjMeg9ZV14lnPAz5MBBjtOmNbqXWa/v/Alqd1G551SPzrmbbqVrzUcKDZ9q6b9a
k3mHNbc82mZakK11KCXsrNcl9w9+q2v0ZidoMAO/WKv1bclQc10V1rCHcU9ujBgaGXsrF+b9pKcG
x4imQa0Fl2oZSHGmo20MPQmXf3Wi/P96hi0OdY7vAONijSf9J345QBmJEJNhFMklrXAFFad2mVa+
df/DsZLBIrG14se+xF9MSP96ERivIKrIEvwqZmchhF2tbRMqAg5acRIUN2nWQzc+/PXLcBL94TAI
bUu9F5dRloWjV/Eq+PcfNPNQCJ9TgGDjbnwdy0fN/C/u9D/5/Sj/tDFaynZm//pZtdQTl6WTy0sx
cqPtvfD9b//9cLwMPiE+KBW6/Pnvj1wl0Np1fvE4d9g39r8KH//jtf7FvP2/Pp9frjXgVB35ns+H
SLOWB5m+bdy1hd7+IdP1X7+VP3kpxWtU3jMbk6b/y6WQHnohtdDZRaR7ogKdWFUIqVbAMgyW4K9f
S/3Z/zYvfbvsP10WtIsfL7vQkxyLkJSXigq/lh1dwFeLZ+o8bP/6hf7sTf14/X95U4Wb+jjsf38h
VHEI1VO8ZR1RS3H1X+419Uf/+qYYfJLmZnWEAKP8lj/cy6ZdGCULb3FpzW0o34dpY4ef//rt/Nnt
/MNL/Hq7La3NXgmU0qXw3tPw1dL+D7ezalBmVIyXFkjaz28hraXdWbS4XFKegAi4cv4/PLyYkAlH
4dIME6bgz69QaFTNdY5eXhb3fXTPvZr4dP/l2fVnF52bmGG3pUA9yrn344UALUJHpLfkF8JXxEDV
xMW+HegKY1Rm/pc7+U9eyxO8DUNX/fXoTz+/VowjyvRTu7jE6ky9Ae5JTxqE/pI91t23i/+PX1Ol
Xv6z5Hl+r7iL/5clgp/5Q+40flM0chYQrJoWmYN/D4bJ1pNDMHis6ULFUfhOfpc7vd+wUNC4gkqK
DOmoOsrvVk3vN922VA+WaROxF+7f7JxUD5l/PxiwaipNlacQEW5mzZg/f75HmrrNLRuE56WqWhw0
bDFWjQ8brLLnRz2td6GiqI16vQ6r/pPow7fEmSgon6xja4eSSZX26A/1WtjzyV6Ih9mEZSlU7Rgy
JRcHOs0cerRsRXrA8dzY1AQxs8k/jaZ9Xeblzov8fZ8aHCgKa+U56KhNVKSkdMd7xy77bWfqH5pT
HMEQkHMZrOjkOsBStSoLV15tb2ZDoVU00p30VQh7dIPK8J7cyrxh43+xQRSu+qYYiBAOEnDGvAsn
WBaz7d/KNLqP2B4WkKzXs02mPZL0Hc6d9TGWUXpalr56LzpeZ7aH3aLRgGhCjoJyt+fQIrZ05yD5
0GmLGJKIjvxsddWLKNsY1VisesP111lcB4m0t34tP0VQhlXPLgpXu+vrhoxcCTMaM9a0dQXY+DHb
N2rqFHUUILbxurGkfgCGfzSFTK5oILgK0XrBMosqCDMUxQyAuD8697WeOLRYN12Acsy78Bvr4knn
UIyMc8qFkiO7teUBee5MnSgp+aIL2i58ayPvIdXIcyaaubfm8INdCsUhxBw938nXLZIuYQugQJpl
7cs4bGHG5eIBLZSU6mQfOMNNayuq7mAQ7knZu0FsE5qOlrYOyqQNcZ9TzgdzO11Vqb9NOA5sljiZ
N3XIHM2Oss+NzgFtqPGedtpi3Pm17mGPyWj3hkkCLSxeawAZt8Mo/IzHvZETxw+Lg9Nr9h6zyxiM
mpcdKs9eT66FjcayIP0bbrrrSlvW+6aNyvDeAyN1pTvxl0graXALM/9qqWL8irI5NHX0gFzLRLQz
9pZGfyfP/00b9/Zm8NjwD0V5LLzm1Lb513KivMVaxqOYhpeqRR5iAP3UGzXwMPwYwRBWL0PriY3b
Ltd9MV3nubCCxksBDXmQvkqa5Ub7xACWr4T21I26CCyqClKDk4sTWRcXlmLvEa1PGMXDOyhp5Wl3
uCSupQN/Qvjd20LdDo1Oj/6ECp7b4SEyaqbSAGaCVK+TTUMD4paiVkje2SmOaEuWUbzBJ34qpL/v
WKCD0dW+JGHyCJyopjQ1ilepIb6YSfWEYXutRRIHEkSQ96GxN5quvQ4WssbYeSdzYnin03B262TW
G7GcY6u7X9ylPXL0Pi86k9BksWghsi9TWRqnosl3UqBvVa5zNKcGHyQnaM2I7yjuoaYsmd8M9yHT
NtbsHask2foDjN4wTpqggImcDC6tCpm8BcihMaxuXiutu0vpkGDCvNzE2KoDx8SFOQIoSyjA05z9
ougcXYjULRqSpYxqVzL2T67v4yjMLlixgt7iqhvkbgd3inZZvrz5ztBtu7wJHCxhNn5rqaVR0A31
dT8uB79KPoFkAJuu62vQ1z7Q0vS+k/YnvyFf3U8timntPkUaXC49D/kSlzEQy7iD8cmzkIZVOe3a
Anvi71nGf1Zc5dv7zysuCYnu/f8F8v3PYIjqR/9YeCHmCk/HymH7ustJ7qeFlxCExUYYIuLvxNzv
Cy+2K3xS5jfU7b84u98XXuc39s6mwelWmIqN/LcWXo55vy68ngo2CLCLNsZHdoI/L7yuHulSNnZJ
mJdqOmw0RsCgZUasoijMmCL9MIbZVuKLL/LCwDVVxK85nvkcb6uHsY8WrbPb17RcaJdFCzfCylHa
oW5eE68vL2nSPM048j2fSmevnWeY+9DpcO3/rt91cPq/mfnL1AVMaCLRNIvioaAJIWl4Ci6qQxnl
iT1g8wU8GgNVoemCcqlCdEwaCPkvKYMfPUKdYUC6hCW2e+w3NB+CNdXgm04KdDrPqAyO39qUmOCY
GgbxSBsDfpp5MxqAUjvfygLnGzwViipTu5hGWH5vrRCr/SB59E3kmMIi/ewnvreZFZK1z8lxw5U7
LHR8HaQCtxIW3JQFWwEB/+Ro29p4zXyRNARk28Ci5yCpc4Bhkr66JkovpdYFigW7Ghc8zU7/gOOS
YsWsfsTcdqlqsgX46qn4SOotPVs9qZKiXxearILREvAS4Oussro/AfFhazKXwBQHbVc1wBwLA3vR
cOenqNvhSMqLMo+9a7JUzFnyZdDNU1Qs58UA0oFmRE1h2rzIjhxDX6onI9C62GPVFIYfRLi6tGXq
glJBgtsyBRnYpSbVIM6BQcFtFgJwgIgJyWeJNrWVe1t6mD/XBjKiIdqzQXOnVQNFFDkrUnLRZX80
zQVvmdUe64F7JuzbmzpxoPcgRgI4AV5s+VCOCix+ab+ra/Pk2nG27fxSC2oGyRQ9Fmvq9HZNqt1k
U9meFlDGKxs3CoMi585wjJNfSTVWGSYyEYBuDIYlK7NckpW0uhbVVnB+oxi1jdqHidVsO6TFKbLC
t7kGCyI1D9KS6aztTjxZdf2WmhA/dFSFue6ctZdEt9GoX+tTvl6i6Vy3/peGHDSJ+5bPsHUOUQ1L
cHHs665vL0nZ1tptCTF0+ZgnCcQkz9d+Vj1lYVQDSWEhY+E6FX1WXaWd/1pmWOzt5otXzUGDQlct
0TYqHNIRI8hrbdsIg5KW+JyU5dWUtmfIFjdDwQSFXVu/k2EPJTK0vy6O1kM+GWl9TvrQHSgnHJZ7
w1lOaPx4XiTkpCixcUuaDq9r7SpJgIj1dAObYz8u5k1jv7YayZu89x8Ln0FwCmzBwDYHQucwxiaF
hctNvxj7kC5Ddqn9LQ+7VTMys2PJWuEi5O6rwxuTqSnp+xJrcEdre3Ln6m4QztH9Uk0MjJqefPcE
KMegmojLhbXLj3S6KqGzbM3M2ckowXImcXEaRuzhQpM2nkjuHEwDgIDxnNKbnt/gdHpxreJr2Ygv
uWcgvJbyaSmia1tnyz3VTL5tk+moaOikcdPqk9drZDgySrQmj8eEEDd5SRyqd2v9Mpryw2RvvEH3
+ehbDbCVM92Z41wdzGJ408t8W1viZU7ckyfp0aCoYg0ki/2x1Vo7EjbPxeT362wstpU374YQlbZq
bvwEXDYxo6XFkG3X4RkAIzUrTrbHselfwat69PpwzSvTKOlbD7qwjV1sl+16qfWKxFE6bWrNOE18
DW7c0r+zZ/I80kqIJg3YpJBeDcX0SkoYgbbbrXmvCdsYTBA+3oy4Znbf4Sen/1RudA9OhP85qdw7
ao3uMj4T1gFGhxEkbtrub/LOgA+DST0cMkgaodushmVMgnFId3FdMytLJeVgHTs6fp3nZfXaVsgT
OzpT2w43sk+Go6XpxYYLOu9tY7pTvd16XtHSVCb6mrHuHhXa42vbRIcJx0GorTPPPMZY/KnFdd/I
SCWYVZC1J8tGcQP7E9f3RhLunGVugih2egidOkOZqP2cGeyrtRb0mI2FfahriuYZThpGBZtlurZE
mwaaWe96dtJ2Vp3Hkoh/pY/4P6Y7MZcbvDLz1mYuWNb+nt3n+BAvc78de+Mj8xkmgKm+zalL3iwq
DfaPgvHNtKXi5n+1n/oM0QoF488Sp/zkD9spYVCZjVkd2xRWzB+2UzpqBc6+7//CT33fTmFwNx2L
7IbJfwwbseIHHUPQ9q27Jsq0zy7ob22nMMz/up2is4LIKw58Ae/ofwWTzXQoWiwzI6Enj4NVn1Rb
xjnppkoHWGtTtwVm1/IYsq3hdUzzY9VO/s5hi7YCPpeoxyEI2sLTIQI6G07F+SqfC1ftS7Sj6JZ3
OzQWiuK6j9GpWzBl+KgrGd6bveac6FeCtDeY9baahvrM5nGTRvFTB4R+JAMJa9O74rt8hfv9azbN
T2OcX7lWdqklU2Xd2PsJtk4/JSmS5NTGpJKH/jJTdEakktJkhUi1bOcjda3H0dHeskH7GAdFd4KR
HUzjDAG1zL/UKn6WCe3ciaFfg+rHYsnzbzX4zqc5xpiG21cPpIupfoCWuO7n8inOy1vDicCt4cZy
Z6sP6r4bNlGz66NTlBzAq90Rf8T7EX4sysxS0EaK7QFI/5mi0u0ypc857NPQCD/Hhf0w2OBFRfp1
jqigTaRx66ldktdjExuilkNnhxLZwwnqZSzBZRMWqH2zXjfOfJ/jG1137mjtOUWngSljjElF7zJr
A4yb85AJ2pCogdY57drqon0WW+0q18wdBQPpHRYiYz0ZbBfT2aI+OIHabZfQ6JpazajLcQgyJnhX
KDl3JVTklcXsYscB7kCUKVk3ZpdgG0jtfR/6c/ZURJobnYx2yZ8xatPBKGGt8fENC23ouJmGKRkJ
DHpfW0aaU0zKsWvwDuRt5566sGv9twa00xd80K6G45njd2Lp4dbGMHJxRTIFLejbIDJmFihrLE/5
YiSPaBVPDTjJven4b1ky5bjPoLeOVmqstapvtsbsPfjFeDBzAFYUFjINRXxpdP1R60Oe52I0N1O4
FLthpBMitwjguS2SeVv461rwWdKBdJpw1T1wB6CVWW5JeEBON8VcthRCj9UDMOJPLSL50c2Mgcl9
/FHpMegraxYYcfSzRg8G6h5P41yzdZzzXb9vaHbcGzh67munllAF3eIhMzAPVXoSo8tUD6XXrbvO
0VZLv0CnS+z95FD00YcahjD8V5AxZxwnfsgCQXNzTlhgYyf4ddDjEUwS6i+7WbxPYRXU8fjkzRDO
zELMK8pqyXhbPqa3ydIOmuaPb1k6kjZf6nCdeF2xI0CRfc5Mu91L7CerpfausjGe9gPCzKbpONys
G5QVqGt+czuaengdM7c9ecN8bqliATHOUMYtE76Z+dBsAdhNeARpC9Q8GotbPcOYZU/L5p/16Nt6
ZDBw+8/r0fljeP/yZ5o6P/XHWiTgywIWEDzoTThBrCo/xAwNTwjwTqwolquAUt/XIv83m94DAoCk
/+if1X/Q1OlNEDbZQIVH+LtcWtP8eYD4TVJnXGz7jClxMvNX/Hyyp0+uMu0wmS9JcWPOLtIwAfzV
1PmP00IZlpjpx/ON4tpb5B038qe5klrgEppZjTHVzlCzxcrt/Ks2U1FepoGT5nzy4+wke/9pWepH
cyy+Qm7b1ppTrRKITLLKq5XXOkpCWHbCyK/LEazdEA4+hFTcI4KKasl4FZNt9uTQXbM1mTyD+66x
14b0Lhr2SyaRseblkxZSiYtMuh/r/jFLupvGt84JPo4d5JT7PJuoVJ2iczjQYj8O1WrW2qPuYUOa
CrL3U8l7XqikN1e11x96L96izYRwLIttEWvPfYXlBs0eztCZse52sShOLVw3JLDewlsY+zUxlm3t
AcUl/b/SLf0LwaFLm+kOz416vl+0HJBkSJ1j1QZLPaFvpyb7TioOVlGhpbSY2q/5QvukM4Yuu1Mh
SX8nPABHvSXtFlI8WlJ+PirvsKrPnJk8jP6yItB97wCvxPNjP5HdqLMgIh2D8aWPOiD9dklEbHJw
Hj/q44ioASy3pl207kS8AVkxNAgeUYqcHEfSWoclrl7ayq/xz22ydt4JOe2XcXA2PWTPVRpFO9b3
IXCXsMZvoz9aLocSuLAfVWqfpGj9FaSvt8ViGgO3DANP2D92RfGWAMYMbRC5rHW21R7mvqdzmE4F
Jy32pSG0TZxV9kp3h5Mv4H5nmFWpDHqeLecqrziB5Pb8Xut2/WjlAC1zCwV/WI3VeCChupvSNCRn
FpJ7S8I9mCxqSmvzOPeZvvI1eJCzxoZjyb0nbQCU6tQaEXljJ5KBxB45Hy8cD4tvQ1YoK4eCn2Lt
D0gtQ13tkiR2V8Jdbgoj3Jo9cEENeFDT9E8LTjtpG19Lk88MAfdFeFjbw+yRs/BrlDc3U0y+Y+o8
cmDLS9sgkQkCOxhk3YBSik0xdVc5B0ccjMvL0M2cSuv3bk42tJEcyUWt9eR/2DuP5biRdtu+y5lD
ASQSLuKeMyhfJItFFr0mCDrBe4+nvyulX2o1W61zO+IOe9AR7Sg6IPMze69dPtkRrbFvIn1NdMRs
aZ3eMg6+C1lcL8qOWkJ3knNQyetyxqXYOk+Vx1ij7uxDTYuGMX6rm3D1IeFu9QmCb9d9ttzgRMmx
cYz8CB3wOJa6xzs2Cwx6PUkGdn4xJz1DmGCT5G8J7q8Oxc66GfxtEQ0qvULi9LKmq8i2CAIi2tQj
6ZbP3TzOJGguyZR6znww75aetEu9IV8hDQQWp+nWnlkKjEXKnV47t3kenEO6fJrd8JB647UptC2r
F/D9lffmZ/ou81weI6ci8zHjAfQVHHVc+7F4t2JVq/XGLY/xI+1wyLFQXLaRfd145ptHm7eOteGq
8JF0Zo0hl3irCCT2c2uR2szX3Ba9pJWM6dWUeKck4VxBakZwaU8WYjYZwya3vZfRb5+TtLryjRpD
pGP5q2bQsSZOlcfawjov3UZezaa7BVESkjLVV/FNmRuv/kQnHSTz3VwUF0wpXwxUgF3aTbvM97R1
m4jLkAyvRVOGDTxZJJoEILwXJcSWzgmTVZ2UijlcMbgn12OB4IdcIyutl76sL2bDOW+FcRZ1xj4M
21ONkhRCq7m3Z4aXnXZeZHyXEX112YY66k5NEqQbrMDWdCis5TeVy78jfeu3LehtxzT/nev9A1lA
fdT3Kx9/NVguHWUGZCHAAgz6v1/5+KstzNPErH7lHSnY/PcrX+XfKaoXe3KkQ9ztf7Sf1icVdURH
SqkAU5PNwT+INqLE+NB+AlpCm6LzNXAh4VT8sEYPfKKn86zoLueUKfgYdZ/RlCPvTFpOPOJ3pzp9
sAzSirHyHaIaV4UF/XXJavoK7Pje8WASNxa6X7VM51g8J9D7gANn4GqObnQ9eev1Hqxq0YNC1oYM
Z4vAF1FxWup2QFYeMuRRfxhm+7No5KNHYDoEbE8i9mHZ5mnzBo2nxvqdxFRRk8cWIPKMUKMyz/9c
TsVdH3IUFySLcObY3H7tPseQ3XraA2tnbH/O0TSjQ5+EFzDsPzeFm6nK46o2rdfUC1xedEzWTAzt
rRBYLoziKZv0aS1jBLv4ERPyq4ed6w13kyghv7bDRsqZSaXC78ohQnsNcBY5Osdgal80bXqLgJrI
M/A2VuKeuL/fmPNeMTCl0q/odPUgbtf+MFy6Zf/ISffqt8WTX4kj5utXEIZk6SR1sO7ywdk1TnYV
lLRgIUlFcfAZRFq/LlMXM7edpFx9xetgeIdEo2XJJiB9pVDxd7BUNlHVg402nAukzly5/kUeoOAm
S2AzFcNGr4ezgKyKQFgnKC5fIhm/O1l9a0bBFrrxI/7YbKU7fJH8kjwdy/cwYJMROuZjZM72td03
h9Abv6RowVY+y4uCSwDzd0xnq4sHGVgn2WK/wZ1+KwPxpRN2v58i9eGkmW+k2T1mGh6MIiR1CTdv
16Iz8Ls23tp2+oTCgDS+srsUoZKrJk66/JpFo0uN7XWy0R0Sm4A9bqs2RDkA8BPwBb81hhXDUmAG
62REHcfK2oa6RWo4ZnE/q4hBgRJcxz7Q/mE+Oam1HXJr01USk9Hsu/xJGFP1djQW7tzEq7TjibOc
QSPBjod4avgdZqIMMDnMNwV58YsudzeB328Ih7+ZXfMsGhgZOyJlEV75wSpIGY32XfLaFuOjCz5t
4djli25gPMsLf1kPKnVRj3Z2BUig0MKdTh240pwkX+owyIkL5zKMOpAFGmvwcEDw3bvvOMAv3BEU
fNkgqK69lnQntOmCRCTi5ClzKzQXat7O05jhNG5fyGoq2S1TicqZ2Tt5qeJc5vidIQB4wT4VGO9W
STI8IOsH4F5rTRjd82Pw26NolX7fxr6+sbmP81unA8bNHKNE9uVB/g6XhosFVmMDbl+BJQ+vzGoM
ngD9r5uUR2ghYXBflki6Wftw++Bn1a1gFzoe9PtK15gTWeO1nmpnrDUixgBOb1oL9IUzcfVArvad
oxP6VEXkVeD9MVMkHhNF9JCyG7HHaqvHpnhMBgSvhzQvmRWAozJWo+286gHMqSXqmZpkycEvvHnt
J9KqcLcIJ7jVWydtngQqeX8VmrMIGTVktv85sSKM4zowKry83tiV/05sjW8dMvfU33fIx/o5D35x
Xarb7afrUiqyCEZ2NWP1aEF/XJcIyBTGlWbYRYSo9uLfr0vzk0fLDIWHvJdvcX8/prXmJ5O8Pv7i
j7UQq4l/cl1ipP1wXaJeQ7+GAVjH+020INf5zyrIyjamaOB5JM/TCNfmnCYefBzPP9fGSj/PnYZU
Jk2fus8yDs8if3pyA8Z/pRO/mj058dqA0msHqSTr15Wpx3u9rMr1GEcoNwCYFPecKfa0JLemCZSd
kmVYHNmCg96sn2XqR+9tp/uM03KL/q1BFpPjTMlpJzYhvJNq3aYNu6S0liR/1THBDbAtGAQhKGn8
zqOpjkqbrBGL/dlY11804rwpgfH2W5GPEUxQc7sG9iVFkNBM1E+EZmA9mbiVw5oNDc6pci6Q0Ono
zIZrw5wvwt5TmNMLtmZ7Iwj3I+r8pWWjDcAvZC2LhqEuV3t4UUp7q5faVUyJfCp997wtQ3q/gK49
wBlwkTdFvRTakKwnO4bNUXIUOlV3HNvmqCWjuxgCSQAbbiRK6mEdBiCTqORbDaCIOdVfErO9iVL9
BlljZuFYaPMrrUrmgymhNVTlJijt8JHQwaXTumxb/Qx8exqw3Q2/IGGKl6LENiMKF7dMR3NtZjea
bQ2s4WimnIpEhhplEFgIb1cS0kNW6rjw4TeuhJGHxz4Y6D7BPi6Y123aUStO9oBHyQbSr0/1wvQ6
NrICNWGkHcia2/QgHRkpl/Ku8Qw8Wsx6WVy6GySHLJtJTh+xZhKu65RPlt8hLTQ05HqLXATNspmw
Zf/0Kl791Zqg6rw/5JRfE7pdBOo2EjnmU0gl/vxgk0g/6InXxJdCD9lApIN4JsPeXYJLRN/974Tw
2/nHmfT3599V+vz6Xv+1XVCa9u/nn0rSRuFj/Qck8GFbhcSH8aCNs+OrfvbH+ed9ohMwFb/JQ5qt
w1z6cf4pUhO6W10gpmbmy6n5D9oF9lt/eky+jggthdRXQdpCYcL//Jj004CuTjrDsR0piGSbPBT9
dHKKniw5LzhmRhW/8orlBAaat/A5mDWZGlpGZ/iihfoGFIKErsFWPCA5Tc9TLJEO3seo9l/qABHm
mKpdcZefJHA85naFvx16/0Aqag6t0XnpzOjG7ueHEL0jNkOYIKKUy7EIs13ilGem0gJnjoKNePlm
TsUNn2s1tJAEa0gclEiTQSILRYE/24c28e5woCCES4K3uHEPEmeVLsdjGDS7wmGWwrziWoS6viGf
FpyP7K9Gge0Wo4JNlTcOhNokaqywYLq5NKuOA12iXxlKwJikcG28lu0Eo0h33aEoWpsJ62cAQyAp
Mw7NUt5SvC36yVt1prnuoNksqhpKfZRN+9mI5bLNQ4pSfb63vLes8Fe1GJWm84xd2GOnz9GyjMl7
kiZhc93EONTuWbnRabz3Ouxaw9k4pkZylB7eBwaHPNF8eJox+mFOYyapNJwOaVjOpVKhBkV9X2jW
C5CFcyKQcTHOK5tUpqox9p2fXIsJQ3xg2SeXn5APx3ShFYTqpellLb2THekvyTjrC3IRmKroarPu
DHeZkE8xNh7O1gFtYi43ZWcA4x+dcyN2b8mDzSFa6vdRH9PO5ARbmv4d6o5LfPDnQZ14iyZNidAN
P4+9dluaGKXD8dSywdNt7ZH1GU0cMiXLmvplXQbs3JSVVzTVF2eabvQODUIlvQO/poshdrDoAd6S
X7Agr32h4kS7eVM6qCSEJOk2JB8odpFtBc52jh3wunnx2cztJ7ZjiEam8Vl2A8+XgQU/C9gC9W1x
YfTpm88T6dVmtpKC4KDUPuvsaVfY7VuvsdEToXlroZENOPqhlVVXhj60EI5IWEXhGS5qbaLmDzsS
F01XsbqS+7jlhzTTCywspnwLmYlTa5drr8zIEspqb03oS0m9PASXoivux+YprfYm79xThnC8UBmY
Ib0M7AFJNzCF19NQe3s/oR0onGaEM4nAS+8GuewqI4abFTIt0sovSKdbD3Nw1TLJCn2Ubm2WVPNd
/3WEbPWjy3A3oIa+yX2TgSy2y3tax2ItGUEzZJhB9koSqiTTaTWmdmOu8NzbwuRigm247opok/QM
46KzzkjPwVdsPhW9hTBCjS7TkEeapFgbXU+9jLDSLLUoWwWuN964JQPzApv9GM5v6u4l4M1dRYzc
dUbvgHcpC2hY1rnthkhBAkyJzuUopYqRJKLGfYgY5IeuBVuW0b7dtvuIUX+NyThl9J9G3aZU414I
qgAe4GhorAlkmAeXKYuDRNo3/HSNbcVKoYkZ67Ji8Fg11KakevGHl8aW90VhPma6gyiS9USckt1b
VfOsoAf3VqggbzNCXrzdl4Pab+Rq05GE6YXO6oN/K4Bh0S1WrYVimP2IqEDHm8mXicVJGTv3ZUV/
U8uXGrnAUs+co82qxe4KHSFAaC5MtgRIatBO677xoo/xyWVVwy+PnU3MOKZNnLus7wfeEBMB4eCG
a5ytK1uNBpkOQW5kWli0vEwTr57DHLEJxb5Rg8WICSOgN6bsxhlc33Pa9AuCCgnvUUPJlABPpVX0
FmaUpYvOceOVzAzVarXvWkhmbOFV8abtvAiYnX6Zq/FnrwahgokokN9nbcouQialmhqZGuP0SmJ2
fDMR8kqHDMiikcj7SQBcOUH1OmDcg6eAmYAZ513k2udhWb5GM+sq4s2yW9TuOy0XdyS5MWwq+W2k
jk8CM6Bn16e8soe9k5X+yre7XRlzO5QtnKcBAXiW8qyBIKBsS3XGTCQmGRNj1TTI17QjDTFZaj0u
vq7K/62IvlZE8rcV0U3XAl76a0WkPupHRQR/lb6PdPivfHdAST86QoVdkhho6O0MpWumGPneEaqK
CGOSS+f3HwrlzxURgT262rWSD6osSv+gIvrrABUfEl0lfanE1UT62ocBai9y0VaaNx3Jhmk2upbm
6wbBWALzxPWrcxQhI0af3sKab/l5eRgGTkpUEJabAFxRiV9RqFsXYz5Wiz6GRdmxLGFgqy/TyWw2
wmixvxRkQ6LQKa+FRGBsy1Y7RzRjbZu4ePSoFJZk2r3mCAsJlJ6vs6gAUTQUpMKXfbowA+c4g6pY
5gW+FqAtyTIqhnmB9hnRIlHJcFnFdWJq6b7POEsz31rrdWjtNIfxlGWSv20kDLpoZnIL0khyYpL8
PiTVTcGSsMyGelVzG+/jURsZKsIVmluvPOodI12h3DH8Kb6RHCTOF27IbtUoMZ8/eAcdaV5lQr+B
5HmtJ5AkuvLOi6tz5p2fdQQycZnxxc6DIAQuvpAWCzxez8Ncum+zR+k1TUQbuqIHL4KpCFNTtdQ6
zAshOHwPaU8Sms3CcouNTx3maNUhF+VjHCl1Cfw9Rf0BMWdNL3MkLg2olOvBLU8RW9AlQ6XKvWpM
0kq3WockqQxVqaejxqlqZOZGva7LYitwQenesBV6e94Z3gaMxPvsutHacnoc8RZnZO0oIihi57xj
SA1cHQKHO5Q7L0CsPAj5AG3n0BHsuqpkue5HYTHfevcde43+UO3gg2f8r186J4DlmFj5qpVzsTH0
Fq5pKq78eqIWtbnxkXNfh/X87FbQ8wyyPJdhSrZWrRJJc5t6ULT3cVxcd3qmQ6EEk6mYkXO1sVJc
JKGZbzvDvh6H4IHiwgOn0lCBEX7Ya0wrXJvH1cU6xzQ2QAQ/gYp00jyCZdpwswV+u44q77704yvG
CRVVo33uD26N8hk0QmtFzzA1lT2leHZGs142I0iTRvPnHeNvSYmeJOsywISdCdxflI/lapSBXARt
cOP4zH+Bg4odsaKIlJB7djmloQ/hhzIA9g+0NuijwzXFPDxD01/kYwYGBVRWZoudrZJx+sAjCrxp
VqkmLNLQDYA2BIzapYECnJBJpobjsRi1fU1c4GIaktcu7h7izHwpp+Eqlt24MoLsnUPqshZBRj/h
XvbQLdaxC+rFb0B8elNzZZbmG+SzUu31dmY6vQyxdzmK/AbARswCe6ZSa3USaq1gQ9Z8vCmDusP7
Yz81RXUtAvJf4zh5j+e+2k3C384d1kCRavaikWTfeYGqUwMk/kGUrnETPuTwLIw6ZGbTy+dajz/n
dodAoi3gS0CVVYreQ1e493GtwRDqzwiP1Nf6aK3tkAqygM+Cdn/JcIrGyNOe2gpeTVxcFDV3+eBA
IGTO8tjOAgh9YHq7vsQf2GRethvwVC1YbcijSApXW1VKNvbvtfj1WlR9898PCk5R/w7u5e0Xs1L1
gd9vRkN+UlZswbkpkQf9dDGydLSRC6HgYVD5TfP6/WIk+5qqjHsP46xUo8w/RgXmJ5SurovzmtsM
XOE/ErZ66t77Y6DEfIJLlkktZHTbVirajx5ukfcQ6EyIx0VVlc6FhhiNh9vjbsz0FfCa5Oh1wkwA
Wfm05yBJ5o0BPdehiI0sjKB6euyKSlsQmaLtLSvnMWbPtRpEk5+zQs9u6EeHYzfK8kLl0ry27ObO
RDYkN9IY6nNZxHD02pFoERHhA5WuvzHimpxbp2qLzzT1KB60nqqyHsoF44ZtIgyyH9LceukZzn3R
zGg+icZm/eKFebHIJ4M0D9djJmdXCDZjhPI6hznakOQqyzr/VpCYd+pKLQ1v9NhKgmabOkY177Ft
opSpGV6bHCJOHuCKkh1iVwQRlD51uJoGt5ieqS7667o2XAQWRS1Q4sx2r19yVMfrzIqq+E6LZwS+
VZ84znIUbI2g9JhgTq2eZC4wqOZe9lm7nrl3Vw56xZpMULctq5WhBsZ6X3vWea9myf7XsXKmJsyU
GgybtUoNnqcoN83tZDTxfmJ16q2KWZ5mo+mdnVDz64JBdst65ay02RIeLFCHe7dyo/40xzhAp9rK
0beHPJjDIfPSKde+jSn/VRqoTcPfnwjf4pXq/Ll++2Xyvfron44FwyRBGK/9t5L5j4JZwd51fPsS
2z6Sc5138vu5YPFfgE94lLO2SWX8p3MB9TzDYabDgEVZxv6Tgpkq/MPBgIoct77tWAaSd2Hq6r//
RPTwRksrPRI0LrXEFStLPa8uovG9rZ7h/uvj3FYtEZT2pPGYI6HhkfeHqonvQISikvv6UuTq/cir
MhipZdR7M359hbpv71MwVjNv15hSUdNSf3vzTFsJ1pKvryQvf8372X59Wd22BRluYcBd5BqQ18Uc
zPFtVhBDhFw7FpjrdHLNWXNiTYvjcFOWKTsIdi27KeSqT63Ouc+NXoOPiJruvkSzhJXWKudpKXOE
znhLqhx4UelemUlfMk+q4ifNKq0dyBBA7syQfMTVRuAuGJlEB5zoRFNn/pwFSzey/aVXCNjderbM
zLg76JqTXTp23p8ylkbrukuEBKCY9zuMSRYS9cr9LPIMLJaH9w1DC1KwceG4keVgt06dE5MYOMJz
m0W7tHbm10xo0IgDOTX5ctIxE4tN51kx0mL29OAv3d5st1bNL6RZRXChn0AJGsY6QaeJUIJ4+XzN
0cdpxcmDLw1p5WDOs0eJ6/K/TWUdbB28CNdN3cefmcw2157TOODKbYMNDruh22woLz2zKZFrafw0
r3It6PV10CgZYOAXXbUPhdH5RzcS8VPCkgv3HWIq0p06bPpDrkfpTjdzRCuaSw26r4w6Hs8yJ5LD
uz24wbsH2XcLHtIH/xgW8M48IGaN1rDQ16D/JG7UPIamUdbHCik2M8n236XHt6WvIm/8/uRaRe/B
r1w6fOCPQ8v+hOdZd/+DBlEa5x97X4fIOAIlAF6qfl5ti78fWuYnNhIqMc75ERnXFF0b/vd/meKT
RQkDq1knpJcUi392aP1i7ytNsCZopiWvpKOrvfBPh1bEW9+EABgPwJ4Y4ln4RgOST2wrOcsiHl4E
zP3sIAiReimAc+bTfNMxsA+YIF6YREY8J2G+NFvQBTq2UCc1jCtUvXBH4h7N4aLpc++YFe18Fphd
Gu2rdhK35HZo1t5odFQonqe1x8w3/bNksvV2LZIkNm4iByHmOcdV2rx6eWAPh9osa+uaRLltb+fp
O3JEOPp51JG0Jtl7IJbgnva+XtmU+u1epoIwtXlm/rb21eJ6lg5CTqcK9XOhFtt1VcXeMofdvA5H
r8JZWrfrTp+ic6ud5IXvzyUxTeTTP3cN6QAMI33mmY4ESsrmsLsKhaX618/gFF9jG8mrI71sWdrW
e9lm77ZX0H/1WSXfIA0j7wAeWQXDPp91a9MmWkegZWAveqHjdRqSzoDxMYBZYaXyYGg4G7xk8F/H
CNJnY+ZiHyJDudASwTrIqNlrVN1I+VVWW6kYEnXPa50l+bi03BJqVQ2N12O9xC+3XNlsO5uhQbLU
Zudu5xES69fOYbKseZ9I9uGRANAnvXDrYMhe1AFGRXNyYzbcrHadPFmVrvfuylDbuv28Sw1E8FRZ
28ln2q81WLgDn6wB4tgflSIGi+fc07hb28LwGGu047IN6+EyMfFM6yHOFS+1xlUNkQkZaymOIFqS
GwQE5im37fw91mV9llVR/kByAsPyqHrLpz4+/7cD+9aBsSP9/am1Qa7yGjWvvzq5+ODvJxcwJCaP
qFV0y7GNr4XT95NLmJ8AJOHOUPoTMHA/nVyoQgXZUdTWPz7q+8lF70ZulOXqwOb/cYCOOpd+7sLQ
iXJiUbMxfTTh4PCF/3xuWamuu7Ffz8e5fahcf6FMTD/9YH4hHFB/wh+fQWUdS/4MHdyg8Kjm5IeT
Ef+RXY6laRyZ6LBOYZiE7sx66/vd7z/Pn7+Tv34e1W/+dAIXmlECH7KMo6UiqeqLwXn7/SdQk+Tf
ficf7C+BUeWiowY4itFZ9PLO8b4Am1l6Go1qv0a0tGz6p7LbddFVi2bUiN4pBYPgShTXbQ6SCel9
dW5bAaweFqXyuotvBtzdI7OS33+l6jb87VfKg/Xzz8KMNJ89mvpZmGuKxEVVPnR9tCwMeRwUuQHg
QjR9cciaqPhb146+Cdj+FqCo7K9/+QKQAVhqjE48lPigFslRNbW97kxHTpzIQK9UpxeJFCyWplJW
5dIDiwUn3CVwaGQA2w0ngzURdVoB7UjX5mWNAYXVPU3wpg30swEzXr1Ns0eRmWeDr2N4FVps3I1m
Fm/NxIvdhe+2izyO17Vd70uiOwEob4x2WvXttA3nY29H64x5oZoYkDCzrUnUyZiOzjHRS48Nu3GI
DZCjDmabkoVir3pkLWIA7W4xDZxTKvdylVi3JOtUrL3xsdJcR5Ox7IBzO3q2ZmI7VY9NjJeUXPlq
yM+NVl7H8SEes20PpfAus4j0MWdzXXi3rbRXkl1a3AMds6JAwpes3JXuZnJdJOkToqVFliHw8Sy/
WSWBvPj9I2J+1HV/ePHlh9dliNDytGMzH/WtufP380X7YG7BYB+bhXHR7rjH1wTaLKeNuTzjHtkU
q/FJ2wPL2Opb+xBt4sPvvyD18vzumPgwDpJp2qEv5pEtkj3biXxY1XC5NpX+vxxHv3oyfz6OPhx4
bpTNaRjyebR8kd6Ob1WwZIAjxYou6vff0QcQzrcT6eeX4GMjy/dfm14kjiF5wPBEgCoBaFkMYELA
nxwZ4vz+E/7qBGTNRffsElZITfzntz6zs9FxUlMcB0TW+fzSa1e//wS/OgB//gQffnY4vukhAyGO
Tb/qMEKhe27G5H/5Lv63T/LhlPVGDwAD4qKj15/P1Vlr3wr78++/j19dST9/Hx+Ox4m7GqmeJY6k
3qEowrlog7S59MLx2/fy/3sadYhe66IpvrT/R/3Jr0U51VEQtv/z539svv1z8F6sntvnP/3D+qvB
5Lp7r6fTe4O++vvGUv2f/6//8T82ldupfP/v/3p+y6KcxOm2jl5bQTXz0cLC+/n35dFtV6Rdlr//
+uO+V0b4W9jNGpT6rEdd4FN/9HTI3AgBR5AGsBYHys/WF5ehtmlS/Qhb2WXULf1TZcS/wP5CXQT0
kRnV95/D1bejhh/h395htvWrJxFmKnpHT5luPxJNjd5C4F1k2XG2wjNiFRayL6zFiCp+zuOCPFdb
LmI/PcgSlDzd5k7vjG1E6kvYaSRCx0hcxHUO0bozjbOhKZ+TTj75DS69vD2Ms3EReHI3h9gqE62Y
lqETPDVTet1zPa/tLIN1Z9tLqTJTCPgqlzOKdra6kFjSBLuHm7X5Q2GGhN4U7kVuwqkJsXx4hUc+
laMtgV2+2Jq1IXXqKhwJrq4tyEte/DgYPUKZ3D5i8kR52yUqMowQ284u3uA2IykaQ3QuoWMvoz4x
9tbkXrStszf97NacxvdJzodGei+pTyLJ1BdgHYJtYXeUNij+i94+WoVzlrZIZ73QujM1bcUs7PMQ
2pumpwOuDVD0g+deSa8+TzOIXkNyGQ9sujTDX3YWHBj6X21h1NqDp3hZBbs+3Yov2F3izyyncxMn
3D6HhEivRiJfaHvZRou9zyNuGHYKJJy4xWVZXcPL2mRJtJ4c0ASWt+nM8TThCMUJSgZRbTybBriv
VHvspf/AUHRjdx2eIrZ2bOayF4Il70qNHK5spuM1xvhyYvAPLLK71kd/XDU4Au8rubenhtqjdYMC
kY3TXwa6u/EHVmuZhbp36vqbcIrX/D3ADLtJV22V33d8GT7in2USaQj0hmJrRTo/G9dYFvoEv4rf
QxyjzQP9nq6KyUXYPJmnyC3Oh8F/o4aCzmjbt7KwT5ogoAl4xIWHBBA3rxMuw7JKF1EdnjRYilbc
ygtiImhoq/iW4vPV1bEm+xnImeQtzuv7wMNLRQbVsAz4pnalbwyUtfhdWKUGS0eIjSmVosrxybyP
EpD43WqmbLXmZKuDZk8E8XV5N04o67p31PnlStpQFXWnfCyKbO0ZZapCsEPMUsQYBAV6o3xEwmY2
NRhOGL+LeZyKBeO+8oAv866akxNcVncp9Rg1ZKRBHhpRh2VdTnRlXZzrxZheGFlCJkXzGNnOhSWt
E5TQaOlEjA80Y563WY7aOvfJOfCmnCfTFJ/LvLpxe37x1hDARp0vAb+iztPINuytk1e6pw6Z9mDC
8TF8f+/g3ULggKrAtd0NOX+EXhvwXEWQNItywE8VV3W/1ObpGdAc8XkNS/WUn+iiRR7U9tpKT4hl
nxxgcimMMnz12wg62npKTmj3kIDKRR/Mz1oyPbe9fRuM/W2SgrsY3atEQJoaglkuB2GiV420+8ml
aGlTZ61EU+HU22d09Xi6DGznnUXOTa5Nz/xepzNW+mtiiCRkLJIaBUF/YmywXmsHchbydeRO+Zp9
+zPgst1UtqjwbbBXusOwmsBdVmw1vDZRDTeZyhesGnLxfBHg74KGsxxUDuHQ8QTy778IlVE4Wam/
IJKRmJ9UO1Wd/t6oRENpZ9FZ4Th3JWGHjUo9FMQfIvI6OsQhNjGKPbJT5Borm9jYBiYFnfREnxhF
JIL8tlWyYgW9epGotMWuzZ+kyl8sVBJjEJHJ2PdMTMDu73xpj7uC4MbKjoqtx9EoiXSsoNgsQ7w6
cxseGyW4Y4UGFJcgSFA5A01YcVURERmrqMiZs5LoSOIaxLKY2dnrhfMcAL/FFnAm+OZWQ8Ts39K7
OxJ1jCUrsgp3PAGftUqqTBr/qbfnp7qtTqHKsgxSDckF6ZYZB9xCEnhZquTLmgjMztSQiJg1oFeV
j4kP/CWuU44KRGsEaHLQbYOK0Cghm1vGQ/eJaB/qygWOl3QPUqVwGmIwVijFw3N8aD04EJXWiW0E
pQUJnqlh7usmvsltc8v4DQNeYjwNCasQD0WH9TUOVAWDmqWNRUvc9/b10JzN/uMQncvQvM6x4dHc
3cdadhcRLWqrjFGbsFGhUkdLlT+qx/a7wUG/NmikCAbi1VZppZrKLXVUgmmqskwjSc6cR4ZrmZ56
T+wcNi6YSKf1PBk3uYU2T+WiRkH34LQEfepVe1a1l2waF63VkX/jBFdSBaumKmJVoM5dAuPDqT5v
QUzGFwBTDfIq64OnIloB/CUbU8W2zoZpIrBw+W2R6TqQ7cromGIV6SeypiLwiDJh9byTY/FORxAe
hrxdSIatmeU8xEU2bIHVKL5ZNU+XRqhHy7Dh94yoxYbPi5Il8pcF59eZ387ekRC84qjPGlKVppV7
Uucv0zp03edOTtN2HgFghphE1lweMaPVYJNZxkGU1p7T6MzGOpsQdrCoQQWvtFoimHVKToi+Chay
0XYkGV9K2QS7PNTfzUl/h+j0wpUDchHUy6Rrq8x1VgJws0kY3qIxjWKFZ52ZJyZ5KwiRHrGJbn1a
VgbAj+FIDNhk4NUfKhSeRlOAMUOD2mtMVwHaBvywy5dWPzOkf0p8Z6dpg7iMamyy5YgiqsuMZZLq
d/z4ucWN9B103FlPcvKmrMbrurG3sYuIxjIdsBijjgQLKSbEJOKKjWp4zFuEu2N6Y8lpZafWXeZV
eALjVrk294O0N3UEdJD3BCLkSP9e3jqFfOVwvWo9UnVAJ8XLyK5OhlZvOOCM7SCRx3gGtMIQYb0z
G7vcboWCTh0dSJYL0nMJq8LgtK5HdMOc+ymKghlVtd2ss5GxbWlDSIgK8TwDFEKtOjC/xV7EIP+S
IvexrsuL0Ukd5KTa2oBvhDT2iasFerM41VV/zpu7cyCQ0/OHdyUAvmUcpYfB4KpNjIvIb8/9tHiw
SuMR7qnK7HUeGmT6BT5Gcg09Ddsz0mbPCu4xFsPaRWY3R2e1rA9jEGzKQSSrLnKvQ4s5uq3Zd13Z
H+YRGlUevaQSXEaC7qAxpwvU191uqqcWaoR9yAx8U3bGQaiFW92KbAQ4knwvcTHo83lXm+YyINWJ
TZb9EA9ZdmX6+vx/2Tuv3cixbcv+Sv8AC/TmlSYYXj5lXggpDb33/PoeVDmlKkvCQd8GuoHzWCgo
GcEg995rrrnGdMPOFGxhbGR3iFQ6g+tc6IhwQ6piMRM5axC1sjTbFiM7pr7kxRg5w5hTf2lU4PGs
Zih9ZrXaY1435M8q4wFwq7nav/w0CwTfyseEM2fQ8XJphEipt4xn7fXYyH2m23YWpy3apZWS0GMF
7xX/36nH/O/lGXRc+3P99f9yObYWSP9ejq3ugGMft//r4iVuq1/p1fz5m6pMBTbHrD9jXvDrUBn+
0qul3xTMRArNb4AFrwXbn502qAMWfwMggNIM7YG/+rMqU8ELG/yZKIHRee3PvavCPqrKftY46OZR
hpH4bmGmFZlbejUPvFF5G2zALfaE8IKgI7uVD7H6x/DZv9Z9DPD8LEUR/2IqHIuYdcOszrzoO3kg
l0oRyus8nUki3NGisjYk/yTNxsin06RM+sjIwtz6C9qmR3gxZG2pM7UbmUECdnVmT054Oq2WhnxQ
n5gQN2uQKopen3RdECdPbUkpdcVKguQBKoRz2ihWMN9y0scFlaMP3gS/IZ3NGyVd8ptIrb22HNE5
9Yr5vkG/TLAI+RXMerdnyNyPgZuTyNSUieAXOWkyN0WzRD9yrAYb5fcsJJMBcQ+/zZqRZGX8lydV
ePC9SM1F5QY7J6FKrN/1VTfxKeJ6YVeVgKFO0YNSSYdoijgOZdRtKaGGylD7g6Efx16XbKMTzn00
fNFS5ba22puGhLuwGL7oLBicmmvgrLF6rBvVC9X6SJIgM6BhSvAk4/zhpB/YQmxTzE3OwSWsHY4o
Igr1Us77RhMfqySB/ZwZOoex+qIh2n4LRvnYT+JLpKfgGyoGkNSAlcrMpO/YWQFSWJY3lzo9QKQ3
TngcX7pp0vxCCZZDPVeHgXVoytNtB0fWzzOtcWNlge5fAZGITzkNNC9QSCYNo8pflmYXNPF1pNWZ
nxSYa0Mh3TULdVbI2FPRTth8o/ymbLpDpDDvJcyi/nUeWOfnJhwdyJObqeJRnaTYUzGLUOwU4HyD
3VTVp1ElC1dKQN6n9Bax3rF/h4m2bo6UkpMK/qAA08JAhIzpWqXtN3enmq2aedhmR1reDCxb/K7q
/TcmWk1CofWc4jgXMjtiRv2qKszclSY11kjSw/NpSMLeoi3st6b4NRVgTOtAFSXjrqMnmUUM0Zsw
cYIUbKoiHSEhXQ0F2BkYfQR4ey1KRq6T5kDmpW+OnezWCjee/WzbisO9tGJ7Ki1cZ5aesOCcSpE8
wriZ9jSZLhf+0UEqTjmwnkWVfFxwz3JLBIYw7aAgHpVA2FrGlyl4Ks1lT/CeudGS0GsMjVpQIohx
egGTQBcU0q9KKpkmz5dhkEiOIqe6DdTrEXzQo8J8I3Y96WipQJ5H9aKOtnOuUg8vsIA1rMxGJNya
U3unpgOJFGiyWsQRc6hkW4wBOsIgP3Qo0JQJjCcP0pdKiG5NM78TqpJ5q3FjhNUPPN372hL20yQu
dpvoexrgfqZnvW0arUsN0e/UXu2u1THZ8/0OWiI+UYhwYFPofREqHG1kpUrOJFKk20nI5cdyNI2H
1izhTE/zHNzlXZBeT4HR2tOUSR5jhw3Qqg7+gLAGWmYd1u2OtNVaFkR35LU4DpUWn3t1ISM3a4ag
dfoKSK5LUJ9R2rUFFcSsA/Nl0RnpiTjZC62se0Orn4OoglCWVYPdqVbLw6wwtjb32YFik5k/Wbvu
RJHx5Hqs3XCoTFuSkgNRhzd5lVL+Qrq1h6qFAmWpD7pOuq0+uHXPUdaY2mJvKpl+CqqIm71wAkz1
8kUNOVzpzJzxyln8RtqtGFYAwJM59cM5PCaMBkETD66Il3vpJ8tJAphmCWg5KCI3cKMeFaV6avsU
h1WyHZLuh9GMF5lGIycMYKeDwXqUkx5VyHgqZ5o9ZivbqrQCZcaEFlzLoEJizMc20Nx5Rmuink5q
+Vuud5NfkQSYFMPjoAREhXaE/wK84VC/qRp+5nQkAca4l4r2i9YXYG9KYhCm5GbK5mNhjduuhm8q
jMl9GM27eOQVnabTEOR+mFPliZl+3XXLBa7zxynSzmWiAnUeQNs0wCqI0jNI5h5Ui8VCJAlMtRhV
S5+WOmYcMtF9ukWIjxmpoJ0Z78J2wm9B3LuTaPoN8+LcwUzCQlAYt6DZ9p2iE4YSi4/sBIc6oKMi
AO0jtLXblkl4r81AlhWx2Wq54q1ncaGfiNfl20MhPpLrvG3ScI+u8GhVAzbT0qnM9ALi7TbNsSgw
G48PP30WsHWj1217Aoftug+exS7dc6/deJkgdMnWXu3nq7YS+Zhqu09EYdto+lMgVruBOlHthpuA
mGhMwssGbG1p59BBGLD9wRwFc2YkJYtwdmx5iU+Wlvl1UN/mRbe4aVFuhxAHPGb1NTZWcRNZJuo3
ftIDtKEGvQRYT7cpclGyS1UdL0WZMV5Y0IqXms1DIUbhRhDNC0YzmLEo6nrN/GD6gOpow+z1V0TB
HNhHKDyMlc7zgkfPm0X8booaZ98AjVBxKXmku+Msn8aoDX68OZ/9IUa/DQJ8Jz2vCXSqQmwRpxBm
rJnd/rmVI6WalOdFIJyThMzYL6n1omq/O2X/9Zzz2SXWk9abk9TMU6ynYErPIoIBFKS+upiSTxpG
7xotf3wNfUVGSoquKe++hiz3M8kicXghjuzyTBl1ZGzeIgh/fLfwnr7tHb5eRuPQSh2iy6tx9eev
EpYJGfXpEF70xC/XCb49eFNCfderlyM543rLvIb2e+7c/3Rr5/+/UkLlR/yglCiz5+IXFcT6V39W
EIzdEZEp0b3RRZnnl/P1XxWE/BseExOXHFl0NGr4X39WECaGPLhlOH6pMAxqhb8rCPM3UcFTh+FF
xcvHrM5/0tehkPnpcXllFBirXVkEuUZq0nvPi2rm6H29PF+YXdhcEteRX8dSZTyUmSrvGexJH9FH
jI2Jg+E0zrz0WFYjV9KG5Ythjd1NJJYZJ0My3HGnBYyNdY1XxKgpZi2eszWYZ1hZu9pK3cWsxd8P
TGi4WGtMTyyraSuY1n6SGbxtu6jbSpWSfo0DseCASeYPsixm46qdnvIoCvdljWSlCl3iyisVuDXN
iqPl/MWSST3PlOc5yI09B3Fz05XCeChS+MJNOU4wJWEOT5l4kSpQiPs4TR1Lr1M7AlHMa9TZpaUw
yCQmC3IJc9hk7EqjilOFhW9Zwh9A+x+jKQyIPxmceI2QIHKL3N4i3cmLxbA+L+RlKIUgymY4g0qz
UaviSitraMpiJ/idHi5M7/bKHkSn4WVKdqDx0+5idjYX/5qKIlCo3gCmdatLg2nHJGft65yxs6Ac
rpaGsKgqY6SJUKzFFjRcbimz96jQ50Sh+TzM3B2hF6LrGPoNUUkSFqNWRt01xmpXR+2+l5MnJkvg
OYN6sWVTTzwJOTcK66VzMD5GnjASdZatoWcB6WcJ8LB5jUObyEXLXwPS1qg0wh+T00R6mpASo8am
wDaloSKPBZ08stZgIFwBqVDsdJp8mTQ2+XVIXrWYtG/IaiMH7LIku00MW5iepLnRU/Khw2g2ucNe
sAa+6Wv0WzYQAte2WuUYRX5Ax/uuaQTFtfp4M0SYmFsZogaAT0IpcgT00NrC5fMH8uaSyTpRRPrR
GkS3rJF0eqBfzgHDe2TV5QtYMZ30OksF8bCseXZz5Vbk2xEjBPKNxDs9wCm9kIGXy82LMrKBW5H5
FZqsD8Lzrl5j8wBUY56p2pwU6TXzqU4Jj1j7Af1XFUXIga7EuZZ+0RGdjiOlkcfpUWICpbf7OSv3
lRUoriE10zEknHr3ugb9dzFWWLs+WIzRdU7PQD//2Wdf//Cv9ZikRlNSQcasMgyT6D+tx2goNNEN
S1Epatig/1yPjd9ohdBMxxkIZhJJ5+/12Fhti5i62NT/RxyIlgzCUmMllg35/bhH2499nevzeCGW
l02oejMYjjc35ReHKT7p2+MBDkQUIZ11n2+4AnDe6Tn6aLAEGn1/0aoJp+wvgnhhaVetupUCzgdn
4MwfX09+5wZfnT8/X3H9RG/OVvJkNjFHxp6w6F6gqF4py3Nbymt7pmyvxqY090NHupyeMjDb6hs9
mWviAycmq7u8oyAhl+eJ1Bd5p6/JMnNNxgxSPRQHM6KVm30p1hyaikCaQUh/WATUFATVlBKJNejl
tI5D5NdizbNR1mSbZs24yde0G5XYG0wG8YZRdQXiFc2yYJ4KJ15zcow1MQdnNeOqsDmF0XQqQnXM
YTjgxChtIx6OArE7hEwxhhuAIqnhDtOfsWd9vAqYrqZEU7ZlKV0OACdYcHeFSBeHRfJQAn2h63XX
rLk/Q/E0EAM0EQc0GOQCSV3rsy34amXu2Z4mxrNBUKKsQWaM5lPZG8uN0TGRQ6eNEZQb9kR9q2Mj
TKSi3tZ6JHRXy6uvsM8brA4ZdrkObe9c5AsjNC0VAwJc/ZKK5lHHAy+o+bEy4t2U4oe3grMgpmda
O/eEGdDeZ7zDthRiguT4q6qJ3zKh1BgCV09TpYJNVNwhrY5dMHqAcHY0py5F2D5FQNEzzUcyK45k
zpRut+QiAvt4aAfxvmZdVtWS/lKx3GkZlj+atOk57ovLIu0IR8TWvaR7scSLMVW0EtKO3nI9EUkG
MA6AByG3bWLc4fpvaBeI4UbOKxjk/diRyyS3V2Zcz8dsLiFPmzKmim+WMF6okXnd9jCMJSYT7Chq
NlKV74MsvuwL4WYcwJ0I/Cx00j0ztmwj774ZEY53SU8YNB49q897QCuSS6GCWXG+6vqSszX2Wn1U
/bEZNiI29Y76KJdEtyzLm6VQL/Ogrp1xahEUsnS4nubomgHOXQM4wKzMBxV05WRozW3F/D6dkuZH
ATmJeU0f+DtzBhgxVeIlod98F8fwUPT0LVQABqxgOzknDQ1aK6rrSH8+vCTC7aRqCfGGuT+JGj3H
wumn4NC2JYUm+ARArPTkz5RbrjwKO17bq9kMOzuIGe1W1GBTW8oXtWEj4w1x6rTAl6Bl8zYdCRZt
MiIs6E3i4hf2abvcMn5EHErW0Q4rb5JBdJOE8qInu4OcIfnZ6pNnuh2nss4SPCZEsI4tHaighWqr
BYO5fV1m/rvpqXhVP9z0yEm0n5uXXycl8sd/bnwYzNhS1LVisP4YZ/yrEMFgxmZD5iFgjpUf8vfG
p/2GYKBZ7HxrGDHjQX9vfExAM7Msvo75UKj8Z4XIP1oZFsNM8jqETcnDCMC74liJiIHqUCfPUf60
tOdpenxzW36x7QF2+2njY8OzqIkpcuBQsu9pxtroeLMN9UGrdoE29ed+0VZYxI+5Us9ZQKRM0/0A
bg7ptondXCWnRhKKnWzAK6oT8OIVDBFB5/Q3Kn5hwMtpxdukjzZqW30TMriEsnXsNeJM2g4RcImy
C2mQtJQs4q5WLkLAz8RCwBwLuYmOFhHgg7ViXlpYttpuWuUSwAgn5VVBmVcxRV1llVpeTSSr1KJy
jmdWAPklWYUYK1W/9qs0g1YdOsQG1AdpFW5CybwwKkPwMjQd5jUVj2lTGrqr4JNM4I6UVQSSVjlo
borDgD6EqwbtWHatVTgaVwkpQ0siOXgh0ay+DVCZFNQmk6AUFqPiSViFKAlFKk8FmHZIVG0OsolZ
KTesuhsDu7eAmqXUxNqgboGX3Xer3KWhe02puYdFj79jaVwJZaw2jOdAGmAtGck2tASoVPFzt4pp
9FVtFXUtI79RQG3T8D9HgfzYosJZqHFErh7VVZ5r5OGUgXDW0e2aqt7qq5BXqtaXZJX2ljS7bFax
r0X161D/qlrGci8ke1VQb7tVIJRXqVBZ1Jt4FQ+jVUbs0RPnVVjUVokxQGsUV9GxRH3sUSFH1Eh+
C+abChpKUVjsJ877FsqlWirOiJKpo2iyyV7Q6bmOVqmzR/M01OEUoYGW87gLSVOKBtjWOSppNozH
SM5uyKOnmEiyexJnvkjoqlQhmxKd1cSJI0zNExibCluE5QtK+wiz2KXumMDoL99I9MDUFzmkRbhK
Oh2rkQGAvg4Zm59JUOheJV+DHg0aMG/BBn7qYxgwvju1XbIROAoaVf1jRj82MUKo6Ml9Iz4K6Mut
gd0yRXEeUJ5FLXtZViV6laQjtOk0aVKfGhI7j2AQ4UagddUjZMdw+sU8f7EkJoCFVe42F0M70Wgo
sGjp+DoqidAm5HFU8n6VywUZY2O2SuhLMt6IaOpCj7gurzK7Vk/I/ZJ2Pa0SfL+K8SQLrwkdSksT
D6keGl3gjaj3YYeMH6PnI7qErrVK/BADBy961f2H1x5A/toPyGcBqnUSD/F5WhsGNccM1+JW2Epa
hU7ze2OhjFw1grCY9YLodQvGiGJtRZTEpDEY14sH5vLAr88YSurm0HXTRaVWdDqhLNiSskJI5brd
0slKvDDujzpAEbtNq8KXFo2E8oVk1Ulmy1Szyiu7upRRfLMLA5ZD6mRCe0XQaOgEQfVVW+YvTaA8
G2m9ZX1jAk/KHUtCOpwz4RikMiSjjA5lqmvMxWUlLTgNoYAeV5Dd92lxPQ64q2RZv1Bjkz4Jxr1E
ddGderesioNRGyyIEh/aGK+KXgmdCo8ea9Q+rINtptQevi6nQq/MaKpGWnQSM/E+xeun9Os0SpD5
xZQC8Q00skE6ZzQDnXkPEZCRGhsv1SjIDsjHNmbcccxvUykfN0Os+Ap5LY6yEEwYmQsdjDhuTouZ
nhWZDrDVXkm13joZKOwJpyPhquSGScZOloLeCxUGW7J5uKPlfJvLuQPFpc/ctukjbx673GLN6fej
qJdPBfwn1l/hB8GdBL/3oHa5HGFQWF0uyJClNphTY6B5Eg1+QbwumCIrug9qriD32W1B5rxL/Wft
e0Cye+I5yUTTyJCFG7JjmJzUttK41eoSqVVN6AHmABWhygfEgKX1rR7Mt2ahLQ9LUMRO1hPdrfUh
reJx2nS0lfxKHAofCGHpMFwK+GLQ+gd8PzgszTleHAJEI3YlpDF1oP2ZjvBmzRxSUF4+6kNF/nu8
mYyZsA9sV7OxT+v5TiQRb4A8hEQR3fWZfGv2tXWY5mnYlULSuGWQYV/pE9ySovioMAzn0mCtH3r4
Pm5Vgv9OIx50PGuQ/QLlQZ6s7iaQtWlj9ox7Jwy0flIl/kN/R//UVy6ZhfUYq/v7GjHPmQoMk+Lc
pYlLytYOgzCVYbv5+BSw+uHfVr8q0AauQ+lLQafw2r8/BHTGCrWPinOeZSeSlO5YlS7NPH9iuQQP
MuOFa+ZsO0zVJjPTbStHEJtRBOXiwEp1ZPyI6d30ioyeayBSnhL1Tg+UFHPD97LXqU15BdTFPOti
+PzxR//lJ4c0Y0iqqiloyT8fX7S8L+POSovziG4VzrcrTCUqPxmEekeshYJhGb/3WiDkEJpjvPsd
aCRWc572w7kKcdUTtrSjg6viQqjZN4YBhU4YHgRSf68Ki2fQEnejCQ2wnAmUCBTxakly6qilv2I0
0Lop2JX6cqCkxNeggmVzNJJ7bK0Mz7EQ7ynwuecy742e0xKZIWJek+/3nHaZQwBO7C/kuAWtpHtR
Fqde2ilfBWAL4Lh7pMNah25t4RCvIZ9FBBuyFa02QH0Hffp7rBrPVFY4gQEg4lg7zQvhvIYxC1tR
GpMT3OYcmzUA2FAiJTGyEFqkOPwS9FJ+W4907i2JTNu8oojUq26rS6M3lGxxCNRMvxnwt0T5ArAP
qQALJaykZMdAfO7VDZbzHevioylgQDVIhJ4T9TFTmsgrqoI4bp3+MY3qReXoMfGawWnEk0rne9t0
uUb1OO0Z9HtOYzn6imbhi3qdu0YWneSSwTulrTexAle0l6frnPQH0iqpafVlOtRG+8kYGgjA9+8L
zwMvJA2CdcQWaernpw5SeVnw/7ozCtizQv6uuwDJO+to1zbr6VPYIj6THuVI+kR6xSusNztxV2Cb
RikcnLA9YeUkfVs+aaX5oKhFtGlzrd70vajuGDvqQetixxjMYe0HqPmWuXECO6S4ds2GmC+VhUjM
S0QZrb4JcyyHUoRNkwSx1obVYxdVvdHzhZki/dlaR5gGqTScJpfvdJlgEmDsrtJJrk48tNNoQgqK
TH9IUGPGQP6mG0xsYSq8M61sqxfTbWAlR4MokLpUbnRt5gmpUGzlG20YTmkS3dSxdp0bRIrO3YOZ
pqrNuVH09LrnLFgPHvrd4JhaC2Mtwe6OcORKuvAs8Ew4laU8SorwIEVkv9Qdk4+RIW6GhYkHYSo9
SW18Eca9VQxg1Rl1iAZXTTvRMc3xYEDiZVKFaURyyZl4ulVWAog57VpASMoofq2hFBVA8CD7nqAP
uumQXpTRdDQKfTNCjItwcToxSaeyFV8R6p3uZnPxynb29Cxw82rtgOghdQkv4yBYV2Pd/YgNIcDl
u8asAiTteuLbW6DQkBzodh11HI6xwvinCejNU8MF9wIn1LSPjkyueAzR3JdQ1UIhvtQiyHRRuZFT
QIzs4tEYbk0pe8QqscHXW1g7jNGSxK6ZBeOmY3svmrxye6EmVCQV/GQ0D0sCZsHCkT9KOIlakUV3
kaVNIjGSMJqXcPi3YdEdwrE+Fmusa9dlwkVWrXOombFXw/FQyUnt4NHmt6mYwh3FZBtVyF8tVUKm
O4mSe2hrZOKNl7rmGSl2dPOcTxt93pTqlmjve0QaBo3Ek67BPpwC9ZhEY2szoRQcenkwnBYsnGMk
QeGPA6RUzg3bcu5ad9ZxEAycQoySuREDDMwQNNInW9snb6qylr9vyls5subEqtIeFRVNsT3lcBum
YfV5XKTNiaiB392j/9oxX9vIb0ZUX3eKNyvDilr7+XpQO4qclaEsv0vGt2HC0k5qzgPBrp9sfOue
8/5KQNzpdpLdaEBz//lKY9sBuBWH6bxIc+hV8dQ6cSCvkOhyF5WMBqfTcKgqcP8ltPeTWZuarScl
nI6EQFr8uvwykvCD/OKrqVDw1in9FyEuL0rRuMk4vlH1OF0r30zYSNyiw5HexU9Fot4LUVZdhz3m
KC2KOj/X+tW9ZHOw8Gao1FjtAr/oFOMeb8dNtRC5rWj7XoGVrMhgRuadVlkXY0qcO9u2IZA6J5O8
jgYuRKYzVdJ9TkZSnAU7COgrUNG0Oy1/XsRZc7IxfKwnq7mXV1ak3CrhJ3f1Z73l943+7U2lY/32
50t13HZNYE5nc3qKlpfZ/N0R8K+Px2f//ruNQxQyzshhOhMpeVMlpOUpd588Fh8/Fa++1TfPO/O9
qZjK4XzW5Esyd21ukxjNzscXWe/CPx89E6Mu5lKN7s/Pd2mC6Mj0Ct/Ckh25+9qNOWeSu3gyPvk1
1hCDNxdaxSlmAIB8sdVaHE2ldxeak7hguqmSzxxjvrKpubfZJnAhP9uxc28X9v1Od4bjyzWzF18m
7xn/zQtvdLtVdh9/YXnV2d5/4zev9esHfXNbrSG2KitkGek2gys6ojfd9H5+FW0sb01K2Ug+93kj
OfTK7ciz3Aqm1bn4+vGn0H71Kd4+ne88LAxTZqbccN8fpp3sGXa3sS4Nm5aVHbn+veYcdTf3rXO0
mbbFjba9BR3kT1vWPXvxSyj4LtKZa7nCsd8WfnsRIdzbofuFzv9ZdGZf21k7Rge3zV2+ufn4o7/v
dr2ui28/+rsTtCC3cVYJMc+ljQN0036vNtWt5II4d8lNcmOv2OT70r/8evT6neZQsCd7YsH3yTl0
2Hw8Ame+Bc6Xjz/VK2Li/c/65lO9DyyJ43JoDJ1PFe0sO3KWbe4HtwWtFadk0NAO7MbBK+mb53or
PyGkeR9ff318/3n5v9+jd6sNS40wtxUmcnEpPWMcD4uQnodeLD/ZlNZV5aPrvFt1TCD1w7Bk85kz
tT2MX8VpOxKLrni1CFWo2nz8rX69xv31rd4XkwLuO0Wrk/4cGSmV33UVXv2fXeBdzadMhOTpOQVU
qh3kBB3Q+qwb/MkPY6wv4pvXXcgrszBmXrSyOgNd2lQyiaTmJ7/KZ/fp3eLWShlTeUbSnaf1V1ky
B5uo8/Gd+ux7vHvA+nIBK9Xm83kcJkaizuQXO/SAP77IJ0+X8W5V0oNQmBHn2A0mRtGtwkuzjrzE
3jHm1kkYDBsII/r4kr/8XqRNYgEzFZHcrp9/H7xjSlDFXX9W8x9NskkVwiZ1/+Nr/PLneXONdy9N
xoiSUEfqdCYiFv3+Ks8/URU+u8C7JXFJ80lJyno4iyza+I9TJfvkNr3ujx+9+O+e4yim6RNkPMfU
BjbYuD1j2CdKBHAtTuThhbTz31lf/3rAWYeKPlxr1m/95tWBDKlInRyxRz0gDBesqqeQa9vjM9MC
u8G+JMmM/2FrXu6QkHgl2Nedt+7ql4/1pbKnaoei7c2dvS2cyP/s4/1yI9fVvxYn/f2TEzejKAW8
dNLFupGTO+pn6q6QHDv1Vfe+sPcM0R9+MDqi2s3dfBjt8ZPVS16Xp49+lHe/+yC0elRbM2cJd3AJ
2lxsmQnbQ+ZeW2f9qPi9+yhvoI+j2G4av/JNR/hkhf7sIxjvqiJh6gW1GKvuTMivPcEusJNv2oYE
sUP/fdpWXn40fMEXfoSPijP56QWhv98/frteC68P7oLx7jlJByVX24JHs9lMm9pmdn891e1S53bY
TbtdvB5azlD470WwQvmm8o1L8pfc3ot24MSfsk9WytfC7B+f5+/XXXt3S0zBojdUsKTUnurrvp65
04YJp2N8kOyv4S7YEMe6q7aIesfJMe48uAf8RJ2fbm5idz0k/HE4+G/rXuWF+Kx170BN/Kdhbf3L
P/v2q4EY8KsGFY8G/atL+K++vUxwh8FkHrMGvOmEc7wxrOEoei3ztNWutq5ef44g6r/hydJkOBKQ
OamI/yPYJwraT285/5IJFob5d13Bdb5+lJ/XQSKNUY4w4pJMHJO0MOsEXMiZTFBQcR83CvlSSSPh
12xoahFNi+ey29Wa9GMoRRxgeT7uR1ChNvSNxO3EfhuWoYeQQi+zweJVFohPPaFniZG8jAGADAlI
J6YpUimyjghXg1kvjnazdUln/U5rQBXUo0JkLaN3HGzuwrAjACi+DxLlNgfzc2FIAemxkzRiAybC
UGQYbZ9nNHzUEI3Zsq7MFJVm6uXvjFX3m1AWxtuitrYYCg9JNc0bcSo8oZ2ua2m8mMoq2zEKeB7A
XDDT52tiS4qbNh1zo7mJWgTuZi5PrWYQ4tYpfipaERFo7dc5potahuHgGSA+HCUOSLyqb1Rr3hB+
RBSi2tht08S7ITOeJCkynHEaOWDUrmwuvKUTXbN+yrdRGZPeiurmZg0lDwp6EErzVhMkbk0fD4cs
Xgh018KzVcV7yyS2KMngMXfCtyTJLAIhaJmHZeyPC6iZOqDdKQzomlJEGFhP8mKfgWEOC5TnTqLn
tQ4Ndcp1UhnXZftNNssfBv9cP3PL4pqMq0hqn6O+UJ02YKpZNTo3ATWC5JZgQNDJns7QpOZMjR2m
9rdmaV0zOAp3IpdO9ZRMnojATg93DRnjGfZhs9+qKPdOOliuKWh3VTFb+3pICLBDttfr4CyuHiwz
SDdBnB3asrskutbtMtHPxmJTAj7GrB7fW2qr0qUk7jNowQxaWb1ZYnil9fwgl/lGLYYnFXv7LleG
66FFsZaW8TtXnrxJyb4PRi1dFGWu2LU046YwFabsopMFQfo4KM2L1AQUqY0k7wiI0Z8iITe82ugt
zZuLlui+hVYg3sYmGapzOAjGvlqdj9OrCdJ4NUQqFSg+hnC/YQsb94Om2GZgbBr88SuFedaU0VWC
5tFSx8ihrY91seISCM1Vn26bkQNor3GLTWbLhTxa7pSqBNEkz6OjVMaNWeuHTpq/Z1GduszTXGdB
FB70ZfCWfCA2enQlK+E8q9O+RM3/liyVtetK4xsMNTI/iXcGPW61bim1VzSqucXNKcBA6DJtVsE0
aZwctRgYEIOtQPB5ws3eJpuKv5gGwgDGcEaqDX5kVXBJw7V31bwTL4aoLx29BzcXLNmhxtLvLXQ7
tmGPRwCLADSQ/ZjIULQxfyQV4T+63nXHSBWwy0B0/C6KQXpbimqFjcJkuk3KIowwr4vyf3enFXL4
we4Ut2k8l/0v9ib+7s3eBC91dYiBycc3zS7z196kkKVpMf1O9xgD2RtomYoDm0BgTdSRXHXr1W72
x96kir+9osoYaYf2+ppo/B+Mx0uv5evfZx32JpUN06Bywp5GDrLOBvnTGT3o6Wg2enk5NaKxKQaV
fO1K5cCljkRq48Yf5jUkSRxF6jhNPIhZLhU2BIZ0l5li+RDnQXti/53sVlHqm6TX1S0WsvY8pkH1
repWZ09GrFOUGTPLKHHHtHmEkd1MEqbLtsm7izqh/SeIOtYrOuhE6QYSYwZFUJxTsuq/mYxszFOm
XYQS88gk2oz+AjT7rjNn7TEb2ERGWetPXRsZOxo7sNiNXkg3kjaXX+gy4mRVWvk7do/sQROzYhtq
reUyctA+D0SdeJFIupLRkLlkJMR8MJteXY286VkfdxucOpU7jJI6XERCoQ5fyzaM1INUBMuMOaFM
e5wqXS98V0Mric6RmvU1jNS2aC6MqILiHEpTdBMRhGObtONqAhSVxRjPpsWRgFxIlZ1sU2aM80IS
GbCBuJocZgwKCaCZbCjb80syyHXuyaMFCiaYHvVxHeIRDK2kJ6YXmzDStf1MPuRNN5bLM/TRtd0o
xyKNHsYw4lCy/KAawhdSXGJHLJblOWij5bseTw+NUG+KMN4La2JlLunwRbSm2grViPvClPrZT7Ff
HGj/zse0nCpXo73Oxp+XTIzHYxjTp+wAcNRDXtlVWt+rRsxeb0l3SsokdSUwKRiJ42BrZkN/OGn1
G5Om8q4TOuuuEmv9DABcdHN5ZdAx4FLeBq0IZ2PIrBfBGIW98r/ZO6/dNrI1bd9KY85LqBwOZoBh
FBWoZLUsnxRohco519X/z1JwWxLt3r0pYPgDm31gtCQWqxZX+MIb4tqa5H1yhsi4NCvrtl+2EoHF
vIuLop71bpCjSptVK1hX6SWkpmplyKP5zRsVC8ExK7zu3Yh2ZaiHp2Tw4S2wsWzajYLOG43Z7dj0
0jGT15tqFt4voODdr/aYdNcpIi3zJutBtQd9fu63mBOmICfiWarrNBmrCtfoFo+Cel71RjUDPo+t
kodCEb4m6oMDzkGPtSOr77QLwj3bm8iZqTzkWT4uCoEldvLKnNQdfZj/7MWwIwxZsDB+sxfXmzSo
4k1TbdmNeeeP3VgW9u1oS2P6/uJK8mM3xhdQJAi6bWhC3/+nTAE+IZ0HFe1/pOvgt/Cr10wBaoum
4wsO+9YEPWv+o0wBO4GPmQKGKtQk4N9AvZG59Z93Y/jRWlT2cXbWDGY0nmI2YoRrBVE7dV7XSXyO
UnxbTxGhWBt5cd5AutLZD+elmnxplRiimZKcFGp5C7T/KK7SyyAJZrWkog4RYnpsGKd5n0XT1OqW
ntZ6SOZGJyzQmzFMH5wA59+sVStMRM3swvCwT0qghvhAKhqQCljagv2L6/CU/Q5soQ0+TGtT5TvC
ypO+RSdpAT7WxgbN0soAATSz9paRIhEvyU/SPMmTTA+kfHYMAcuyhIpPYeE5+iTsoz2J/LhPgj+O
wy57UoZBdRt2bjprqBCoi7Zpw3FaN+GxVaVmOKV/VnVs3YY0cyq7JOBNrRZCb4klwhwtRZjxcdd/
bzBYmHRxemPlRgNlu0NO36GYEpib3MVSweoQogrtuFtAfDyFWFlM1arWMegL5sXo0sRxkGB222tV
dv+UynFVW9JlayXTtO1WBJqzVoKm3BkI0KJDZuc45MXq5VAFm1zKjpEpliZZ3ZzSOOc8kPJD2wc6
WDrKZYvsJ2Kic7gga1voRGgl5iHdoRLUR52ZHCIHc+I5ALHUft1k5Xd5qC4dPz5UQ/M6clp0GaxD
V/HOTJ8dqYjzqzgf8Q0QglzysjOqy7K2Qa11K2wSbhKhieLYG8euAOh1zdRONBVh4cdUwW03Ntda
18y7zIZUM06VrDp1g+oc3cxb7GFnVmPPckmZg1Zaj1lyZiN9QSK1TiFFVb16M3bZaauGEz1J1wAH
cZFGQ9H316GbrSvNwYTZWDR1fRQa4RIc6TfVCBd2UJ/mWv3dywB/Cn0nz3K+6CWG9omytM0eI+Sq
njSOvG5UDK2KcF2a6kVBuF6P0rXha6s4FN8wyCCkbVYVMAeaGxPHLR7IZKZtGt9YoX+dyf4lciUL
NzdOECta4OK6lkNcLM1BOel0ZEK4iamTKogEKCcYLx9RFZiWfn3iWcqC3f+46/1VVpFMI3byUFoq
Xfz+shyEX6DXGhdwU5aB2flr09Uxd1CTszIGpJJEMYrkgZrhASNiKFRSizPZNDBDZko1jr6KSaKm
hdnBrayc+8Gj9dPj+JxoJ1bgXfRFbc76PJi1yNnMQJF8q8OB6aeZszx3l33RDgtJc7+NZXzaOb2/
sJPmC94Vc03SEGjV6wqMzIhcTJQCVE10ayr5APDzVkrnqq+curp+qZcIiEBuqidhzzfOeXYe5tKy
0hOalmF2mPuRhNWQFS6KXjmtw2YZud7UANQud1UzZ3bwbakAY5ymOi+gXk1TvTpWNeDe/lBBKwrO
wCadaIW0VLRunpjFOleFnXmR3CEnxJcxSvBsqm4WuvhZBrV5gcjXCtNgbYY6EdyyCLl5d+zrqRQ2
CJ2Sm6o+srRhkJ8ABG7gPaExo2Zfa0sHc6YmaGsm47pRtNM+Cu5NrQgR0FFxRgcX2gfYuKdhe2mm
6p+oLh1hmXhoS028wFcspwDSnVITHCatzg6AJg6q83mK+FjhNpMuAEMVNsNJRkljYmrBWRQV163Z
mMhF9l8802C+w3NIcXxuUb5wY4aGagvQ+TK8dtoknTqBMDMxpO4E58n42DfM6Llu+Z88zAA58+uz
/0sZ4Mc3fDz4xdt+HPwICaAMDTJUxlcCG8E3aZgpdDOeDn0ytxdCq454GY50FmhSFQFplM3+OvWd
A36OSwVewdT2sOT4JwID1hNl9W0OBqwBKTTV4R9u5V39W8JayyyKKjlPUdnSTyu1QdJqaAJsfeGS
daqDrA+aAJPYyu+Itb+N2egveym9QkETrJb1fWhx08kb77B0k0WRB6i+2lC1G91ay7WCh23YxCCd
Ad27GQeH4Q1ICgH2n/i5t5YkN5q2rV+jnJOdVUN9Lwl6ueF09zon2NyHt9040MgzOzjudYGwdMJT
ifijlDNjlvnauPZrZHxqahSg4cp7KUPaqWzK7y0pFGjiYSmr9nepR3q5q8F1996hZdXrdIzgToCj
nhhFd9vZ0nVcD/E0jJQrzai/ejbVLceWbDYPzTzzyMXnugKqrTGicg7QaWNZY7asAB5ObKQTApTz
Mx0dY39UYUhYxcRvgotelY8S2XjQ62Spld2m0pEsVYcIBoM07SE/wn/gr53DRC6/NrDtsx4KYRp5
X7PK/OqE0Nuzmaxrd5Xj3JVqdVaOwY2R9XcRuhCIuqCBSFZ9LnGzsE27w8QPUGis0aAdpcZbDFFw
VQXaGv2q9agV7jSUURkb1Bh5qcJOViGYvomhoLXcyfq5ZHRUeSoXiweJeqbXK8ehb3rLUGpMcIDx
qY9U7tyu+muzIhXuCvwerPrIzhACk53kLAfuC1S/wJchT9XlUItYJ0R5MYB1kg+xvYwsv5yFMga8
Zuv2c6N5IkbwW2tQD1Eg+9O1LRzNmnNTbmBYp90UemuxLHGlR9TOnuAZtFIRXpj0dYfeaDeiBSOX
q0TCmbhUJXfJQnOnXdYey5a89vkq+EvUaqXy0myN886TV15o9VNTDVEowuOi1g8dBc5TNJrXNRKh
cuL9SYnyAXi3NI1GQleDksKkLRyOuGb8itRsPvNUrGat/AY6Cv67VXctOTU7eEIRfKTUPNfa6GqQ
ALdqKsb3ipI9JhV8zSDLT/XBOYt0qEX10INazzrE4dpu3tvwgC2A46yV0qYiG6hTVMIOuxrGS6SV
/aZ283BGJdWl6l5JsGDCmwZkchxcU/ZFrcYJrDlrDWpaS3BVW/UyrZCRMDoy6l5R3amWyccDcEod
FdpZEgbabJSkC2q78DHSgiBLTdZBiqToQGI/DTRMjXtvpI6dbaKeNJm5dqVrR9LwGMmoU0leeZlZ
1Ry16XDm+9bc1jNoPdYjuooIt1v6YznKt07lnCCms86H4UpFW38CvdWfm0jBToYE4eGm2sQ6ji/B
sMLCD/klR0hWo6rH3AvxZ9bxlh4e1ar85knNcZfVF0B3ThGOjRbQu2ZjhAyUA6BAkdsIabdOnYQN
BOTG8dtpWdePuZQkk7jvRLPD2gRF+Q17IeyKkWSeqFlfTLBZNI/qBjHfypBsxLD1r+y6BeEZfh5t
bN7Vik2tHQ2IGRvycSWV/dKrGvS6xvYIldp2qpbepen3mxBBELh8kb6oiyrG/JkjuNJB6iRQgn14
Iqg1XdVo2AtRknncU9ItgJDPkcwrWXQZS8I2T+MyCOdZ766zWBNQRJcOn+RduS5MmNy5clz9UOsH
e2qmwmRriJEdp2DtKcUCKdT4a9kh7ex2EN/JJQUOmYVthDd4ZKKp0Xbo/judjkya/71PqQA1eoAu
bHrEhn456Fl7WMgJQvFqc0ENTkXixJi1NLaWSApjdFNpOgVwqiR2eoT6nj6Nivik8tuLwNARLIFb
6AJ8B0NbEqp7Me9t2yvDDO3DMW2+Vxny5k5euhMs5v2pGRboAo7So6NT0MMqLFhSlbpIh+y7qbG2
i9iycRdHBhn+ORBkd0yRfnJohWfFV6wr3SkFuHiSDIhyaxjfQBmSMXRlzzbyVIZCJ9eLWEiyOcEN
OiDIgLvpYkBBZ6LwlQONxyO800D41z38dGqejCm60CtN6/B51GmB+HrEosEEp9Hba3+ILjrOxGkd
ouoSGOgZQ89APR0FRTTbLERvQ35mi1pjLo3dLKLmg7NOBrzXQqde7hBbjMxrTOaWZTrcG5lxHnr5
Q491JR5qIWJ06K90lMQmZpOeIE9VrC0DS1pR2rSsFE6EsqrjvKS3oDaoglH7hLcdr6qxuNZUFn6c
ajfSoJ/hJXffFfHCccNrDnv5ODArxM1sZ1WhbEUG/8UZo0NNqrqJhU6hyGDw+aTc6tLSEEqhZOFU
YanetzPVsu6CPkOzGYFPIPeUj4bMvlTcpJgbAjSewhed5zk0wjZu3JVcDhuTfj7fZ6suosj+0qcg
r2xXOgo8b1NC4fAQcoRtni+zIuP9Vn6eRa2Cuo/szSER3uUhJcmmDm51OQBjX5jncmP+mekmZcS4
Pxw97TGUO4s9FpdlVYW0YfcwFkyLcLw2q4hK18D0C7HhU4IBWOuo3JpVu3YQWJ+juoDTncSu7Q8Y
1KOr101NKdzIqXoaQeOa1oEbTos2Pw5EyU2vy+Uw6jCINOErLkeHoYevHRg2zrsav7xCddNpJop1
kLPvfQ+mQGF75aJVNBkB5rad4Y4wzaJR7KrmTYLP1MTz8DRNCumLX3bXpUM2kwbONOvik6aCIeg1
do2tQUYbUfevatMqkDusV43XVNNEdq71tDn34s6ZalVNTpNLDUkc60lr60XvSTHS2ulKInIS1q4y
YvzV99xLznsw1h6jxRGC/oAJNhqlvoeOxpyUm4+mLH2RaCLNrER08pzo0RI9OJrEd+1QHjuc5JPB
Mu6q1lpi5VrOUk85clMtnTljq097M7rxkqSawgRVpzZZSSglyBt+l23vhMBAn9i6lE2UJjzKDVJs
iG3hWg2ylYvQ6sS2o1sP99gJtZcvSomIRN5Il1aCuIWaZCvd6W56Yq6J6Y+0NvMsnRc1DMgBkh6G
GgWPo9Nvtjs0W7NMP7bpftn2gJCrVcRT1t0joloJKSOdQi/SFnLbfM1blq5fKhexl4pkUTvVzAAd
agP3BghWV2bAdwQ3TSO87Nmny/S018t0UZr6kWLXd2FCO486yU3R4wEO0fR6jGFLDfEXVYcA3sGj
zSwZ3206u3aHmYNTW90ME5qTvCoXqQyQnGoKiSvca2Zt+OAQG/utSbOwTx/GpDwaHdipHtUeVU2/
ou89g4N9nbf0byuiPCti6/MLZqbvdBaqqgE32VhLuS8fTZ+Qzsr6Wy0h5mvRHA3i8CvlnxU0iJkf
pRvXjr6HdXOm6wVun1BvPEgULg37CZwtXMGsy95X5r0Bjc0tsqu+cg5z3Vk5FLoKOTyHGIOxNpnq
oKHp6MbzoGxP0DFZNUE+jQ25VY+qUEFO27PU6CJOR/PrkAUmyFXJaPmBUaPRONgm/dBc+o/M3bMr
rQAB/SYHffA3yWZLCsq7fqSgQg1bVQ2k7KgzP8lE/6g9aweySUQr0CGYr6AT8SMLlQ+oVVMPpiZM
mRnq8s9ZKOkp8oV0Ci3eRP/wH3QCDUXA3d5moaZpKOKzOGuBarzrBKYxTcKY2zhrHT+qZqGmXXuG
fBimqXTUxB6qO/o4NaQWhZK2WfXdwKGBX/RcaZ2j2ojMaQ7tY+GFkHmlrFg2YRJPUiUg8TSTedjk
d57aKxi31CiuLE0za6SZJjV/VhQMLwc8L5Zmabq0rgdzFfYWwAW0IHKYZqeGqDwbxEyweJXvtVs9
ym5TH+Zdui7VUAEnkVXRPOgbzHr6C6sNzYsCw1qcvjsc8mIcYEr6hZPYEQAUBOqhUebOBHoEJ1e0
CL1GOlRCy52HdOgndhPcK6naN7OqJQuvKRgdmiIj8/LRndQa1KHITZUzVw2ByzUpP/Od9NCCXT7J
+fgxiNNJSQ2ATwnKyUhhYQLEB4U0rTuNLfcszPyjPlUP65KSItpom5pFf2x6+P9kdWtAlgovM6MS
RfjjVpKJt0wNYlpSYA0hSkzk1XPIyogZ+KY7l8ma8RC4csqScp1sr4xiPC+7aJhppnOjFdZdVmbr
Ap7vpFR89k7jHF/yL17L7tZ1JdpEzmOZ6yu5cU6ppoMpqSRzimeNtYTC+jXs4iMzDW77sEah2pEe
e8+GsFo7iyBuvxmp85CnVrFSdB9h3LS2J9TlM0IRSvya7/knQdBRjITXjn84p8IQ/hnJnAVdAqY+
To1+jrQhh2gGGXKsqhuzrW4p/U4z7ALmEYoAk8ELyFzj4s8ME6dFIqNQ1dumN6vk/kvGVx/HaqtN
gxYHY4zRURpCfWnq6c15XsEtla0Og8cRybm8/ooo3n3ipfrC1ZT7nL4gMCK/PkpdFRkqG3ErugcL
syd9hYjv8fFqv2xkuLGyqyd4NyooSuS6tpIax1l6iEJONTtjIWT24xAieBRV3zUh+OMQcM6VsCIi
NatHxO1M7nZIpqz9fJqnUbwIRovD1EVCifBjWgSsEbK8eNJm/jhzqdfQZtEmeGUtvRaBat/uz7TW
PVSNFGeu9MyM7JUkBYtGXSXJzO1OHa6JdMtVXnQ1oCHrPErMG4t6ADY48aTTwmHmhmA34d6h1PFQ
pfVX2LJIMJGaT7Iwd+aV5ZTTDHd3BDaABEX5KVqsS3Lm68prVlHhndRJnuAiA7EMJW01bg/1poNv
2DnM9r4/S2KVyrkc3/pVsDZMWt+EONYqLKwT1SGvrfNlLJED2dWAW04UjQKogt60rwBp9ZRg1YTB
idoEeDTlt7FCYmhTYsbgyb3WLeOmKaszNYn0pY9e5awPFROZGB15k7SmxewR4kpNvSRrINA2x34q
odHZme7N6HJ/aG5UCDMj0FLzPi+JYbrU8SwPo5U7lg9FqulzdYzpY+M4g1zjSEACx8RhWKdt7d+o
rnZRd/ihaEEz0PWtdMijpXkYFfIjhb1jPQhOAjJw1JaBP8VpMZOT4HY0tS+uy/eOwIo1LSBbImym
XBq2QxeaVM3T0gtVQgJeGe1H02mWtDWGSZHaLmS29qL0m6Wbql9avzqVUbmYWIid4dAF3dtKLuIC
UrUVSEd+F18HRp3O5Lo/Mgd73nrxQEqlGtOwiGPS1C6ax/jWzEbZP0WRHAgVoosYx8SP3uh+KXKP
wrkirKcD9Ot7P7wvc6AWGTmhbHfjDDUidZqCUznuPBxrajtfWB2Ip7EYLwZytbnUUnqJHO+qR2ir
UZFld/Nj5HLahZ6XRyAvfU4Bn+QFVZ+l1pkQ0010xxA0+5pg74tb66ao+gCFS5QCbPT1zCa5Vo32
ZLRQDwPJMNdbfVEi7t5m9nGQl4dh5SJdwySik4/lh4EHAo5td6OSnxoee3ZPv86kqlIo5UMdBqd1
X2wgoM8tEoxJNeDeqSm3Gbr6KNdTyKJnAlDr0KrZTb16Qd59KCPUzs6dI2EX2zMjQrmzH6wvqNud
jrrxENVslIFmZnOgh4jZA5CpEQGix1GiGOOclc7oLVW9+zNm3pKS0kW1utKftioEVyqVZHYtEsoU
L2WqmJyd5TwL/AbSIyVOWRQ7bVH2BOShLsuq/BpQETVSLNdRVL1WrPo2FEXTkn1hUtVMDerCsPso
r46UWTUoi8vSKRfc3/cyxFAhtbP7StRmnRDIWCrqtWkUGjOXEi5nHrYC/K7LUQASVd4abrcm6r5O
0ty7ohIsW8W95qdnYehUU1dUi2s8zhVRP9ZFJRkLwRZvBlqmrqgzs8qKqWsbcH5kVpmoRsMlXWSU
pwdceucW+6SoW3cUsAdRyQ6k8FtEadsAQqH5CbwrF2n3EDA8UrJXipErZISFdTRK1iqvfY7ilMpA
TGg0BSI6kEAq1ZmDXok3JNTGoozeJrhTlF0m+KudyFqAFEydP+KGBphVd247zJ/nUkF1HSjiJvJR
McrRjpJRJL8g/TllN68c91Rv/aUf0LJBk8S3V2iVOwVloTjzzUkZyBRFcPSi4Uz1uPCfCSH/6eWI
5sav4+g/8Q1tym2BNG97DaQV+8DUVBW4DTWXt4E0Cm4I+6EzaujOi3Tpqz6pfuDImH0Cm3MQZXsC
ib+COLQDpHtUzEM1IVMqfvVPAun3YTQwEAG+tiFjGw7T6S2Eo5clry3LtFmPNBkKAHReZUwCO3kG
+vySXKPIH+J1hGBU/HYoRSELJwuw4s9YEQVsd2GGeo4noeFcI3JG4JZY8TAeEuJTjtfqtNFXaO+P
V6FK2Ap/V78JbVxD8yzESNsbnGPFEsgtIBT9OUn4pTZk+HOag2dVx20UVtq3ti9MGzBr0bbAU5FJ
aPU2mJiRFOMaHCOFGuR5ps6pnjRAjCUsNiZB5ZIxR4MzNxD6lWdVemfEere28D090xs5R7okj2I0
A9xem8Yt+14sBODYnjPtTG6FMFwbh2dlHXWTJIek7zvnmiI/GKjJpdihARL7YqHElqI2ZwjZOVXm
KaQ8mDsoNDrJ3OiTlTsMBVpf4F8qhOvioXj0bf+S+tNaQdiu0dqrWKgyYAcW3loR+DdB6T2VrLxc
F5VhHsUBGslOQkNhVOEoSZL2qIcVqGLXl9dpXUCMad1iEsQSUnmdjQ24s65SWtnsweyGuDYu69S6
HhTpKwz6YoZsBEj3uvZUC2FTOPUeOm5z1ZYDCvfiErW6UCKzvC71Wutnpp36lxVAaNT1lHLu9HL/
VY9hp1qExjUaWdSAdKkcZiF49sKsEUKVFGX909o7f879fnYVUEXj8U1KSH4JCpWsQGdxMK3fTrFi
KAvPQ5x2jfXZhsNNuUJYdQKKeVofpmBP4Bp7cwCecwTNJ8aRvtDmNNunf2vxLGBPf90HHA2Y36i/
O6ZhyBAy7HfcReRsusar/GyNqeTREPv9NEJ3C1kSnRaOFTnzonWFAKtZYlZvy6eeVbpHCt+RGRXJ
dLDgI7qIodvq+K3uM2dRqfRJ6zpfuPb4zTJQJApdqqIgDW7A0VgTtSyGqVUBQyA6UEH6E68Zfj8f
NGfZKSmN0hH7QtudjIZzOGrkeqq6RJRImRR1yaRw9Ckt/0MqqbNMg6aQyfm867wTFUg83pTwEVrc
TZIkrGYs4nVHxLIsPPQ7UDG49rrsUNGS06a3ZdAL+VKOmGiWU1CWlcOr33/FbzeRF5EDGbVjHUVJ
U3vvAe6MAEvzxC3XcpuESzaCmIfHVU4K/LmRBagMFn8n07Sdd/fTZ777NqUezG4bedW68LRbw6XN
1XjEp5V1qCcNaqjgYzwTuTsLYVgjpkpHd2M4GREum8BvOMkC+6scUGMDP/Po0u7Ji+JUzcwL2R3v
DK/4lnQo4xRpkT/zGf8/OJNfbnGrO/cPNzTx2/OMrtuXbP7e3/tf+qPXQ2/7hV4svf81u2+Zw+jN
Kf90Y0+G47+9TryhO9LcYyiuAbrEisHB9gG1XV7sCXEGGvn515KiqgJ6aVME5jd81k9j9KtR+P0D
Xj68d0L/eJ1f3/zPtT+cGjj1//Hz84B/Pb51ICqFYP8d+enF1vvm8Yl0aNcSYwB5eHrtwyBQMiSA
A4yzuv/v/3qumwq+6T8eCd7zZig0GWIfZL3nJ/0wE6iR0hO2FEt/Har/+/mwZSiEWv6OQ2EfKDAc
CWOp+oqXGKg3iwKZYpt6MFyOfZ0P7+P/f2dngGKJSOHLdHA4094MAksDKAqsFuEJs58zgdW880wQ
uHNwU4znm6dX5QOLmoyDFsLTFHn+qP/j3XHLajD42Y5jYB5oGjkdDZCnJxW4ujdDISaCQ7IDM3hP
J4LG3N1xEKwD5JBgcQmHU/HiUd8MAuRofB/Ieh1iZ177OR+4vX/nyBT7389nJjm/TfNKez4o3m8M
hAw4hrBsnqfe/q0J+X2T8d/ZHGETGqZCQP/0en9YsibIpSw20OeNeA8HYfcTgnUvDkFG4WnKfzwm
Bb/SpgMmiib7eULsvjtSClMIBGB4bp8JQjWBEBM3n/3cEqg7PAcxzzWxH1nJP8kiYMvqLAXhTf38
+rA7EjDxa8H82teZsPsgKAccEAQFIp8Srw/7os560TX2xb3dGHc/J+0DC+A/8tDPYyCOm7fnJHGT
A9UatPbTVNnXRSE4gTuGDOYBwkvU0pSX1PH9UIgzAtN0NFX2dXsU6n07DoJF0oiwKXX6551hS/Do
mABysBl7njH7uj/sHjdxUghzNmyZ3q8JaizYyVraS7C+f8GCsvNE4Iggl4QY9PHp9QN6Ihqudi/7
5p7OAOV5q9rhmNRU9j6VKj9tlKfX+2NSMQ4MNgxAY/u9OSq7h01oP8mYPMnWS9j0YXMUNRjHhEK2
F3VHHvh9yU20aXbbHMWa0NgbLUjST68PEYN64BBZ0nrc12NSeU75d1kUxgHakSJ+fp7z28oLokSt
MFJ7ujMIpb3dZoIG1REaJGHTS6zwYSagR0MAjXzN3sYKux+Q9gHVRBEbvhSa3m+PpFLsF2yeaEQ8
vfZ0Pii7p9bU3Kg+U0+ix/HyqG/CaGJH1DUcksp9XRQvQe0uOwM+gXzbBIba83HJJvxmECg0YU2u
mEC293UmPH87uwyCfoC8nKqBTnieCB8qTfYBboJUqRko8drXk0LINe64SQJIwnZBnIjvJwKpNzg0
3D729elfuqe7TATzgJ4UKYL1Um3jUd+uBhl2A61aOpX7uhp2PyIow2O8wRC81Bferwa2BMgblJlE
I5vptn+p1EsZcJeZ4BwoImpGM+F5X/wwE0DaAfxATWFfDwcBVtltM0A3QndkAiIs2p5eH5Jq+YB2
DVXZlxB1D2fC7juiyY74DKh8nglbIiaEtKBC7W0v5oPg2D/vxViEQqhdGeavwgTCRkhfQFz2dk/Y
ufgMjkcFEasTEP5iJtCUowCPSPK+Fp9f0rvdNkYVkisEupcjcstyACWOg5OzrwHjS6dsh0FgY6Ts
zNf82p59X1nhiEQh20T19HkT3sON8Xmd7jAIGpqvIpFEDPYXUbOF9jjYDbSK9jROEBTU3Y5IBgF0
vgGR5XlL+FhZsSi9WDI55L5GjNruhUYbqgK9enQen2fCh8qKCCTEf9SgxGtf54Ox+xkh4kaF6jKQ
rafXh3xaCPyj4k+8sKeLQn++sR12BmquYDLghkNr2T4IWBnYmNywge7pIGg7D4ImnBfgGZBOPi+K
D2cEi0JWZfo1ezsIu9fY6DuBTlFs0G1PL4b1TUKtAA4mYqIkua8TYfcEgo4UpHTjyU/3/cMrrBJG
52WK7OkYfBCM+Mf5AzsC/TaTKtsv+vQCz6bpLAWBgeS1ryeEtvsJYdGkFUKLwHqfX++WBEMBAJLo
Ukgq72V5RYh67Bg20ac3ZY129HNA8BHqKR/wSxwDcK/Z6/mwexhtkDSiV0fr6elJP0SQoKBZOfBD
hT3nfs6H3SNICq8Wyx+c3POaYFjfbJUsCgDijNDeZpUvq3WHsEl7wvFYFv3H50H4EEazSarIqSNj
t68zYfeEinyJRgvtqJft8cNMUA4EDp4Cw/PJvH+ptb57q1oXR4CosP/iuBStScfmwAT4+/Ta1/mw
+3FJ0c2gyiAY7a8nwYedAYY8tgr7GkYLH88dj0v74MWV4SWheh9Gsz0SY5o6nal9nQnPh9cu2yOp
NVoJUMZeFsWWncEUc2V/K48v5J1dBoHmnE3GxEP+YjkIWxBVwQH1OYPdv+3xg2zGP84mNEDexIaa
/CtCLdsjrDFFNl8Qxv/SIPwLf/SDezz1g/j+iZqMxtQTiv+Zcvu3f/DK2/14gZ+wb0+k2zd/KajK
z9d+RsiJ//+fzT0OhrOgqsvgrlaf2rA//fa1Lfv0SS/vf3nEjx/+5sNen+v1h4fBQ7kp7/zh6RfD
y42uNwnc5v+N+ed+8x65JyrCrz/bTrP+sSH+/upI6jy8XugvJq4gF/31qP/9X29H4qfd9rcXTzb3
Wfl6oZ8uTgyz88UneIBsu3Ei5Z2vPd3Em5avpHq91k/3zqLf/fqIh1YfvlLyMM6WT7h4WpebP6ZZ
VW/7CGK6nT9i9hD/sc7KreNPjLDz9efxH7OsZPK8Xuun8eeo3/n6ixLdum0X58Db+eLL+CFNX6/z
041/xnI9bJLvWXxff7y8wLbvfOurJH8og038eqm/7l7Axne/PHrgr5f56dKfsWKPH8otYy5AEzvf
9XGQels2AgGP3PnaJ5toyx4mQIefcOmqetg2Jp+xQE+y6o//Tb2H+GHbyHzGEj3d3LMBv47DT7Pl
M5bo6QYbmC3X/owlKq6dZ9t2d8FD2vlrPX1I77O7YNvuJTBZn3D98u7h/vVCf427YPvtfvGMe3+9
zk/X/oxlepptHZPPWKVcun4oH4Ytd/4ZK3W9ybdMdNG423nA1w/t5mPsaKAb/QkXPys3bAGvF/rp
6/yMJXoeb+4etsSOokS787Ccx02yLbgTFIidL34ZEDpWwf2WkRFoiJ2vf7W5K0kJ0nrLWSqQBp/w
AekfkwdssrZ9wGcs1auN+IAy3ZT3Wzcy7TMWrfiQWfDgbXuIz1i14voLVsBdUN1t+4zPWL7iM46y
TdFsO62EHMinfNcnTVD9cfY9qPJtz/EZi1k8x+mmfth2/c9Yz1y/3vwx2ZTfN9tiBlEu/oyR4jOm
8fZP+JyFLZ5iWjbj6+3+tafqn7Kw/c3WnFDgUXYfH2oYWwf/Uxbz7+3Tn2TEdqiCXGXxZlv0IAre
uw8Mgck2uwdRtN794n/nZbzz0Igyy5ZzWEjV7nz3X37nhLHrnf/e6nHnqzfsBFuOeEF+331cGgpE
yba6nKhv73z53wsn7zoyt1m8ZZ8XxKmdb/y2+b4lUhaYwr+59Lay7A9azcdi7au647a3va1Fi7+4
ix825f/8PwAAAP//</cx:binary>
              </cx:geoCache>
            </cx:geography>
          </cx:layoutPr>
          <cx:valueColors>
            <cx:minColor>
              <a:srgbClr val="B9FFD9"/>
            </cx:minColor>
            <cx:maxColor>
              <a:srgbClr val="00B050"/>
            </cx:maxColor>
          </cx:valueColors>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chart" Target="../charts/chart2.xml"/><Relationship Id="rId7" Type="http://schemas.microsoft.com/office/2014/relationships/chartEx" Target="../charts/chartEx2.xml"/><Relationship Id="rId2" Type="http://schemas.openxmlformats.org/officeDocument/2006/relationships/image" Target="../media/image1.emf"/><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4.xml"/><Relationship Id="rId4" Type="http://schemas.openxmlformats.org/officeDocument/2006/relationships/chart" Target="../charts/chart3.xml"/><Relationship Id="rId9" Type="http://schemas.openxmlformats.org/officeDocument/2006/relationships/chart" Target="../charts/chart6.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53339</xdr:rowOff>
    </xdr:from>
    <xdr:to>
      <xdr:col>2</xdr:col>
      <xdr:colOff>152400</xdr:colOff>
      <xdr:row>42</xdr:row>
      <xdr:rowOff>161364</xdr:rowOff>
    </xdr:to>
    <xdr:sp macro="" textlink="">
      <xdr:nvSpPr>
        <xdr:cNvPr id="3" name="Rectangle 2">
          <a:extLst>
            <a:ext uri="{FF2B5EF4-FFF2-40B4-BE49-F238E27FC236}">
              <a16:creationId xmlns:a16="http://schemas.microsoft.com/office/drawing/2014/main" id="{D0B339B6-0BF8-8C06-EBCA-C8AB2BB1B787}"/>
            </a:ext>
          </a:extLst>
        </xdr:cNvPr>
        <xdr:cNvSpPr/>
      </xdr:nvSpPr>
      <xdr:spPr>
        <a:xfrm>
          <a:off x="0" y="53339"/>
          <a:ext cx="1999129" cy="7728025"/>
        </a:xfrm>
        <a:prstGeom prst="rect">
          <a:avLst/>
        </a:prstGeom>
        <a:solidFill>
          <a:srgbClr val="004C22"/>
        </a:solidFill>
        <a:effectLst>
          <a:outerShdw blurRad="50800" dist="38100" algn="l" rotWithShape="0">
            <a:prstClr val="black">
              <a:alpha val="40000"/>
            </a:prstClr>
          </a:outerShdw>
        </a:effectLst>
      </xdr:spPr>
      <xdr:style>
        <a:lnRef idx="0">
          <a:schemeClr val="dk1"/>
        </a:lnRef>
        <a:fillRef idx="3">
          <a:schemeClr val="dk1"/>
        </a:fillRef>
        <a:effectRef idx="3">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143435</xdr:colOff>
      <xdr:row>0</xdr:row>
      <xdr:rowOff>0</xdr:rowOff>
    </xdr:from>
    <xdr:to>
      <xdr:col>25</xdr:col>
      <xdr:colOff>213360</xdr:colOff>
      <xdr:row>42</xdr:row>
      <xdr:rowOff>124691</xdr:rowOff>
    </xdr:to>
    <xdr:sp macro="" textlink="">
      <xdr:nvSpPr>
        <xdr:cNvPr id="4" name="Rectangle 3">
          <a:extLst>
            <a:ext uri="{FF2B5EF4-FFF2-40B4-BE49-F238E27FC236}">
              <a16:creationId xmlns:a16="http://schemas.microsoft.com/office/drawing/2014/main" id="{446755F2-C10C-4AA1-B0A5-1868820CE851}"/>
            </a:ext>
          </a:extLst>
        </xdr:cNvPr>
        <xdr:cNvSpPr/>
      </xdr:nvSpPr>
      <xdr:spPr>
        <a:xfrm>
          <a:off x="1999944" y="0"/>
          <a:ext cx="13758216" cy="7772400"/>
        </a:xfrm>
        <a:prstGeom prst="rect">
          <a:avLst/>
        </a:prstGeom>
        <a:solidFill>
          <a:srgbClr val="B9FFD9"/>
        </a:solidFill>
        <a:effectLst>
          <a:outerShdw blurRad="63500" sx="102000" sy="102000" algn="ctr" rotWithShape="0">
            <a:prstClr val="black">
              <a:alpha val="40000"/>
            </a:prstClr>
          </a:outerShdw>
        </a:effectLst>
      </xdr:spPr>
      <xdr:style>
        <a:lnRef idx="0">
          <a:schemeClr val="dk1"/>
        </a:lnRef>
        <a:fillRef idx="3">
          <a:schemeClr val="dk1"/>
        </a:fillRef>
        <a:effectRef idx="3">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15240</xdr:colOff>
      <xdr:row>6</xdr:row>
      <xdr:rowOff>56775</xdr:rowOff>
    </xdr:from>
    <xdr:to>
      <xdr:col>1</xdr:col>
      <xdr:colOff>1120140</xdr:colOff>
      <xdr:row>9</xdr:row>
      <xdr:rowOff>122667</xdr:rowOff>
    </xdr:to>
    <xdr:sp macro="" textlink="'PT1'!I4">
      <xdr:nvSpPr>
        <xdr:cNvPr id="14" name="Rectangle 13">
          <a:extLst>
            <a:ext uri="{FF2B5EF4-FFF2-40B4-BE49-F238E27FC236}">
              <a16:creationId xmlns:a16="http://schemas.microsoft.com/office/drawing/2014/main" id="{4BD84A7B-EA9D-586B-A7B5-E9DABC3F4F37}"/>
            </a:ext>
          </a:extLst>
        </xdr:cNvPr>
        <xdr:cNvSpPr/>
      </xdr:nvSpPr>
      <xdr:spPr>
        <a:xfrm>
          <a:off x="15240" y="1159434"/>
          <a:ext cx="1266265" cy="65756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132D2D72-0BDA-4E11-8CCC-0CE91E3A34F0}" type="TxLink">
            <a:rPr lang="en-US" sz="1800" b="1" i="0" u="none" strike="noStrike">
              <a:gradFill>
                <a:gsLst>
                  <a:gs pos="86000">
                    <a:schemeClr val="bg1">
                      <a:lumMod val="75000"/>
                    </a:schemeClr>
                  </a:gs>
                  <a:gs pos="0">
                    <a:schemeClr val="accent1">
                      <a:shade val="30000"/>
                      <a:satMod val="115000"/>
                    </a:schemeClr>
                  </a:gs>
                  <a:gs pos="0">
                    <a:schemeClr val="accent1">
                      <a:shade val="67500"/>
                      <a:satMod val="115000"/>
                    </a:schemeClr>
                  </a:gs>
                  <a:gs pos="100000">
                    <a:schemeClr val="accent1">
                      <a:shade val="100000"/>
                      <a:satMod val="115000"/>
                    </a:schemeClr>
                  </a:gs>
                </a:gsLst>
                <a:lin ang="5400000" scaled="0"/>
              </a:gradFill>
              <a:effectLst>
                <a:outerShdw blurRad="63500" sx="102000" sy="102000" algn="ctr" rotWithShape="0">
                  <a:prstClr val="black">
                    <a:alpha val="40000"/>
                  </a:prstClr>
                </a:outerShdw>
              </a:effectLst>
              <a:latin typeface="Aptos Narrow"/>
              <a:ea typeface="+mn-ea"/>
              <a:cs typeface="+mn-cs"/>
            </a:rPr>
            <a:pPr marL="0" indent="0" algn="l"/>
            <a:t> </a:t>
          </a:fld>
          <a:endParaRPr lang="en-US" sz="1800" b="1" i="0" u="none" strike="noStrike">
            <a:gradFill>
              <a:gsLst>
                <a:gs pos="86000">
                  <a:schemeClr val="bg1">
                    <a:lumMod val="75000"/>
                  </a:schemeClr>
                </a:gs>
                <a:gs pos="0">
                  <a:schemeClr val="accent1">
                    <a:shade val="30000"/>
                    <a:satMod val="115000"/>
                  </a:schemeClr>
                </a:gs>
                <a:gs pos="0">
                  <a:schemeClr val="accent1">
                    <a:shade val="67500"/>
                    <a:satMod val="115000"/>
                  </a:schemeClr>
                </a:gs>
                <a:gs pos="100000">
                  <a:schemeClr val="accent1">
                    <a:shade val="100000"/>
                    <a:satMod val="115000"/>
                  </a:schemeClr>
                </a:gs>
              </a:gsLst>
              <a:lin ang="5400000" scaled="0"/>
            </a:gradFill>
            <a:effectLst>
              <a:outerShdw blurRad="63500" sx="102000" sy="102000" algn="ctr" rotWithShape="0">
                <a:prstClr val="black">
                  <a:alpha val="40000"/>
                </a:prstClr>
              </a:outerShdw>
            </a:effectLst>
            <a:latin typeface="Aptos Narrow"/>
            <a:ea typeface="+mn-ea"/>
            <a:cs typeface="+mn-cs"/>
          </a:endParaRPr>
        </a:p>
      </xdr:txBody>
    </xdr:sp>
    <xdr:clientData/>
  </xdr:twoCellAnchor>
  <xdr:twoCellAnchor>
    <xdr:from>
      <xdr:col>0</xdr:col>
      <xdr:colOff>15240</xdr:colOff>
      <xdr:row>2</xdr:row>
      <xdr:rowOff>157131</xdr:rowOff>
    </xdr:from>
    <xdr:to>
      <xdr:col>1</xdr:col>
      <xdr:colOff>1469763</xdr:colOff>
      <xdr:row>6</xdr:row>
      <xdr:rowOff>119030</xdr:rowOff>
    </xdr:to>
    <xdr:sp macro="" textlink="'PT1'!H4">
      <xdr:nvSpPr>
        <xdr:cNvPr id="15" name="Rectangle 14">
          <a:extLst>
            <a:ext uri="{FF2B5EF4-FFF2-40B4-BE49-F238E27FC236}">
              <a16:creationId xmlns:a16="http://schemas.microsoft.com/office/drawing/2014/main" id="{E19FAFE2-0DF1-456C-BF48-B6E68EBF2E35}"/>
            </a:ext>
          </a:extLst>
        </xdr:cNvPr>
        <xdr:cNvSpPr/>
      </xdr:nvSpPr>
      <xdr:spPr>
        <a:xfrm>
          <a:off x="15240" y="515719"/>
          <a:ext cx="1615888" cy="70597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5259CBD5-0D2F-438E-B298-162F544961AE}" type="TxLink">
            <a:rPr lang="en-US" sz="1800" b="1" i="0" u="none" strike="noStrike">
              <a:gradFill>
                <a:gsLst>
                  <a:gs pos="86000">
                    <a:schemeClr val="bg1">
                      <a:lumMod val="75000"/>
                    </a:schemeClr>
                  </a:gs>
                  <a:gs pos="0">
                    <a:schemeClr val="accent1">
                      <a:shade val="30000"/>
                      <a:satMod val="115000"/>
                    </a:schemeClr>
                  </a:gs>
                  <a:gs pos="0">
                    <a:schemeClr val="accent1">
                      <a:shade val="67500"/>
                      <a:satMod val="115000"/>
                    </a:schemeClr>
                  </a:gs>
                  <a:gs pos="100000">
                    <a:schemeClr val="accent1">
                      <a:shade val="100000"/>
                      <a:satMod val="115000"/>
                    </a:schemeClr>
                  </a:gs>
                </a:gsLst>
                <a:lin ang="5400000" scaled="0"/>
              </a:gradFill>
              <a:effectLst>
                <a:outerShdw blurRad="63500" sx="102000" sy="102000" algn="ctr" rotWithShape="0">
                  <a:prstClr val="black">
                    <a:alpha val="40000"/>
                  </a:prstClr>
                </a:outerShdw>
              </a:effectLst>
              <a:latin typeface="Aptos Narrow"/>
            </a:rPr>
            <a:t> </a:t>
          </a:fld>
          <a:endParaRPr lang="en-US" sz="1800" b="1">
            <a:gradFill>
              <a:gsLst>
                <a:gs pos="86000">
                  <a:schemeClr val="bg1">
                    <a:lumMod val="75000"/>
                  </a:schemeClr>
                </a:gs>
                <a:gs pos="0">
                  <a:schemeClr val="accent1">
                    <a:shade val="30000"/>
                    <a:satMod val="115000"/>
                  </a:schemeClr>
                </a:gs>
                <a:gs pos="0">
                  <a:schemeClr val="accent1">
                    <a:shade val="67500"/>
                    <a:satMod val="115000"/>
                  </a:schemeClr>
                </a:gs>
                <a:gs pos="100000">
                  <a:schemeClr val="accent1">
                    <a:shade val="100000"/>
                    <a:satMod val="115000"/>
                  </a:schemeClr>
                </a:gs>
              </a:gsLst>
              <a:lin ang="5400000" scaled="0"/>
            </a:gradFill>
            <a:effectLst>
              <a:outerShdw blurRad="63500" sx="102000" sy="102000" algn="ctr" rotWithShape="0">
                <a:prstClr val="black">
                  <a:alpha val="40000"/>
                </a:prstClr>
              </a:outerShdw>
            </a:effectLst>
          </a:endParaRPr>
        </a:p>
      </xdr:txBody>
    </xdr:sp>
    <xdr:clientData/>
  </xdr:twoCellAnchor>
  <xdr:twoCellAnchor>
    <xdr:from>
      <xdr:col>0</xdr:col>
      <xdr:colOff>15240</xdr:colOff>
      <xdr:row>9</xdr:row>
      <xdr:rowOff>87304</xdr:rowOff>
    </xdr:from>
    <xdr:to>
      <xdr:col>1</xdr:col>
      <xdr:colOff>1120140</xdr:colOff>
      <xdr:row>13</xdr:row>
      <xdr:rowOff>9759</xdr:rowOff>
    </xdr:to>
    <xdr:sp macro="" textlink="'PT1'!J4">
      <xdr:nvSpPr>
        <xdr:cNvPr id="16" name="Rectangle 15">
          <a:extLst>
            <a:ext uri="{FF2B5EF4-FFF2-40B4-BE49-F238E27FC236}">
              <a16:creationId xmlns:a16="http://schemas.microsoft.com/office/drawing/2014/main" id="{A3BFC223-8D3A-48DF-A8E4-FAD28A22E9A1}"/>
            </a:ext>
          </a:extLst>
        </xdr:cNvPr>
        <xdr:cNvSpPr/>
      </xdr:nvSpPr>
      <xdr:spPr>
        <a:xfrm>
          <a:off x="15240" y="1781633"/>
          <a:ext cx="1266265" cy="64859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C9A6BE86-3042-45C5-957C-A921F42EA1F7}" type="TxLink">
            <a:rPr lang="en-US" sz="1800" b="1" i="0" u="none" strike="noStrike">
              <a:gradFill>
                <a:gsLst>
                  <a:gs pos="86000">
                    <a:schemeClr val="bg1">
                      <a:lumMod val="75000"/>
                    </a:schemeClr>
                  </a:gs>
                  <a:gs pos="0">
                    <a:schemeClr val="accent1">
                      <a:shade val="30000"/>
                      <a:satMod val="115000"/>
                    </a:schemeClr>
                  </a:gs>
                  <a:gs pos="0">
                    <a:schemeClr val="accent1">
                      <a:shade val="67500"/>
                      <a:satMod val="115000"/>
                    </a:schemeClr>
                  </a:gs>
                  <a:gs pos="100000">
                    <a:schemeClr val="accent1">
                      <a:shade val="100000"/>
                      <a:satMod val="115000"/>
                    </a:schemeClr>
                  </a:gs>
                </a:gsLst>
                <a:lin ang="5400000" scaled="0"/>
              </a:gradFill>
              <a:effectLst>
                <a:outerShdw blurRad="63500" sx="102000" sy="102000" algn="ctr" rotWithShape="0">
                  <a:prstClr val="black">
                    <a:alpha val="40000"/>
                  </a:prstClr>
                </a:outerShdw>
              </a:effectLst>
              <a:latin typeface="Aptos Narrow"/>
              <a:ea typeface="+mn-ea"/>
              <a:cs typeface="+mn-cs"/>
            </a:rPr>
            <a:pPr marL="0" indent="0" algn="l"/>
            <a:t> </a:t>
          </a:fld>
          <a:endParaRPr lang="en-US" sz="1800" b="1" i="0" u="none" strike="noStrike">
            <a:gradFill>
              <a:gsLst>
                <a:gs pos="86000">
                  <a:schemeClr val="bg1">
                    <a:lumMod val="75000"/>
                  </a:schemeClr>
                </a:gs>
                <a:gs pos="0">
                  <a:schemeClr val="accent1">
                    <a:shade val="30000"/>
                    <a:satMod val="115000"/>
                  </a:schemeClr>
                </a:gs>
                <a:gs pos="0">
                  <a:schemeClr val="accent1">
                    <a:shade val="67500"/>
                    <a:satMod val="115000"/>
                  </a:schemeClr>
                </a:gs>
                <a:gs pos="100000">
                  <a:schemeClr val="accent1">
                    <a:shade val="100000"/>
                    <a:satMod val="115000"/>
                  </a:schemeClr>
                </a:gs>
              </a:gsLst>
              <a:lin ang="5400000" scaled="0"/>
            </a:gradFill>
            <a:effectLst>
              <a:outerShdw blurRad="63500" sx="102000" sy="102000" algn="ctr" rotWithShape="0">
                <a:prstClr val="black">
                  <a:alpha val="40000"/>
                </a:prstClr>
              </a:outerShdw>
            </a:effectLst>
            <a:latin typeface="Aptos Narrow"/>
            <a:ea typeface="+mn-ea"/>
            <a:cs typeface="+mn-cs"/>
          </a:endParaRPr>
        </a:p>
      </xdr:txBody>
    </xdr:sp>
    <xdr:clientData/>
  </xdr:twoCellAnchor>
  <xdr:twoCellAnchor>
    <xdr:from>
      <xdr:col>0</xdr:col>
      <xdr:colOff>42134</xdr:colOff>
      <xdr:row>12</xdr:row>
      <xdr:rowOff>144728</xdr:rowOff>
    </xdr:from>
    <xdr:to>
      <xdr:col>1</xdr:col>
      <xdr:colOff>1147034</xdr:colOff>
      <xdr:row>16</xdr:row>
      <xdr:rowOff>76147</xdr:rowOff>
    </xdr:to>
    <xdr:sp macro="" textlink="'PT1'!K4">
      <xdr:nvSpPr>
        <xdr:cNvPr id="17" name="Rectangle 16">
          <a:extLst>
            <a:ext uri="{FF2B5EF4-FFF2-40B4-BE49-F238E27FC236}">
              <a16:creationId xmlns:a16="http://schemas.microsoft.com/office/drawing/2014/main" id="{22237950-CF2D-4B47-AEEC-1651A25F83CF}"/>
            </a:ext>
          </a:extLst>
        </xdr:cNvPr>
        <xdr:cNvSpPr/>
      </xdr:nvSpPr>
      <xdr:spPr>
        <a:xfrm>
          <a:off x="42134" y="2385904"/>
          <a:ext cx="1266265" cy="64859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FEEED3D0-C864-43EC-8393-A61EF2F41629}" type="TxLink">
            <a:rPr lang="en-US" sz="1800" b="1" i="0" u="none" strike="noStrike">
              <a:gradFill>
                <a:gsLst>
                  <a:gs pos="86000">
                    <a:schemeClr val="bg1">
                      <a:lumMod val="75000"/>
                    </a:schemeClr>
                  </a:gs>
                  <a:gs pos="0">
                    <a:schemeClr val="accent1">
                      <a:shade val="30000"/>
                      <a:satMod val="115000"/>
                    </a:schemeClr>
                  </a:gs>
                  <a:gs pos="0">
                    <a:schemeClr val="accent1">
                      <a:shade val="67500"/>
                      <a:satMod val="115000"/>
                    </a:schemeClr>
                  </a:gs>
                  <a:gs pos="100000">
                    <a:schemeClr val="accent1">
                      <a:shade val="100000"/>
                      <a:satMod val="115000"/>
                    </a:schemeClr>
                  </a:gs>
                </a:gsLst>
                <a:lin ang="5400000" scaled="0"/>
              </a:gradFill>
              <a:effectLst>
                <a:outerShdw blurRad="63500" sx="102000" sy="102000" algn="ctr" rotWithShape="0">
                  <a:prstClr val="black">
                    <a:alpha val="40000"/>
                  </a:prstClr>
                </a:outerShdw>
              </a:effectLst>
              <a:latin typeface="Aptos Narrow"/>
              <a:ea typeface="+mn-ea"/>
              <a:cs typeface="+mn-cs"/>
            </a:rPr>
            <a:pPr marL="0" indent="0" algn="l"/>
            <a:t> </a:t>
          </a:fld>
          <a:endParaRPr lang="en-US" sz="1800" b="1" i="0" u="none" strike="noStrike">
            <a:gradFill>
              <a:gsLst>
                <a:gs pos="86000">
                  <a:schemeClr val="bg1">
                    <a:lumMod val="75000"/>
                  </a:schemeClr>
                </a:gs>
                <a:gs pos="0">
                  <a:schemeClr val="accent1">
                    <a:shade val="30000"/>
                    <a:satMod val="115000"/>
                  </a:schemeClr>
                </a:gs>
                <a:gs pos="0">
                  <a:schemeClr val="accent1">
                    <a:shade val="67500"/>
                    <a:satMod val="115000"/>
                  </a:schemeClr>
                </a:gs>
                <a:gs pos="100000">
                  <a:schemeClr val="accent1">
                    <a:shade val="100000"/>
                    <a:satMod val="115000"/>
                  </a:schemeClr>
                </a:gs>
              </a:gsLst>
              <a:lin ang="5400000" scaled="0"/>
            </a:gradFill>
            <a:effectLst>
              <a:outerShdw blurRad="63500" sx="102000" sy="102000" algn="ctr" rotWithShape="0">
                <a:prstClr val="black">
                  <a:alpha val="40000"/>
                </a:prstClr>
              </a:outerShdw>
            </a:effectLst>
            <a:latin typeface="Aptos Narrow"/>
            <a:ea typeface="+mn-ea"/>
            <a:cs typeface="+mn-cs"/>
          </a:endParaRPr>
        </a:p>
      </xdr:txBody>
    </xdr:sp>
    <xdr:clientData/>
  </xdr:twoCellAnchor>
  <xdr:twoCellAnchor>
    <xdr:from>
      <xdr:col>0</xdr:col>
      <xdr:colOff>15240</xdr:colOff>
      <xdr:row>16</xdr:row>
      <xdr:rowOff>13895</xdr:rowOff>
    </xdr:from>
    <xdr:to>
      <xdr:col>1</xdr:col>
      <xdr:colOff>1120140</xdr:colOff>
      <xdr:row>19</xdr:row>
      <xdr:rowOff>124610</xdr:rowOff>
    </xdr:to>
    <xdr:sp macro="" textlink="'PT1'!L4">
      <xdr:nvSpPr>
        <xdr:cNvPr id="18" name="Rectangle 17">
          <a:extLst>
            <a:ext uri="{FF2B5EF4-FFF2-40B4-BE49-F238E27FC236}">
              <a16:creationId xmlns:a16="http://schemas.microsoft.com/office/drawing/2014/main" id="{8B6B8E86-D817-4C37-A519-44D770A45B38}"/>
            </a:ext>
          </a:extLst>
        </xdr:cNvPr>
        <xdr:cNvSpPr/>
      </xdr:nvSpPr>
      <xdr:spPr>
        <a:xfrm>
          <a:off x="15240" y="2972248"/>
          <a:ext cx="1266265" cy="64859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98932552-7D73-4F90-988D-1C5591656B04}" type="TxLink">
            <a:rPr lang="en-US" sz="1800" b="1" i="0" u="none" strike="noStrike">
              <a:gradFill>
                <a:gsLst>
                  <a:gs pos="86000">
                    <a:schemeClr val="bg1">
                      <a:lumMod val="75000"/>
                    </a:schemeClr>
                  </a:gs>
                  <a:gs pos="0">
                    <a:schemeClr val="accent1">
                      <a:shade val="30000"/>
                      <a:satMod val="115000"/>
                    </a:schemeClr>
                  </a:gs>
                  <a:gs pos="0">
                    <a:schemeClr val="accent1">
                      <a:shade val="67500"/>
                      <a:satMod val="115000"/>
                    </a:schemeClr>
                  </a:gs>
                  <a:gs pos="100000">
                    <a:schemeClr val="accent1">
                      <a:shade val="100000"/>
                      <a:satMod val="115000"/>
                    </a:schemeClr>
                  </a:gs>
                </a:gsLst>
                <a:lin ang="5400000" scaled="0"/>
              </a:gradFill>
              <a:effectLst>
                <a:outerShdw blurRad="63500" sx="102000" sy="102000" algn="ctr" rotWithShape="0">
                  <a:prstClr val="black">
                    <a:alpha val="40000"/>
                  </a:prstClr>
                </a:outerShdw>
              </a:effectLst>
              <a:latin typeface="Aptos Narrow"/>
              <a:ea typeface="+mn-ea"/>
              <a:cs typeface="+mn-cs"/>
            </a:rPr>
            <a:pPr marL="0" indent="0" algn="l"/>
            <a:t> </a:t>
          </a:fld>
          <a:endParaRPr lang="en-US" sz="1800" b="1" i="0" u="none" strike="noStrike">
            <a:gradFill>
              <a:gsLst>
                <a:gs pos="86000">
                  <a:schemeClr val="bg1">
                    <a:lumMod val="75000"/>
                  </a:schemeClr>
                </a:gs>
                <a:gs pos="0">
                  <a:schemeClr val="accent1">
                    <a:shade val="30000"/>
                    <a:satMod val="115000"/>
                  </a:schemeClr>
                </a:gs>
                <a:gs pos="0">
                  <a:schemeClr val="accent1">
                    <a:shade val="67500"/>
                    <a:satMod val="115000"/>
                  </a:schemeClr>
                </a:gs>
                <a:gs pos="100000">
                  <a:schemeClr val="accent1">
                    <a:shade val="100000"/>
                    <a:satMod val="115000"/>
                  </a:schemeClr>
                </a:gs>
              </a:gsLst>
              <a:lin ang="5400000" scaled="0"/>
            </a:gradFill>
            <a:effectLst>
              <a:outerShdw blurRad="63500" sx="102000" sy="102000" algn="ctr" rotWithShape="0">
                <a:prstClr val="black">
                  <a:alpha val="40000"/>
                </a:prstClr>
              </a:outerShdw>
            </a:effectLst>
            <a:latin typeface="Aptos Narrow"/>
            <a:ea typeface="+mn-ea"/>
            <a:cs typeface="+mn-cs"/>
          </a:endParaRPr>
        </a:p>
      </xdr:txBody>
    </xdr:sp>
    <xdr:clientData/>
  </xdr:twoCellAnchor>
  <xdr:twoCellAnchor>
    <xdr:from>
      <xdr:col>0</xdr:col>
      <xdr:colOff>15240</xdr:colOff>
      <xdr:row>5</xdr:row>
      <xdr:rowOff>38100</xdr:rowOff>
    </xdr:from>
    <xdr:to>
      <xdr:col>1</xdr:col>
      <xdr:colOff>998220</xdr:colOff>
      <xdr:row>7</xdr:row>
      <xdr:rowOff>7620</xdr:rowOff>
    </xdr:to>
    <xdr:sp macro="" textlink="">
      <xdr:nvSpPr>
        <xdr:cNvPr id="19" name="TextBox 18">
          <a:extLst>
            <a:ext uri="{FF2B5EF4-FFF2-40B4-BE49-F238E27FC236}">
              <a16:creationId xmlns:a16="http://schemas.microsoft.com/office/drawing/2014/main" id="{86856EC0-5A76-70BE-AB0F-50D1D2AD7360}"/>
            </a:ext>
          </a:extLst>
        </xdr:cNvPr>
        <xdr:cNvSpPr txBox="1"/>
      </xdr:nvSpPr>
      <xdr:spPr>
        <a:xfrm>
          <a:off x="15240" y="952500"/>
          <a:ext cx="114300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200" b="1">
            <a:solidFill>
              <a:schemeClr val="bg1"/>
            </a:solidFill>
          </a:endParaRPr>
        </a:p>
      </xdr:txBody>
    </xdr:sp>
    <xdr:clientData/>
  </xdr:twoCellAnchor>
  <xdr:twoCellAnchor>
    <xdr:from>
      <xdr:col>0</xdr:col>
      <xdr:colOff>15240</xdr:colOff>
      <xdr:row>5</xdr:row>
      <xdr:rowOff>87903</xdr:rowOff>
    </xdr:from>
    <xdr:to>
      <xdr:col>1</xdr:col>
      <xdr:colOff>878541</xdr:colOff>
      <xdr:row>6</xdr:row>
      <xdr:rowOff>177550</xdr:rowOff>
    </xdr:to>
    <xdr:sp macro="" textlink="">
      <xdr:nvSpPr>
        <xdr:cNvPr id="29" name="TextBox 28">
          <a:extLst>
            <a:ext uri="{FF2B5EF4-FFF2-40B4-BE49-F238E27FC236}">
              <a16:creationId xmlns:a16="http://schemas.microsoft.com/office/drawing/2014/main" id="{339776A7-4E58-9A89-0454-7674F5C2EEAE}"/>
            </a:ext>
          </a:extLst>
        </xdr:cNvPr>
        <xdr:cNvSpPr txBox="1"/>
      </xdr:nvSpPr>
      <xdr:spPr>
        <a:xfrm>
          <a:off x="15240" y="993338"/>
          <a:ext cx="1024666" cy="2868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rPr>
            <a:t>👚</a:t>
          </a:r>
          <a:r>
            <a:rPr lang="en-US" sz="1200" b="1">
              <a:solidFill>
                <a:schemeClr val="bg1"/>
              </a:solidFill>
            </a:rPr>
            <a:t>Quantity</a:t>
          </a:r>
        </a:p>
      </xdr:txBody>
    </xdr:sp>
    <xdr:clientData/>
  </xdr:twoCellAnchor>
  <xdr:twoCellAnchor>
    <xdr:from>
      <xdr:col>0</xdr:col>
      <xdr:colOff>15240</xdr:colOff>
      <xdr:row>8</xdr:row>
      <xdr:rowOff>73609</xdr:rowOff>
    </xdr:from>
    <xdr:to>
      <xdr:col>1</xdr:col>
      <xdr:colOff>833717</xdr:colOff>
      <xdr:row>10</xdr:row>
      <xdr:rowOff>37750</xdr:rowOff>
    </xdr:to>
    <xdr:sp macro="" textlink="">
      <xdr:nvSpPr>
        <xdr:cNvPr id="30" name="TextBox 29">
          <a:extLst>
            <a:ext uri="{FF2B5EF4-FFF2-40B4-BE49-F238E27FC236}">
              <a16:creationId xmlns:a16="http://schemas.microsoft.com/office/drawing/2014/main" id="{2FA2E625-E17F-AF95-C25C-407788FF4A50}"/>
            </a:ext>
          </a:extLst>
        </xdr:cNvPr>
        <xdr:cNvSpPr txBox="1"/>
      </xdr:nvSpPr>
      <xdr:spPr>
        <a:xfrm>
          <a:off x="15240" y="1570715"/>
          <a:ext cx="979842" cy="3496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a:t>
          </a:r>
          <a:r>
            <a:rPr lang="en-US" sz="1200" b="1"/>
            <a:t> </a:t>
          </a:r>
          <a:r>
            <a:rPr lang="en-US" sz="1200" b="1">
              <a:solidFill>
                <a:schemeClr val="bg1"/>
              </a:solidFill>
            </a:rPr>
            <a:t>Amount</a:t>
          </a:r>
        </a:p>
      </xdr:txBody>
    </xdr:sp>
    <xdr:clientData/>
  </xdr:twoCellAnchor>
  <xdr:twoCellAnchor>
    <xdr:from>
      <xdr:col>0</xdr:col>
      <xdr:colOff>15240</xdr:colOff>
      <xdr:row>11</xdr:row>
      <xdr:rowOff>139997</xdr:rowOff>
    </xdr:from>
    <xdr:to>
      <xdr:col>1</xdr:col>
      <xdr:colOff>1004047</xdr:colOff>
      <xdr:row>13</xdr:row>
      <xdr:rowOff>148961</xdr:rowOff>
    </xdr:to>
    <xdr:sp macro="" textlink="">
      <xdr:nvSpPr>
        <xdr:cNvPr id="31" name="TextBox 30">
          <a:extLst>
            <a:ext uri="{FF2B5EF4-FFF2-40B4-BE49-F238E27FC236}">
              <a16:creationId xmlns:a16="http://schemas.microsoft.com/office/drawing/2014/main" id="{5F2FCCD5-AF5A-B1B0-9E67-5A6462164BBE}"/>
            </a:ext>
          </a:extLst>
        </xdr:cNvPr>
        <xdr:cNvSpPr txBox="1"/>
      </xdr:nvSpPr>
      <xdr:spPr>
        <a:xfrm>
          <a:off x="15240" y="2201879"/>
          <a:ext cx="1150172" cy="3675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a:t>
          </a:r>
          <a:r>
            <a:rPr lang="en-US" sz="1200" b="1"/>
            <a:t> </a:t>
          </a:r>
          <a:r>
            <a:rPr lang="en-US" sz="1200" b="1">
              <a:solidFill>
                <a:schemeClr val="bg1">
                  <a:lumMod val="95000"/>
                </a:schemeClr>
              </a:solidFill>
            </a:rPr>
            <a:t>Avg.Rating</a:t>
          </a:r>
        </a:p>
      </xdr:txBody>
    </xdr:sp>
    <xdr:clientData/>
  </xdr:twoCellAnchor>
  <xdr:twoCellAnchor>
    <xdr:from>
      <xdr:col>0</xdr:col>
      <xdr:colOff>15240</xdr:colOff>
      <xdr:row>14</xdr:row>
      <xdr:rowOff>161364</xdr:rowOff>
    </xdr:from>
    <xdr:to>
      <xdr:col>2</xdr:col>
      <xdr:colOff>116540</xdr:colOff>
      <xdr:row>17</xdr:row>
      <xdr:rowOff>18125</xdr:rowOff>
    </xdr:to>
    <xdr:sp macro="" textlink="">
      <xdr:nvSpPr>
        <xdr:cNvPr id="32" name="TextBox 31">
          <a:extLst>
            <a:ext uri="{FF2B5EF4-FFF2-40B4-BE49-F238E27FC236}">
              <a16:creationId xmlns:a16="http://schemas.microsoft.com/office/drawing/2014/main" id="{5595D5EF-A30E-0E04-90A7-4D64ED457264}"/>
            </a:ext>
          </a:extLst>
        </xdr:cNvPr>
        <xdr:cNvSpPr txBox="1"/>
      </xdr:nvSpPr>
      <xdr:spPr>
        <a:xfrm>
          <a:off x="15240" y="2761129"/>
          <a:ext cx="1948029" cy="394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a:t>
          </a:r>
          <a:r>
            <a:rPr lang="en-US" sz="1200" b="1"/>
            <a:t> </a:t>
          </a:r>
          <a:r>
            <a:rPr lang="en-US" sz="1200" b="1">
              <a:solidFill>
                <a:schemeClr val="bg1"/>
              </a:solidFill>
            </a:rPr>
            <a:t>Days to Delivery</a:t>
          </a:r>
        </a:p>
      </xdr:txBody>
    </xdr:sp>
    <xdr:clientData/>
  </xdr:twoCellAnchor>
  <xdr:twoCellAnchor>
    <xdr:from>
      <xdr:col>2</xdr:col>
      <xdr:colOff>201880</xdr:colOff>
      <xdr:row>0</xdr:row>
      <xdr:rowOff>80159</xdr:rowOff>
    </xdr:from>
    <xdr:to>
      <xdr:col>9</xdr:col>
      <xdr:colOff>132606</xdr:colOff>
      <xdr:row>15</xdr:row>
      <xdr:rowOff>66304</xdr:rowOff>
    </xdr:to>
    <xdr:graphicFrame macro="">
      <xdr:nvGraphicFramePr>
        <xdr:cNvPr id="33" name="Chart 32">
          <a:extLst>
            <a:ext uri="{FF2B5EF4-FFF2-40B4-BE49-F238E27FC236}">
              <a16:creationId xmlns:a16="http://schemas.microsoft.com/office/drawing/2014/main" id="{5EA428D3-4DDB-4DAC-B898-CDB87F9EDE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207818</xdr:colOff>
      <xdr:row>0</xdr:row>
      <xdr:rowOff>83127</xdr:rowOff>
    </xdr:from>
    <xdr:to>
      <xdr:col>16</xdr:col>
      <xdr:colOff>415635</xdr:colOff>
      <xdr:row>15</xdr:row>
      <xdr:rowOff>27709</xdr:rowOff>
    </xdr:to>
    <xdr:sp macro="" textlink="">
      <xdr:nvSpPr>
        <xdr:cNvPr id="41" name="Rectangle 40">
          <a:extLst>
            <a:ext uri="{FF2B5EF4-FFF2-40B4-BE49-F238E27FC236}">
              <a16:creationId xmlns:a16="http://schemas.microsoft.com/office/drawing/2014/main" id="{F5ABB330-C446-434D-94DC-6D300ECF64C3}"/>
            </a:ext>
          </a:extLst>
        </xdr:cNvPr>
        <xdr:cNvSpPr/>
      </xdr:nvSpPr>
      <xdr:spPr>
        <a:xfrm>
          <a:off x="5999018" y="83127"/>
          <a:ext cx="4475017" cy="2729346"/>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9</xdr:col>
          <xdr:colOff>346364</xdr:colOff>
          <xdr:row>2</xdr:row>
          <xdr:rowOff>97972</xdr:rowOff>
        </xdr:from>
        <xdr:to>
          <xdr:col>16</xdr:col>
          <xdr:colOff>174171</xdr:colOff>
          <xdr:row>14</xdr:row>
          <xdr:rowOff>69271</xdr:rowOff>
        </xdr:to>
        <xdr:pic>
          <xdr:nvPicPr>
            <xdr:cNvPr id="44" name="Picture 43">
              <a:extLst>
                <a:ext uri="{FF2B5EF4-FFF2-40B4-BE49-F238E27FC236}">
                  <a16:creationId xmlns:a16="http://schemas.microsoft.com/office/drawing/2014/main" id="{C21F7E35-C492-3829-1C14-737A3862278D}"/>
                </a:ext>
              </a:extLst>
            </xdr:cNvPr>
            <xdr:cNvPicPr>
              <a:picLocks noChangeAspect="1" noChangeArrowheads="1"/>
              <a:extLst>
                <a:ext uri="{84589F7E-364E-4C9E-8A38-B11213B215E9}">
                  <a14:cameraTool cellRange="'PT2'!$H$4:$L$9" spid="_x0000_s6175"/>
                </a:ext>
              </a:extLst>
            </xdr:cNvPicPr>
          </xdr:nvPicPr>
          <xdr:blipFill>
            <a:blip xmlns:r="http://schemas.openxmlformats.org/officeDocument/2006/relationships" r:embed="rId2"/>
            <a:srcRect/>
            <a:stretch>
              <a:fillRect/>
            </a:stretch>
          </xdr:blipFill>
          <xdr:spPr bwMode="auto">
            <a:xfrm>
              <a:off x="6137564" y="468086"/>
              <a:ext cx="4095007" cy="2257299"/>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16</xdr:col>
      <xdr:colOff>468086</xdr:colOff>
      <xdr:row>0</xdr:row>
      <xdr:rowOff>108857</xdr:rowOff>
    </xdr:from>
    <xdr:to>
      <xdr:col>25</xdr:col>
      <xdr:colOff>66304</xdr:colOff>
      <xdr:row>14</xdr:row>
      <xdr:rowOff>166254</xdr:rowOff>
    </xdr:to>
    <xdr:graphicFrame macro="">
      <xdr:nvGraphicFramePr>
        <xdr:cNvPr id="45" name="Chart 44">
          <a:extLst>
            <a:ext uri="{FF2B5EF4-FFF2-40B4-BE49-F238E27FC236}">
              <a16:creationId xmlns:a16="http://schemas.microsoft.com/office/drawing/2014/main" id="{2A82B151-B3D7-4342-8E6E-6C917B559F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175161</xdr:colOff>
      <xdr:row>17</xdr:row>
      <xdr:rowOff>108857</xdr:rowOff>
    </xdr:from>
    <xdr:to>
      <xdr:col>10</xdr:col>
      <xdr:colOff>147451</xdr:colOff>
      <xdr:row>42</xdr:row>
      <xdr:rowOff>43543</xdr:rowOff>
    </xdr:to>
    <xdr:graphicFrame macro="">
      <xdr:nvGraphicFramePr>
        <xdr:cNvPr id="47" name="Chart 46">
          <a:extLst>
            <a:ext uri="{FF2B5EF4-FFF2-40B4-BE49-F238E27FC236}">
              <a16:creationId xmlns:a16="http://schemas.microsoft.com/office/drawing/2014/main" id="{6EB520C4-4352-4519-8AC7-D802463660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351014</xdr:colOff>
      <xdr:row>31</xdr:row>
      <xdr:rowOff>161011</xdr:rowOff>
    </xdr:from>
    <xdr:to>
      <xdr:col>8</xdr:col>
      <xdr:colOff>107174</xdr:colOff>
      <xdr:row>39</xdr:row>
      <xdr:rowOff>172441</xdr:rowOff>
    </xdr:to>
    <xdr:graphicFrame macro="">
      <xdr:nvGraphicFramePr>
        <xdr:cNvPr id="48" name="Chart 47">
          <a:extLst>
            <a:ext uri="{FF2B5EF4-FFF2-40B4-BE49-F238E27FC236}">
              <a16:creationId xmlns:a16="http://schemas.microsoft.com/office/drawing/2014/main" id="{E191865F-DC6E-4C1D-A537-CA58B394EF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280555</xdr:colOff>
      <xdr:row>16</xdr:row>
      <xdr:rowOff>13854</xdr:rowOff>
    </xdr:from>
    <xdr:to>
      <xdr:col>17</xdr:col>
      <xdr:colOff>295795</xdr:colOff>
      <xdr:row>42</xdr:row>
      <xdr:rowOff>43543</xdr:rowOff>
    </xdr:to>
    <mc:AlternateContent xmlns:mc="http://schemas.openxmlformats.org/markup-compatibility/2006">
      <mc:Choice xmlns:cx4="http://schemas.microsoft.com/office/drawing/2016/5/10/chartex" Requires="cx4">
        <xdr:graphicFrame macro="">
          <xdr:nvGraphicFramePr>
            <xdr:cNvPr id="49" name="Chart 48">
              <a:extLst>
                <a:ext uri="{FF2B5EF4-FFF2-40B4-BE49-F238E27FC236}">
                  <a16:creationId xmlns:a16="http://schemas.microsoft.com/office/drawing/2014/main" id="{CC7A7CC4-2027-4AF5-B133-A3D2FF65E84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6681355" y="3040083"/>
              <a:ext cx="4282440" cy="484117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119743</xdr:colOff>
      <xdr:row>25</xdr:row>
      <xdr:rowOff>51261</xdr:rowOff>
    </xdr:from>
    <xdr:to>
      <xdr:col>17</xdr:col>
      <xdr:colOff>185056</xdr:colOff>
      <xdr:row>34</xdr:row>
      <xdr:rowOff>96982</xdr:rowOff>
    </xdr:to>
    <mc:AlternateContent xmlns:mc="http://schemas.openxmlformats.org/markup-compatibility/2006">
      <mc:Choice xmlns:cx4="http://schemas.microsoft.com/office/drawing/2016/5/10/chartex" Requires="cx4">
        <xdr:graphicFrame macro="">
          <xdr:nvGraphicFramePr>
            <xdr:cNvPr id="51" name="Chart 50">
              <a:extLst>
                <a:ext uri="{FF2B5EF4-FFF2-40B4-BE49-F238E27FC236}">
                  <a16:creationId xmlns:a16="http://schemas.microsoft.com/office/drawing/2014/main" id="{272F3D2C-D911-4EE2-AF90-CCC5A3F0A1B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9568543" y="4830090"/>
              <a:ext cx="1284513" cy="171123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484909</xdr:colOff>
      <xdr:row>15</xdr:row>
      <xdr:rowOff>47267</xdr:rowOff>
    </xdr:from>
    <xdr:to>
      <xdr:col>25</xdr:col>
      <xdr:colOff>55418</xdr:colOff>
      <xdr:row>28</xdr:row>
      <xdr:rowOff>148324</xdr:rowOff>
    </xdr:to>
    <xdr:graphicFrame macro="">
      <xdr:nvGraphicFramePr>
        <xdr:cNvPr id="57" name="Chart 56">
          <a:extLst>
            <a:ext uri="{FF2B5EF4-FFF2-40B4-BE49-F238E27FC236}">
              <a16:creationId xmlns:a16="http://schemas.microsoft.com/office/drawing/2014/main" id="{2D494A6A-DADE-4650-A0BC-74FE8EC945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415636</xdr:colOff>
      <xdr:row>29</xdr:row>
      <xdr:rowOff>27710</xdr:rowOff>
    </xdr:from>
    <xdr:to>
      <xdr:col>25</xdr:col>
      <xdr:colOff>0</xdr:colOff>
      <xdr:row>42</xdr:row>
      <xdr:rowOff>43543</xdr:rowOff>
    </xdr:to>
    <xdr:graphicFrame macro="">
      <xdr:nvGraphicFramePr>
        <xdr:cNvPr id="59" name="Chart 58">
          <a:extLst>
            <a:ext uri="{FF2B5EF4-FFF2-40B4-BE49-F238E27FC236}">
              <a16:creationId xmlns:a16="http://schemas.microsoft.com/office/drawing/2014/main" id="{C7D09761-8FB7-4975-8418-0E0B818E38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15240</xdr:colOff>
      <xdr:row>1</xdr:row>
      <xdr:rowOff>152400</xdr:rowOff>
    </xdr:from>
    <xdr:to>
      <xdr:col>1</xdr:col>
      <xdr:colOff>857922</xdr:colOff>
      <xdr:row>3</xdr:row>
      <xdr:rowOff>116542</xdr:rowOff>
    </xdr:to>
    <xdr:sp macro="" textlink="">
      <xdr:nvSpPr>
        <xdr:cNvPr id="63" name="TextBox 62">
          <a:extLst>
            <a:ext uri="{FF2B5EF4-FFF2-40B4-BE49-F238E27FC236}">
              <a16:creationId xmlns:a16="http://schemas.microsoft.com/office/drawing/2014/main" id="{48290C0D-7EE5-6852-FCD5-C94FDB87E14A}"/>
            </a:ext>
          </a:extLst>
        </xdr:cNvPr>
        <xdr:cNvSpPr txBox="1"/>
      </xdr:nvSpPr>
      <xdr:spPr>
        <a:xfrm>
          <a:off x="15240" y="331694"/>
          <a:ext cx="1004047" cy="3227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dk1"/>
              </a:solidFill>
              <a:effectLst/>
              <a:latin typeface="+mn-lt"/>
              <a:ea typeface="+mn-ea"/>
              <a:cs typeface="+mn-cs"/>
            </a:rPr>
            <a:t>🛒</a:t>
          </a:r>
          <a:r>
            <a:rPr lang="en-US" sz="1200" b="1">
              <a:solidFill>
                <a:schemeClr val="bg1"/>
              </a:solidFill>
              <a:effectLst/>
              <a:latin typeface="+mn-lt"/>
              <a:ea typeface="+mn-ea"/>
              <a:cs typeface="+mn-cs"/>
            </a:rPr>
            <a:t>Orders</a:t>
          </a:r>
          <a:endParaRPr lang="en-US" sz="1200" b="1">
            <a:solidFill>
              <a:schemeClr val="bg1"/>
            </a:solidFill>
            <a:effectLst/>
          </a:endParaRPr>
        </a:p>
        <a:p>
          <a:endParaRPr lang="en-US" sz="1100"/>
        </a:p>
      </xdr:txBody>
    </xdr:sp>
    <xdr:clientData/>
  </xdr:twoCellAnchor>
  <xdr:twoCellAnchor editAs="oneCell">
    <xdr:from>
      <xdr:col>0</xdr:col>
      <xdr:colOff>80683</xdr:colOff>
      <xdr:row>19</xdr:row>
      <xdr:rowOff>62752</xdr:rowOff>
    </xdr:from>
    <xdr:to>
      <xdr:col>1</xdr:col>
      <xdr:colOff>1649506</xdr:colOff>
      <xdr:row>29</xdr:row>
      <xdr:rowOff>98612</xdr:rowOff>
    </xdr:to>
    <mc:AlternateContent xmlns:mc="http://schemas.openxmlformats.org/markup-compatibility/2006">
      <mc:Choice xmlns:a14="http://schemas.microsoft.com/office/drawing/2010/main" Requires="a14">
        <xdr:graphicFrame macro="">
          <xdr:nvGraphicFramePr>
            <xdr:cNvPr id="64" name="Order Mode">
              <a:extLst>
                <a:ext uri="{FF2B5EF4-FFF2-40B4-BE49-F238E27FC236}">
                  <a16:creationId xmlns:a16="http://schemas.microsoft.com/office/drawing/2014/main" id="{CBEDCB2B-B963-4C4B-84AD-A3B3991EA9E7}"/>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dr:sp macro="" textlink="">
          <xdr:nvSpPr>
            <xdr:cNvPr id="0" name=""/>
            <xdr:cNvSpPr>
              <a:spLocks noTextEdit="1"/>
            </xdr:cNvSpPr>
          </xdr:nvSpPr>
          <xdr:spPr>
            <a:xfrm>
              <a:off x="80683" y="3731238"/>
              <a:ext cx="1732109" cy="18864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90461</xdr:colOff>
      <xdr:row>30</xdr:row>
      <xdr:rowOff>30521</xdr:rowOff>
    </xdr:from>
    <xdr:to>
      <xdr:col>1</xdr:col>
      <xdr:colOff>1676400</xdr:colOff>
      <xdr:row>39</xdr:row>
      <xdr:rowOff>124690</xdr:rowOff>
    </xdr:to>
    <mc:AlternateContent xmlns:mc="http://schemas.openxmlformats.org/markup-compatibility/2006">
      <mc:Choice xmlns:a14="http://schemas.microsoft.com/office/drawing/2010/main" Requires="a14">
        <xdr:graphicFrame macro="">
          <xdr:nvGraphicFramePr>
            <xdr:cNvPr id="65" name="Gender Value">
              <a:extLst>
                <a:ext uri="{FF2B5EF4-FFF2-40B4-BE49-F238E27FC236}">
                  <a16:creationId xmlns:a16="http://schemas.microsoft.com/office/drawing/2014/main" id="{E28B651F-8F7E-427C-8E15-B8B94D30152B}"/>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dr:sp macro="" textlink="">
          <xdr:nvSpPr>
            <xdr:cNvPr id="0" name=""/>
            <xdr:cNvSpPr>
              <a:spLocks noTextEdit="1"/>
            </xdr:cNvSpPr>
          </xdr:nvSpPr>
          <xdr:spPr>
            <a:xfrm>
              <a:off x="90461" y="5734635"/>
              <a:ext cx="1749225" cy="17596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239486</xdr:colOff>
      <xdr:row>1</xdr:row>
      <xdr:rowOff>54429</xdr:rowOff>
    </xdr:from>
    <xdr:to>
      <xdr:col>16</xdr:col>
      <xdr:colOff>0</xdr:colOff>
      <xdr:row>2</xdr:row>
      <xdr:rowOff>119743</xdr:rowOff>
    </xdr:to>
    <xdr:sp macro="" textlink="">
      <xdr:nvSpPr>
        <xdr:cNvPr id="67" name="TextBox 66">
          <a:extLst>
            <a:ext uri="{FF2B5EF4-FFF2-40B4-BE49-F238E27FC236}">
              <a16:creationId xmlns:a16="http://schemas.microsoft.com/office/drawing/2014/main" id="{F6E9607F-5A4C-F938-65F6-CD53F04EED90}"/>
            </a:ext>
          </a:extLst>
        </xdr:cNvPr>
        <xdr:cNvSpPr txBox="1"/>
      </xdr:nvSpPr>
      <xdr:spPr>
        <a:xfrm>
          <a:off x="6640286" y="239486"/>
          <a:ext cx="3418114" cy="25037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tx1"/>
              </a:solidFill>
            </a:rPr>
            <a:t>How they like to Buy?</a:t>
          </a:r>
        </a:p>
      </xdr:txBody>
    </xdr:sp>
    <xdr:clientData/>
  </xdr:twoCellAnchor>
  <xdr:twoCellAnchor>
    <xdr:from>
      <xdr:col>3</xdr:col>
      <xdr:colOff>381000</xdr:colOff>
      <xdr:row>16</xdr:row>
      <xdr:rowOff>21771</xdr:rowOff>
    </xdr:from>
    <xdr:to>
      <xdr:col>9</xdr:col>
      <xdr:colOff>315686</xdr:colOff>
      <xdr:row>17</xdr:row>
      <xdr:rowOff>76201</xdr:rowOff>
    </xdr:to>
    <xdr:sp macro="" textlink="">
      <xdr:nvSpPr>
        <xdr:cNvPr id="68" name="TextBox 67">
          <a:extLst>
            <a:ext uri="{FF2B5EF4-FFF2-40B4-BE49-F238E27FC236}">
              <a16:creationId xmlns:a16="http://schemas.microsoft.com/office/drawing/2014/main" id="{358BFB9F-07A3-A27F-3309-936F76DA4104}"/>
            </a:ext>
          </a:extLst>
        </xdr:cNvPr>
        <xdr:cNvSpPr txBox="1"/>
      </xdr:nvSpPr>
      <xdr:spPr>
        <a:xfrm>
          <a:off x="2514600" y="3048000"/>
          <a:ext cx="3592286" cy="239487"/>
        </a:xfrm>
        <a:prstGeom prst="rect">
          <a:avLst/>
        </a:prstGeom>
        <a:solidFill>
          <a:srgbClr val="B9FFD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ysClr val="windowText" lastClr="000000"/>
              </a:solidFill>
            </a:rPr>
            <a:t>Which Products are Popular? Breakdown by Gender?</a:t>
          </a:r>
        </a:p>
      </xdr:txBody>
    </xdr:sp>
    <xdr:clientData/>
  </xdr:twoCellAnchor>
  <xdr:twoCellAnchor>
    <xdr:from>
      <xdr:col>18</xdr:col>
      <xdr:colOff>370114</xdr:colOff>
      <xdr:row>29</xdr:row>
      <xdr:rowOff>141515</xdr:rowOff>
    </xdr:from>
    <xdr:to>
      <xdr:col>24</xdr:col>
      <xdr:colOff>272143</xdr:colOff>
      <xdr:row>30</xdr:row>
      <xdr:rowOff>174171</xdr:rowOff>
    </xdr:to>
    <xdr:sp macro="" textlink="">
      <xdr:nvSpPr>
        <xdr:cNvPr id="69" name="TextBox 68">
          <a:extLst>
            <a:ext uri="{FF2B5EF4-FFF2-40B4-BE49-F238E27FC236}">
              <a16:creationId xmlns:a16="http://schemas.microsoft.com/office/drawing/2014/main" id="{9028C7CB-822A-DE92-E64A-8B280DA66EFF}"/>
            </a:ext>
          </a:extLst>
        </xdr:cNvPr>
        <xdr:cNvSpPr txBox="1"/>
      </xdr:nvSpPr>
      <xdr:spPr>
        <a:xfrm>
          <a:off x="11647714" y="5573486"/>
          <a:ext cx="3559629" cy="217714"/>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ysClr val="windowText" lastClr="000000"/>
              </a:solidFill>
            </a:rPr>
            <a:t>How Satisfied our Customers?</a:t>
          </a:r>
        </a:p>
      </xdr:txBody>
    </xdr:sp>
    <xdr:clientData/>
  </xdr:twoCellAnchor>
</xdr:wsDr>
</file>

<file path=xl/drawings/drawing2.xml><?xml version="1.0" encoding="utf-8"?>
<c:userShapes xmlns:c="http://schemas.openxmlformats.org/drawingml/2006/chart">
  <cdr:relSizeAnchor xmlns:cdr="http://schemas.openxmlformats.org/drawingml/2006/chartDrawing">
    <cdr:from>
      <cdr:x>0.08845</cdr:x>
      <cdr:y>0.07945</cdr:y>
    </cdr:from>
    <cdr:to>
      <cdr:x>0.92638</cdr:x>
      <cdr:y>0.16416</cdr:y>
    </cdr:to>
    <cdr:sp macro="" textlink="">
      <cdr:nvSpPr>
        <cdr:cNvPr id="2" name="TextBox 1">
          <a:extLst xmlns:a="http://schemas.openxmlformats.org/drawingml/2006/main">
            <a:ext uri="{FF2B5EF4-FFF2-40B4-BE49-F238E27FC236}">
              <a16:creationId xmlns:a16="http://schemas.microsoft.com/office/drawing/2014/main" id="{C6975809-86D7-7C57-67DD-6BB5B221099D}"/>
            </a:ext>
          </a:extLst>
        </cdr:cNvPr>
        <cdr:cNvSpPr txBox="1"/>
      </cdr:nvSpPr>
      <cdr:spPr>
        <a:xfrm xmlns:a="http://schemas.openxmlformats.org/drawingml/2006/main">
          <a:off x="342406" y="224641"/>
          <a:ext cx="3243943" cy="239486"/>
        </a:xfrm>
        <a:prstGeom xmlns:a="http://schemas.openxmlformats.org/drawingml/2006/main" prst="rect">
          <a:avLst/>
        </a:prstGeom>
        <a:solidFill xmlns:a="http://schemas.openxmlformats.org/drawingml/2006/main">
          <a:schemeClr val="bg1"/>
        </a:solidFill>
      </cdr:spPr>
      <cdr:txBody>
        <a:bodyPr xmlns:a="http://schemas.openxmlformats.org/drawingml/2006/main" vertOverflow="clip" wrap="square" rtlCol="0"/>
        <a:lstStyle xmlns:a="http://schemas.openxmlformats.org/drawingml/2006/main"/>
        <a:p xmlns:a="http://schemas.openxmlformats.org/drawingml/2006/main">
          <a:pPr algn="ctr"/>
          <a:r>
            <a:rPr lang="en-US" sz="1200" b="1" kern="1200">
              <a:solidFill>
                <a:schemeClr val="tx1"/>
              </a:solidFill>
            </a:rPr>
            <a:t>Last 13 Week Trends</a:t>
          </a:r>
          <a:r>
            <a:rPr lang="en-US" sz="1200" b="1" kern="1200" baseline="0">
              <a:solidFill>
                <a:schemeClr val="tx1"/>
              </a:solidFill>
            </a:rPr>
            <a:t> - Qty &amp; Amount</a:t>
          </a:r>
          <a:endParaRPr lang="en-US" sz="1200" b="1" kern="1200">
            <a:solidFill>
              <a:schemeClr val="tx1"/>
            </a:solidFill>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0.36181</cdr:x>
      <cdr:y>0.02006</cdr:y>
    </cdr:from>
    <cdr:to>
      <cdr:x>0.90775</cdr:x>
      <cdr:y>0.17651</cdr:y>
    </cdr:to>
    <cdr:sp macro="" textlink="">
      <cdr:nvSpPr>
        <cdr:cNvPr id="2" name="TextBox 1">
          <a:extLst xmlns:a="http://schemas.openxmlformats.org/drawingml/2006/main">
            <a:ext uri="{FF2B5EF4-FFF2-40B4-BE49-F238E27FC236}">
              <a16:creationId xmlns:a16="http://schemas.microsoft.com/office/drawing/2014/main" id="{D0204E57-0881-F609-309B-014E79B55936}"/>
            </a:ext>
          </a:extLst>
        </cdr:cNvPr>
        <cdr:cNvSpPr txBox="1"/>
      </cdr:nvSpPr>
      <cdr:spPr>
        <a:xfrm xmlns:a="http://schemas.openxmlformats.org/drawingml/2006/main">
          <a:off x="1839686" y="54428"/>
          <a:ext cx="2775857" cy="424544"/>
        </a:xfrm>
        <a:prstGeom xmlns:a="http://schemas.openxmlformats.org/drawingml/2006/main" prst="rect">
          <a:avLst/>
        </a:prstGeom>
        <a:solidFill xmlns:a="http://schemas.openxmlformats.org/drawingml/2006/main">
          <a:schemeClr val="bg1"/>
        </a:solidFill>
      </cdr:spPr>
      <cdr:txBody>
        <a:bodyPr xmlns:a="http://schemas.openxmlformats.org/drawingml/2006/main" vertOverflow="clip" wrap="square" rtlCol="0"/>
        <a:lstStyle xmlns:a="http://schemas.openxmlformats.org/drawingml/2006/main"/>
        <a:p xmlns:a="http://schemas.openxmlformats.org/drawingml/2006/main">
          <a:pPr marL="0" marR="0" lvl="0" indent="0" algn="ctr" defTabSz="914400" rtl="0" eaLnBrk="1" fontAlgn="auto" latinLnBrk="0" hangingPunct="1">
            <a:lnSpc>
              <a:spcPct val="100000"/>
            </a:lnSpc>
            <a:spcBef>
              <a:spcPts val="0"/>
            </a:spcBef>
            <a:spcAft>
              <a:spcPts val="0"/>
            </a:spcAft>
            <a:buClrTx/>
            <a:buSzTx/>
            <a:buFontTx/>
            <a:buNone/>
            <a:tabLst/>
            <a:defRPr/>
          </a:pPr>
          <a:r>
            <a:rPr lang="en-US" sz="1200" b="1" i="0" baseline="0">
              <a:effectLst/>
              <a:latin typeface="+mn-lt"/>
              <a:ea typeface="+mn-ea"/>
              <a:cs typeface="+mn-cs"/>
            </a:rPr>
            <a:t>How long we take to ship?</a:t>
          </a:r>
          <a:endParaRPr lang="en-US" sz="1200" b="1">
            <a:effectLst/>
          </a:endParaRPr>
        </a:p>
        <a:p xmlns:a="http://schemas.openxmlformats.org/drawingml/2006/main">
          <a:pPr algn="ctr"/>
          <a:endParaRPr lang="en-US" sz="1100"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wmya" refreshedDate="46051.354448379629" createdVersion="8" refreshedVersion="8" minRefreshableVersion="3" recordCount="2400" xr:uid="{DA4C0EFA-DDD8-46B0-9ED3-FA4F1632A702}">
  <cacheSource type="worksheet">
    <worksheetSource name="orders"/>
  </cacheSource>
  <cacheFields count="18">
    <cacheField name="TX ID" numFmtId="0">
      <sharedItems count="2400">
        <s v="TX500001"/>
        <s v="TX500002"/>
        <s v="TX500003"/>
        <s v="TX500004"/>
        <s v="TX500005"/>
        <s v="TX500006"/>
        <s v="TX500007"/>
        <s v="TX500008"/>
        <s v="TX500009"/>
        <s v="TX500010"/>
        <s v="TX500011"/>
        <s v="TX500012"/>
        <s v="TX500013"/>
        <s v="TX500014"/>
        <s v="TX500015"/>
        <s v="TX500016"/>
        <s v="TX500017"/>
        <s v="TX500018"/>
        <s v="TX500019"/>
        <s v="TX500020"/>
        <s v="TX500021"/>
        <s v="TX500022"/>
        <s v="TX500023"/>
        <s v="TX500024"/>
        <s v="TX500025"/>
        <s v="TX500026"/>
        <s v="TX500027"/>
        <s v="TX500028"/>
        <s v="TX500029"/>
        <s v="TX500030"/>
        <s v="TX500031"/>
        <s v="TX500032"/>
        <s v="TX500033"/>
        <s v="TX500034"/>
        <s v="TX500035"/>
        <s v="TX500036"/>
        <s v="TX500037"/>
        <s v="TX500038"/>
        <s v="TX500039"/>
        <s v="TX500040"/>
        <s v="TX500041"/>
        <s v="TX500042"/>
        <s v="TX500043"/>
        <s v="TX500044"/>
        <s v="TX500045"/>
        <s v="TX500046"/>
        <s v="TX500047"/>
        <s v="TX500048"/>
        <s v="TX500049"/>
        <s v="TX500050"/>
        <s v="TX500051"/>
        <s v="TX500052"/>
        <s v="TX500053"/>
        <s v="TX500054"/>
        <s v="TX500055"/>
        <s v="TX500056"/>
        <s v="TX500057"/>
        <s v="TX500058"/>
        <s v="TX500059"/>
        <s v="TX500060"/>
        <s v="TX500061"/>
        <s v="TX500062"/>
        <s v="TX500063"/>
        <s v="TX500064"/>
        <s v="TX500065"/>
        <s v="TX500066"/>
        <s v="TX500067"/>
        <s v="TX500068"/>
        <s v="TX500069"/>
        <s v="TX500070"/>
        <s v="TX500071"/>
        <s v="TX500072"/>
        <s v="TX500073"/>
        <s v="TX500074"/>
        <s v="TX500075"/>
        <s v="TX500076"/>
        <s v="TX500077"/>
        <s v="TX500078"/>
        <s v="TX500079"/>
        <s v="TX500080"/>
        <s v="TX500081"/>
        <s v="TX500082"/>
        <s v="TX500083"/>
        <s v="TX500084"/>
        <s v="TX500085"/>
        <s v="TX500086"/>
        <s v="TX500087"/>
        <s v="TX500088"/>
        <s v="TX500089"/>
        <s v="TX500090"/>
        <s v="TX500091"/>
        <s v="TX500092"/>
        <s v="TX500093"/>
        <s v="TX500094"/>
        <s v="TX500095"/>
        <s v="TX500096"/>
        <s v="TX500097"/>
        <s v="TX500098"/>
        <s v="TX500099"/>
        <s v="TX500100"/>
        <s v="TX500101"/>
        <s v="TX500102"/>
        <s v="TX500103"/>
        <s v="TX500104"/>
        <s v="TX500105"/>
        <s v="TX500106"/>
        <s v="TX500107"/>
        <s v="TX500108"/>
        <s v="TX500109"/>
        <s v="TX500110"/>
        <s v="TX500111"/>
        <s v="TX500112"/>
        <s v="TX500113"/>
        <s v="TX500114"/>
        <s v="TX500115"/>
        <s v="TX500116"/>
        <s v="TX500117"/>
        <s v="TX500118"/>
        <s v="TX500119"/>
        <s v="TX500120"/>
        <s v="TX500121"/>
        <s v="TX500122"/>
        <s v="TX500123"/>
        <s v="TX500124"/>
        <s v="TX500125"/>
        <s v="TX500126"/>
        <s v="TX500127"/>
        <s v="TX500128"/>
        <s v="TX500129"/>
        <s v="TX500130"/>
        <s v="TX500131"/>
        <s v="TX500132"/>
        <s v="TX500133"/>
        <s v="TX500134"/>
        <s v="TX500135"/>
        <s v="TX500136"/>
        <s v="TX500137"/>
        <s v="TX500138"/>
        <s v="TX500139"/>
        <s v="TX500140"/>
        <s v="TX500141"/>
        <s v="TX500142"/>
        <s v="TX500143"/>
        <s v="TX500144"/>
        <s v="TX500145"/>
        <s v="TX500146"/>
        <s v="TX500147"/>
        <s v="TX500148"/>
        <s v="TX500149"/>
        <s v="TX500150"/>
        <s v="TX500151"/>
        <s v="TX500152"/>
        <s v="TX500153"/>
        <s v="TX500154"/>
        <s v="TX500155"/>
        <s v="TX500156"/>
        <s v="TX500157"/>
        <s v="TX500158"/>
        <s v="TX500159"/>
        <s v="TX500160"/>
        <s v="TX500161"/>
        <s v="TX500162"/>
        <s v="TX500163"/>
        <s v="TX500164"/>
        <s v="TX500165"/>
        <s v="TX500166"/>
        <s v="TX500167"/>
        <s v="TX500168"/>
        <s v="TX500169"/>
        <s v="TX500170"/>
        <s v="TX500171"/>
        <s v="TX500172"/>
        <s v="TX500173"/>
        <s v="TX500174"/>
        <s v="TX500175"/>
        <s v="TX500176"/>
        <s v="TX500177"/>
        <s v="TX500178"/>
        <s v="TX500179"/>
        <s v="TX500180"/>
        <s v="TX500181"/>
        <s v="TX500182"/>
        <s v="TX500183"/>
        <s v="TX500184"/>
        <s v="TX500185"/>
        <s v="TX500186"/>
        <s v="TX500187"/>
        <s v="TX500188"/>
        <s v="TX500189"/>
        <s v="TX500190"/>
        <s v="TX500191"/>
        <s v="TX500192"/>
        <s v="TX500193"/>
        <s v="TX500194"/>
        <s v="TX500195"/>
        <s v="TX500196"/>
        <s v="TX500197"/>
        <s v="TX500198"/>
        <s v="TX500199"/>
        <s v="TX500200"/>
        <s v="TX500201"/>
        <s v="TX500202"/>
        <s v="TX500203"/>
        <s v="TX500204"/>
        <s v="TX500205"/>
        <s v="TX500206"/>
        <s v="TX500207"/>
        <s v="TX500208"/>
        <s v="TX500209"/>
        <s v="TX500210"/>
        <s v="TX500211"/>
        <s v="TX500212"/>
        <s v="TX500213"/>
        <s v="TX500214"/>
        <s v="TX500215"/>
        <s v="TX500216"/>
        <s v="TX500217"/>
        <s v="TX500218"/>
        <s v="TX500219"/>
        <s v="TX500220"/>
        <s v="TX500221"/>
        <s v="TX500222"/>
        <s v="TX500223"/>
        <s v="TX500224"/>
        <s v="TX500225"/>
        <s v="TX500226"/>
        <s v="TX500227"/>
        <s v="TX500228"/>
        <s v="TX500229"/>
        <s v="TX500230"/>
        <s v="TX500231"/>
        <s v="TX500232"/>
        <s v="TX500233"/>
        <s v="TX500234"/>
        <s v="TX500235"/>
        <s v="TX500236"/>
        <s v="TX500237"/>
        <s v="TX500238"/>
        <s v="TX500239"/>
        <s v="TX500240"/>
        <s v="TX500241"/>
        <s v="TX500242"/>
        <s v="TX500243"/>
        <s v="TX500244"/>
        <s v="TX500245"/>
        <s v="TX500246"/>
        <s v="TX500247"/>
        <s v="TX500248"/>
        <s v="TX500249"/>
        <s v="TX500250"/>
        <s v="TX500251"/>
        <s v="TX500252"/>
        <s v="TX500253"/>
        <s v="TX500254"/>
        <s v="TX500255"/>
        <s v="TX500256"/>
        <s v="TX500257"/>
        <s v="TX500258"/>
        <s v="TX500259"/>
        <s v="TX500260"/>
        <s v="TX500261"/>
        <s v="TX500262"/>
        <s v="TX500263"/>
        <s v="TX500264"/>
        <s v="TX500265"/>
        <s v="TX500266"/>
        <s v="TX500267"/>
        <s v="TX500268"/>
        <s v="TX500269"/>
        <s v="TX500270"/>
        <s v="TX500271"/>
        <s v="TX500272"/>
        <s v="TX500273"/>
        <s v="TX500274"/>
        <s v="TX500275"/>
        <s v="TX500276"/>
        <s v="TX500277"/>
        <s v="TX500278"/>
        <s v="TX500279"/>
        <s v="TX500280"/>
        <s v="TX500281"/>
        <s v="TX500282"/>
        <s v="TX500283"/>
        <s v="TX500284"/>
        <s v="TX500285"/>
        <s v="TX500286"/>
        <s v="TX500287"/>
        <s v="TX500288"/>
        <s v="TX500289"/>
        <s v="TX500290"/>
        <s v="TX500291"/>
        <s v="TX500292"/>
        <s v="TX500293"/>
        <s v="TX500294"/>
        <s v="TX500295"/>
        <s v="TX500296"/>
        <s v="TX500297"/>
        <s v="TX500298"/>
        <s v="TX500299"/>
        <s v="TX500300"/>
        <s v="TX500301"/>
        <s v="TX500302"/>
        <s v="TX500303"/>
        <s v="TX500304"/>
        <s v="TX500305"/>
        <s v="TX500306"/>
        <s v="TX500307"/>
        <s v="TX500308"/>
        <s v="TX500309"/>
        <s v="TX500310"/>
        <s v="TX500311"/>
        <s v="TX500312"/>
        <s v="TX500313"/>
        <s v="TX500314"/>
        <s v="TX500315"/>
        <s v="TX500316"/>
        <s v="TX500317"/>
        <s v="TX500318"/>
        <s v="TX500319"/>
        <s v="TX500320"/>
        <s v="TX500321"/>
        <s v="TX500322"/>
        <s v="TX500323"/>
        <s v="TX500324"/>
        <s v="TX500325"/>
        <s v="TX500326"/>
        <s v="TX500327"/>
        <s v="TX500328"/>
        <s v="TX500329"/>
        <s v="TX500330"/>
        <s v="TX500331"/>
        <s v="TX500332"/>
        <s v="TX500333"/>
        <s v="TX500334"/>
        <s v="TX500335"/>
        <s v="TX500336"/>
        <s v="TX500337"/>
        <s v="TX500338"/>
        <s v="TX500339"/>
        <s v="TX500340"/>
        <s v="TX500341"/>
        <s v="TX500342"/>
        <s v="TX500343"/>
        <s v="TX500344"/>
        <s v="TX500345"/>
        <s v="TX500346"/>
        <s v="TX500347"/>
        <s v="TX500348"/>
        <s v="TX500349"/>
        <s v="TX500350"/>
        <s v="TX500351"/>
        <s v="TX500352"/>
        <s v="TX500353"/>
        <s v="TX500354"/>
        <s v="TX500355"/>
        <s v="TX500356"/>
        <s v="TX500357"/>
        <s v="TX500358"/>
        <s v="TX500359"/>
        <s v="TX500360"/>
        <s v="TX500361"/>
        <s v="TX500362"/>
        <s v="TX500363"/>
        <s v="TX500364"/>
        <s v="TX500365"/>
        <s v="TX500366"/>
        <s v="TX500367"/>
        <s v="TX500368"/>
        <s v="TX500369"/>
        <s v="TX500370"/>
        <s v="TX500371"/>
        <s v="TX500372"/>
        <s v="TX500373"/>
        <s v="TX500374"/>
        <s v="TX500375"/>
        <s v="TX500376"/>
        <s v="TX500377"/>
        <s v="TX500378"/>
        <s v="TX500379"/>
        <s v="TX500380"/>
        <s v="TX500381"/>
        <s v="TX500382"/>
        <s v="TX500383"/>
        <s v="TX500384"/>
        <s v="TX500385"/>
        <s v="TX500386"/>
        <s v="TX500387"/>
        <s v="TX500388"/>
        <s v="TX500389"/>
        <s v="TX500390"/>
        <s v="TX500391"/>
        <s v="TX500392"/>
        <s v="TX500393"/>
        <s v="TX500394"/>
        <s v="TX500395"/>
        <s v="TX500396"/>
        <s v="TX500397"/>
        <s v="TX500398"/>
        <s v="TX500399"/>
        <s v="TX500400"/>
        <s v="TX500401"/>
        <s v="TX500402"/>
        <s v="TX500403"/>
        <s v="TX500404"/>
        <s v="TX500405"/>
        <s v="TX500406"/>
        <s v="TX500407"/>
        <s v="TX500408"/>
        <s v="TX500409"/>
        <s v="TX500410"/>
        <s v="TX500411"/>
        <s v="TX500412"/>
        <s v="TX500413"/>
        <s v="TX500414"/>
        <s v="TX500415"/>
        <s v="TX500416"/>
        <s v="TX500417"/>
        <s v="TX500418"/>
        <s v="TX500419"/>
        <s v="TX500420"/>
        <s v="TX500421"/>
        <s v="TX500422"/>
        <s v="TX500423"/>
        <s v="TX500424"/>
        <s v="TX500425"/>
        <s v="TX500426"/>
        <s v="TX500427"/>
        <s v="TX500428"/>
        <s v="TX500429"/>
        <s v="TX500430"/>
        <s v="TX500431"/>
        <s v="TX500432"/>
        <s v="TX500433"/>
        <s v="TX500434"/>
        <s v="TX500435"/>
        <s v="TX500436"/>
        <s v="TX500437"/>
        <s v="TX500438"/>
        <s v="TX500439"/>
        <s v="TX500440"/>
        <s v="TX500441"/>
        <s v="TX500442"/>
        <s v="TX500443"/>
        <s v="TX500444"/>
        <s v="TX500445"/>
        <s v="TX500446"/>
        <s v="TX500447"/>
        <s v="TX500448"/>
        <s v="TX500449"/>
        <s v="TX500450"/>
        <s v="TX500451"/>
        <s v="TX500452"/>
        <s v="TX500453"/>
        <s v="TX500454"/>
        <s v="TX500455"/>
        <s v="TX500456"/>
        <s v="TX500457"/>
        <s v="TX500458"/>
        <s v="TX500459"/>
        <s v="TX500460"/>
        <s v="TX500461"/>
        <s v="TX500462"/>
        <s v="TX500463"/>
        <s v="TX500464"/>
        <s v="TX500465"/>
        <s v="TX500466"/>
        <s v="TX500467"/>
        <s v="TX500468"/>
        <s v="TX500469"/>
        <s v="TX500470"/>
        <s v="TX500471"/>
        <s v="TX500472"/>
        <s v="TX500473"/>
        <s v="TX500474"/>
        <s v="TX500475"/>
        <s v="TX500476"/>
        <s v="TX500477"/>
        <s v="TX500478"/>
        <s v="TX500479"/>
        <s v="TX500480"/>
        <s v="TX500481"/>
        <s v="TX500482"/>
        <s v="TX500483"/>
        <s v="TX500484"/>
        <s v="TX500485"/>
        <s v="TX500486"/>
        <s v="TX500487"/>
        <s v="TX500488"/>
        <s v="TX500489"/>
        <s v="TX500490"/>
        <s v="TX500491"/>
        <s v="TX500492"/>
        <s v="TX500493"/>
        <s v="TX500494"/>
        <s v="TX500495"/>
        <s v="TX500496"/>
        <s v="TX500497"/>
        <s v="TX500498"/>
        <s v="TX500499"/>
        <s v="TX500500"/>
        <s v="TX500501"/>
        <s v="TX500502"/>
        <s v="TX500503"/>
        <s v="TX500504"/>
        <s v="TX500505"/>
        <s v="TX500506"/>
        <s v="TX500507"/>
        <s v="TX500508"/>
        <s v="TX500509"/>
        <s v="TX500510"/>
        <s v="TX500511"/>
        <s v="TX500512"/>
        <s v="TX500513"/>
        <s v="TX500514"/>
        <s v="TX500515"/>
        <s v="TX500516"/>
        <s v="TX500517"/>
        <s v="TX500518"/>
        <s v="TX500519"/>
        <s v="TX500520"/>
        <s v="TX500521"/>
        <s v="TX500522"/>
        <s v="TX500523"/>
        <s v="TX500524"/>
        <s v="TX500525"/>
        <s v="TX500526"/>
        <s v="TX500527"/>
        <s v="TX500528"/>
        <s v="TX500529"/>
        <s v="TX500530"/>
        <s v="TX500531"/>
        <s v="TX500532"/>
        <s v="TX500533"/>
        <s v="TX500534"/>
        <s v="TX500535"/>
        <s v="TX500536"/>
        <s v="TX500537"/>
        <s v="TX500538"/>
        <s v="TX500539"/>
        <s v="TX500540"/>
        <s v="TX500541"/>
        <s v="TX500542"/>
        <s v="TX500543"/>
        <s v="TX500544"/>
        <s v="TX500545"/>
        <s v="TX500546"/>
        <s v="TX500547"/>
        <s v="TX500548"/>
        <s v="TX500549"/>
        <s v="TX500550"/>
        <s v="TX500551"/>
        <s v="TX500552"/>
        <s v="TX500553"/>
        <s v="TX500554"/>
        <s v="TX500555"/>
        <s v="TX500556"/>
        <s v="TX500557"/>
        <s v="TX500558"/>
        <s v="TX500559"/>
        <s v="TX500560"/>
        <s v="TX500561"/>
        <s v="TX500562"/>
        <s v="TX500563"/>
        <s v="TX500564"/>
        <s v="TX500565"/>
        <s v="TX500566"/>
        <s v="TX500567"/>
        <s v="TX500568"/>
        <s v="TX500569"/>
        <s v="TX500570"/>
        <s v="TX500571"/>
        <s v="TX500572"/>
        <s v="TX500573"/>
        <s v="TX500574"/>
        <s v="TX500575"/>
        <s v="TX500576"/>
        <s v="TX500577"/>
        <s v="TX500578"/>
        <s v="TX500579"/>
        <s v="TX500580"/>
        <s v="TX500581"/>
        <s v="TX500582"/>
        <s v="TX500583"/>
        <s v="TX500584"/>
        <s v="TX500585"/>
        <s v="TX500586"/>
        <s v="TX500587"/>
        <s v="TX500588"/>
        <s v="TX500589"/>
        <s v="TX500590"/>
        <s v="TX500591"/>
        <s v="TX500592"/>
        <s v="TX500593"/>
        <s v="TX500594"/>
        <s v="TX500595"/>
        <s v="TX500596"/>
        <s v="TX500597"/>
        <s v="TX500598"/>
        <s v="TX500599"/>
        <s v="TX500600"/>
        <s v="TX500601"/>
        <s v="TX500602"/>
        <s v="TX500603"/>
        <s v="TX500604"/>
        <s v="TX500605"/>
        <s v="TX500606"/>
        <s v="TX500607"/>
        <s v="TX500608"/>
        <s v="TX500609"/>
        <s v="TX500610"/>
        <s v="TX500611"/>
        <s v="TX500612"/>
        <s v="TX500613"/>
        <s v="TX500614"/>
        <s v="TX500615"/>
        <s v="TX500616"/>
        <s v="TX500617"/>
        <s v="TX500618"/>
        <s v="TX500619"/>
        <s v="TX500620"/>
        <s v="TX500621"/>
        <s v="TX500622"/>
        <s v="TX500623"/>
        <s v="TX500624"/>
        <s v="TX500625"/>
        <s v="TX500626"/>
        <s v="TX500627"/>
        <s v="TX500628"/>
        <s v="TX500629"/>
        <s v="TX500630"/>
        <s v="TX500631"/>
        <s v="TX500632"/>
        <s v="TX500633"/>
        <s v="TX500634"/>
        <s v="TX500635"/>
        <s v="TX500636"/>
        <s v="TX500637"/>
        <s v="TX500638"/>
        <s v="TX500639"/>
        <s v="TX500640"/>
        <s v="TX500641"/>
        <s v="TX500642"/>
        <s v="TX500643"/>
        <s v="TX500644"/>
        <s v="TX500645"/>
        <s v="TX500646"/>
        <s v="TX500647"/>
        <s v="TX500648"/>
        <s v="TX500649"/>
        <s v="TX500650"/>
        <s v="TX500651"/>
        <s v="TX500652"/>
        <s v="TX500653"/>
        <s v="TX500654"/>
        <s v="TX500655"/>
        <s v="TX500656"/>
        <s v="TX500657"/>
        <s v="TX500658"/>
        <s v="TX500659"/>
        <s v="TX500660"/>
        <s v="TX500661"/>
        <s v="TX500662"/>
        <s v="TX500663"/>
        <s v="TX500664"/>
        <s v="TX500665"/>
        <s v="TX500666"/>
        <s v="TX500667"/>
        <s v="TX500668"/>
        <s v="TX500669"/>
        <s v="TX500670"/>
        <s v="TX500671"/>
        <s v="TX500672"/>
        <s v="TX500673"/>
        <s v="TX500674"/>
        <s v="TX500675"/>
        <s v="TX500676"/>
        <s v="TX500677"/>
        <s v="TX500678"/>
        <s v="TX500679"/>
        <s v="TX500680"/>
        <s v="TX500681"/>
        <s v="TX500682"/>
        <s v="TX500683"/>
        <s v="TX500684"/>
        <s v="TX500685"/>
        <s v="TX500686"/>
        <s v="TX500687"/>
        <s v="TX500688"/>
        <s v="TX500689"/>
        <s v="TX500690"/>
        <s v="TX500691"/>
        <s v="TX500692"/>
        <s v="TX500693"/>
        <s v="TX500694"/>
        <s v="TX500695"/>
        <s v="TX500696"/>
        <s v="TX500697"/>
        <s v="TX500698"/>
        <s v="TX500699"/>
        <s v="TX500700"/>
        <s v="TX500701"/>
        <s v="TX500702"/>
        <s v="TX500703"/>
        <s v="TX500704"/>
        <s v="TX500705"/>
        <s v="TX500706"/>
        <s v="TX500707"/>
        <s v="TX500708"/>
        <s v="TX500709"/>
        <s v="TX500710"/>
        <s v="TX500711"/>
        <s v="TX500712"/>
        <s v="TX500713"/>
        <s v="TX500714"/>
        <s v="TX500715"/>
        <s v="TX500716"/>
        <s v="TX500717"/>
        <s v="TX500718"/>
        <s v="TX500719"/>
        <s v="TX500720"/>
        <s v="TX500721"/>
        <s v="TX500722"/>
        <s v="TX500723"/>
        <s v="TX500724"/>
        <s v="TX500725"/>
        <s v="TX500726"/>
        <s v="TX500727"/>
        <s v="TX500728"/>
        <s v="TX500729"/>
        <s v="TX500730"/>
        <s v="TX500731"/>
        <s v="TX500732"/>
        <s v="TX500733"/>
        <s v="TX500734"/>
        <s v="TX500735"/>
        <s v="TX500736"/>
        <s v="TX500737"/>
        <s v="TX500738"/>
        <s v="TX500739"/>
        <s v="TX500740"/>
        <s v="TX500741"/>
        <s v="TX500742"/>
        <s v="TX500743"/>
        <s v="TX500744"/>
        <s v="TX500745"/>
        <s v="TX500746"/>
        <s v="TX500747"/>
        <s v="TX500748"/>
        <s v="TX500749"/>
        <s v="TX500750"/>
        <s v="TX500751"/>
        <s v="TX500752"/>
        <s v="TX500753"/>
        <s v="TX500754"/>
        <s v="TX500755"/>
        <s v="TX500756"/>
        <s v="TX500757"/>
        <s v="TX500758"/>
        <s v="TX500759"/>
        <s v="TX500760"/>
        <s v="TX500761"/>
        <s v="TX500762"/>
        <s v="TX500763"/>
        <s v="TX500764"/>
        <s v="TX500765"/>
        <s v="TX500766"/>
        <s v="TX500767"/>
        <s v="TX500768"/>
        <s v="TX500769"/>
        <s v="TX500770"/>
        <s v="TX500771"/>
        <s v="TX500772"/>
        <s v="TX500773"/>
        <s v="TX500774"/>
        <s v="TX500775"/>
        <s v="TX500776"/>
        <s v="TX500777"/>
        <s v="TX500778"/>
        <s v="TX500779"/>
        <s v="TX500780"/>
        <s v="TX500781"/>
        <s v="TX500782"/>
        <s v="TX500783"/>
        <s v="TX500784"/>
        <s v="TX500785"/>
        <s v="TX500786"/>
        <s v="TX500787"/>
        <s v="TX500788"/>
        <s v="TX500789"/>
        <s v="TX500790"/>
        <s v="TX500791"/>
        <s v="TX500792"/>
        <s v="TX500793"/>
        <s v="TX500794"/>
        <s v="TX500795"/>
        <s v="TX500796"/>
        <s v="TX500797"/>
        <s v="TX500798"/>
        <s v="TX500799"/>
        <s v="TX500800"/>
        <s v="TX500801"/>
        <s v="TX500802"/>
        <s v="TX500803"/>
        <s v="TX500804"/>
        <s v="TX500805"/>
        <s v="TX500806"/>
        <s v="TX500807"/>
        <s v="TX500808"/>
        <s v="TX500809"/>
        <s v="TX500810"/>
        <s v="TX500811"/>
        <s v="TX500812"/>
        <s v="TX500813"/>
        <s v="TX500814"/>
        <s v="TX500815"/>
        <s v="TX500816"/>
        <s v="TX500817"/>
        <s v="TX500818"/>
        <s v="TX500819"/>
        <s v="TX500820"/>
        <s v="TX500821"/>
        <s v="TX500822"/>
        <s v="TX500823"/>
        <s v="TX500824"/>
        <s v="TX500825"/>
        <s v="TX500826"/>
        <s v="TX500827"/>
        <s v="TX500828"/>
        <s v="TX500829"/>
        <s v="TX500830"/>
        <s v="TX500831"/>
        <s v="TX500832"/>
        <s v="TX500833"/>
        <s v="TX500834"/>
        <s v="TX500835"/>
        <s v="TX500836"/>
        <s v="TX500837"/>
        <s v="TX500838"/>
        <s v="TX500839"/>
        <s v="TX500840"/>
        <s v="TX500841"/>
        <s v="TX500842"/>
        <s v="TX500843"/>
        <s v="TX500844"/>
        <s v="TX500845"/>
        <s v="TX500846"/>
        <s v="TX500847"/>
        <s v="TX500848"/>
        <s v="TX500849"/>
        <s v="TX500850"/>
        <s v="TX500851"/>
        <s v="TX500852"/>
        <s v="TX500853"/>
        <s v="TX500854"/>
        <s v="TX500855"/>
        <s v="TX500856"/>
        <s v="TX500857"/>
        <s v="TX500858"/>
        <s v="TX500859"/>
        <s v="TX500860"/>
        <s v="TX500861"/>
        <s v="TX500862"/>
        <s v="TX500863"/>
        <s v="TX500864"/>
        <s v="TX500865"/>
        <s v="TX500866"/>
        <s v="TX500867"/>
        <s v="TX500868"/>
        <s v="TX500869"/>
        <s v="TX500870"/>
        <s v="TX500871"/>
        <s v="TX500872"/>
        <s v="TX500873"/>
        <s v="TX500874"/>
        <s v="TX500875"/>
        <s v="TX500876"/>
        <s v="TX500877"/>
        <s v="TX500878"/>
        <s v="TX500879"/>
        <s v="TX500880"/>
        <s v="TX500881"/>
        <s v="TX500882"/>
        <s v="TX500883"/>
        <s v="TX500884"/>
        <s v="TX500885"/>
        <s v="TX500886"/>
        <s v="TX500887"/>
        <s v="TX500888"/>
        <s v="TX500889"/>
        <s v="TX500890"/>
        <s v="TX500891"/>
        <s v="TX500892"/>
        <s v="TX500893"/>
        <s v="TX500894"/>
        <s v="TX500895"/>
        <s v="TX500896"/>
        <s v="TX500897"/>
        <s v="TX500898"/>
        <s v="TX500899"/>
        <s v="TX500900"/>
        <s v="TX500901"/>
        <s v="TX500902"/>
        <s v="TX500903"/>
        <s v="TX500904"/>
        <s v="TX500905"/>
        <s v="TX500906"/>
        <s v="TX500907"/>
        <s v="TX500908"/>
        <s v="TX500909"/>
        <s v="TX500910"/>
        <s v="TX500911"/>
        <s v="TX500912"/>
        <s v="TX500913"/>
        <s v="TX500914"/>
        <s v="TX500915"/>
        <s v="TX500916"/>
        <s v="TX500917"/>
        <s v="TX500918"/>
        <s v="TX500919"/>
        <s v="TX500920"/>
        <s v="TX500921"/>
        <s v="TX500922"/>
        <s v="TX500923"/>
        <s v="TX500924"/>
        <s v="TX500925"/>
        <s v="TX500926"/>
        <s v="TX500927"/>
        <s v="TX500928"/>
        <s v="TX500929"/>
        <s v="TX500930"/>
        <s v="TX500931"/>
        <s v="TX500932"/>
        <s v="TX500933"/>
        <s v="TX500934"/>
        <s v="TX500935"/>
        <s v="TX500936"/>
        <s v="TX500937"/>
        <s v="TX500938"/>
        <s v="TX500939"/>
        <s v="TX500940"/>
        <s v="TX500941"/>
        <s v="TX500942"/>
        <s v="TX500943"/>
        <s v="TX500944"/>
        <s v="TX500945"/>
        <s v="TX500946"/>
        <s v="TX500947"/>
        <s v="TX500948"/>
        <s v="TX500949"/>
        <s v="TX500950"/>
        <s v="TX500951"/>
        <s v="TX500952"/>
        <s v="TX500953"/>
        <s v="TX500954"/>
        <s v="TX500955"/>
        <s v="TX500956"/>
        <s v="TX500957"/>
        <s v="TX500958"/>
        <s v="TX500959"/>
        <s v="TX500960"/>
        <s v="TX500961"/>
        <s v="TX500962"/>
        <s v="TX500963"/>
        <s v="TX500964"/>
        <s v="TX500965"/>
        <s v="TX500966"/>
        <s v="TX500967"/>
        <s v="TX500968"/>
        <s v="TX500969"/>
        <s v="TX500970"/>
        <s v="TX500971"/>
        <s v="TX500972"/>
        <s v="TX500973"/>
        <s v="TX500974"/>
        <s v="TX500975"/>
        <s v="TX500976"/>
        <s v="TX500977"/>
        <s v="TX500978"/>
        <s v="TX500979"/>
        <s v="TX500980"/>
        <s v="TX500981"/>
        <s v="TX500982"/>
        <s v="TX500983"/>
        <s v="TX500984"/>
        <s v="TX500985"/>
        <s v="TX500986"/>
        <s v="TX500987"/>
        <s v="TX500988"/>
        <s v="TX500989"/>
        <s v="TX500990"/>
        <s v="TX500991"/>
        <s v="TX500992"/>
        <s v="TX500993"/>
        <s v="TX500994"/>
        <s v="TX500995"/>
        <s v="TX500996"/>
        <s v="TX500997"/>
        <s v="TX500998"/>
        <s v="TX500999"/>
        <s v="TX501000"/>
        <s v="TX501001"/>
        <s v="TX501002"/>
        <s v="TX501003"/>
        <s v="TX501004"/>
        <s v="TX501005"/>
        <s v="TX501006"/>
        <s v="TX501007"/>
        <s v="TX501008"/>
        <s v="TX501009"/>
        <s v="TX501010"/>
        <s v="TX501011"/>
        <s v="TX501012"/>
        <s v="TX501013"/>
        <s v="TX501014"/>
        <s v="TX501015"/>
        <s v="TX501016"/>
        <s v="TX501017"/>
        <s v="TX501018"/>
        <s v="TX501019"/>
        <s v="TX501020"/>
        <s v="TX501021"/>
        <s v="TX501022"/>
        <s v="TX501023"/>
        <s v="TX501024"/>
        <s v="TX501025"/>
        <s v="TX501026"/>
        <s v="TX501027"/>
        <s v="TX501028"/>
        <s v="TX501029"/>
        <s v="TX501030"/>
        <s v="TX501031"/>
        <s v="TX501032"/>
        <s v="TX501033"/>
        <s v="TX501034"/>
        <s v="TX501035"/>
        <s v="TX501036"/>
        <s v="TX501037"/>
        <s v="TX501038"/>
        <s v="TX501039"/>
        <s v="TX501040"/>
        <s v="TX501041"/>
        <s v="TX501042"/>
        <s v="TX501043"/>
        <s v="TX501044"/>
        <s v="TX501045"/>
        <s v="TX501046"/>
        <s v="TX501047"/>
        <s v="TX501048"/>
        <s v="TX501049"/>
        <s v="TX501050"/>
        <s v="TX501051"/>
        <s v="TX501052"/>
        <s v="TX501053"/>
        <s v="TX501054"/>
        <s v="TX501055"/>
        <s v="TX501056"/>
        <s v="TX501057"/>
        <s v="TX501058"/>
        <s v="TX501059"/>
        <s v="TX501060"/>
        <s v="TX501061"/>
        <s v="TX501062"/>
        <s v="TX501063"/>
        <s v="TX501064"/>
        <s v="TX501065"/>
        <s v="TX501066"/>
        <s v="TX501067"/>
        <s v="TX501068"/>
        <s v="TX501069"/>
        <s v="TX501070"/>
        <s v="TX501071"/>
        <s v="TX501072"/>
        <s v="TX501073"/>
        <s v="TX501074"/>
        <s v="TX501075"/>
        <s v="TX501076"/>
        <s v="TX501077"/>
        <s v="TX501078"/>
        <s v="TX501079"/>
        <s v="TX501080"/>
        <s v="TX501081"/>
        <s v="TX501082"/>
        <s v="TX501083"/>
        <s v="TX501084"/>
        <s v="TX501085"/>
        <s v="TX501086"/>
        <s v="TX501087"/>
        <s v="TX501088"/>
        <s v="TX501089"/>
        <s v="TX501090"/>
        <s v="TX501091"/>
        <s v="TX501092"/>
        <s v="TX501093"/>
        <s v="TX501094"/>
        <s v="TX501095"/>
        <s v="TX501096"/>
        <s v="TX501097"/>
        <s v="TX501098"/>
        <s v="TX501099"/>
        <s v="TX501100"/>
        <s v="TX501101"/>
        <s v="TX501102"/>
        <s v="TX501103"/>
        <s v="TX501104"/>
        <s v="TX501105"/>
        <s v="TX501106"/>
        <s v="TX501107"/>
        <s v="TX501108"/>
        <s v="TX501109"/>
        <s v="TX501110"/>
        <s v="TX501111"/>
        <s v="TX501112"/>
        <s v="TX501113"/>
        <s v="TX501114"/>
        <s v="TX501115"/>
        <s v="TX501116"/>
        <s v="TX501117"/>
        <s v="TX501118"/>
        <s v="TX501119"/>
        <s v="TX501120"/>
        <s v="TX501121"/>
        <s v="TX501122"/>
        <s v="TX501123"/>
        <s v="TX501124"/>
        <s v="TX501125"/>
        <s v="TX501126"/>
        <s v="TX501127"/>
        <s v="TX501128"/>
        <s v="TX501129"/>
        <s v="TX501130"/>
        <s v="TX501131"/>
        <s v="TX501132"/>
        <s v="TX501133"/>
        <s v="TX501134"/>
        <s v="TX501135"/>
        <s v="TX501136"/>
        <s v="TX501137"/>
        <s v="TX501138"/>
        <s v="TX501139"/>
        <s v="TX501140"/>
        <s v="TX501141"/>
        <s v="TX501142"/>
        <s v="TX501143"/>
        <s v="TX501144"/>
        <s v="TX501145"/>
        <s v="TX501146"/>
        <s v="TX501147"/>
        <s v="TX501148"/>
        <s v="TX501149"/>
        <s v="TX501150"/>
        <s v="TX501151"/>
        <s v="TX501152"/>
        <s v="TX501153"/>
        <s v="TX501154"/>
        <s v="TX501155"/>
        <s v="TX501156"/>
        <s v="TX501157"/>
        <s v="TX501158"/>
        <s v="TX501159"/>
        <s v="TX501160"/>
        <s v="TX501161"/>
        <s v="TX501162"/>
        <s v="TX501163"/>
        <s v="TX501164"/>
        <s v="TX501165"/>
        <s v="TX501166"/>
        <s v="TX501167"/>
        <s v="TX501168"/>
        <s v="TX501169"/>
        <s v="TX501170"/>
        <s v="TX501171"/>
        <s v="TX501172"/>
        <s v="TX501173"/>
        <s v="TX501174"/>
        <s v="TX501175"/>
        <s v="TX501176"/>
        <s v="TX501177"/>
        <s v="TX501178"/>
        <s v="TX501179"/>
        <s v="TX501180"/>
        <s v="TX501181"/>
        <s v="TX501182"/>
        <s v="TX501183"/>
        <s v="TX501184"/>
        <s v="TX501185"/>
        <s v="TX501186"/>
        <s v="TX501187"/>
        <s v="TX501188"/>
        <s v="TX501189"/>
        <s v="TX501190"/>
        <s v="TX501191"/>
        <s v="TX501192"/>
        <s v="TX501193"/>
        <s v="TX501194"/>
        <s v="TX501195"/>
        <s v="TX501196"/>
        <s v="TX501197"/>
        <s v="TX501198"/>
        <s v="TX501199"/>
        <s v="TX501200"/>
        <s v="TX501201"/>
        <s v="TX501202"/>
        <s v="TX501203"/>
        <s v="TX501204"/>
        <s v="TX501205"/>
        <s v="TX501206"/>
        <s v="TX501207"/>
        <s v="TX501208"/>
        <s v="TX501209"/>
        <s v="TX501210"/>
        <s v="TX501211"/>
        <s v="TX501212"/>
        <s v="TX501213"/>
        <s v="TX501214"/>
        <s v="TX501215"/>
        <s v="TX501216"/>
        <s v="TX501217"/>
        <s v="TX501218"/>
        <s v="TX501219"/>
        <s v="TX501220"/>
        <s v="TX501221"/>
        <s v="TX501222"/>
        <s v="TX501223"/>
        <s v="TX501224"/>
        <s v="TX501225"/>
        <s v="TX501226"/>
        <s v="TX501227"/>
        <s v="TX501228"/>
        <s v="TX501229"/>
        <s v="TX501230"/>
        <s v="TX501231"/>
        <s v="TX501232"/>
        <s v="TX501233"/>
        <s v="TX501234"/>
        <s v="TX501235"/>
        <s v="TX501236"/>
        <s v="TX501237"/>
        <s v="TX501238"/>
        <s v="TX501239"/>
        <s v="TX501240"/>
        <s v="TX501241"/>
        <s v="TX501242"/>
        <s v="TX501243"/>
        <s v="TX501244"/>
        <s v="TX501245"/>
        <s v="TX501246"/>
        <s v="TX501247"/>
        <s v="TX501248"/>
        <s v="TX501249"/>
        <s v="TX501250"/>
        <s v="TX501251"/>
        <s v="TX501252"/>
        <s v="TX501253"/>
        <s v="TX501254"/>
        <s v="TX501255"/>
        <s v="TX501256"/>
        <s v="TX501257"/>
        <s v="TX501258"/>
        <s v="TX501259"/>
        <s v="TX501260"/>
        <s v="TX501261"/>
        <s v="TX501262"/>
        <s v="TX501263"/>
        <s v="TX501264"/>
        <s v="TX501265"/>
        <s v="TX501266"/>
        <s v="TX501267"/>
        <s v="TX501268"/>
        <s v="TX501269"/>
        <s v="TX501270"/>
        <s v="TX501271"/>
        <s v="TX501272"/>
        <s v="TX501273"/>
        <s v="TX501274"/>
        <s v="TX501275"/>
        <s v="TX501276"/>
        <s v="TX501277"/>
        <s v="TX501278"/>
        <s v="TX501279"/>
        <s v="TX501280"/>
        <s v="TX501281"/>
        <s v="TX501282"/>
        <s v="TX501283"/>
        <s v="TX501284"/>
        <s v="TX501285"/>
        <s v="TX501286"/>
        <s v="TX501287"/>
        <s v="TX501288"/>
        <s v="TX501289"/>
        <s v="TX501290"/>
        <s v="TX501291"/>
        <s v="TX501292"/>
        <s v="TX501293"/>
        <s v="TX501294"/>
        <s v="TX501295"/>
        <s v="TX501296"/>
        <s v="TX501297"/>
        <s v="TX501298"/>
        <s v="TX501299"/>
        <s v="TX501300"/>
        <s v="TX501301"/>
        <s v="TX501302"/>
        <s v="TX501303"/>
        <s v="TX501304"/>
        <s v="TX501305"/>
        <s v="TX501306"/>
        <s v="TX501307"/>
        <s v="TX501308"/>
        <s v="TX501309"/>
        <s v="TX501310"/>
        <s v="TX501311"/>
        <s v="TX501312"/>
        <s v="TX501313"/>
        <s v="TX501314"/>
        <s v="TX501315"/>
        <s v="TX501316"/>
        <s v="TX501317"/>
        <s v="TX501318"/>
        <s v="TX501319"/>
        <s v="TX501320"/>
        <s v="TX501321"/>
        <s v="TX501322"/>
        <s v="TX501323"/>
        <s v="TX501324"/>
        <s v="TX501325"/>
        <s v="TX501326"/>
        <s v="TX501327"/>
        <s v="TX501328"/>
        <s v="TX501329"/>
        <s v="TX501330"/>
        <s v="TX501331"/>
        <s v="TX501332"/>
        <s v="TX501333"/>
        <s v="TX501334"/>
        <s v="TX501335"/>
        <s v="TX501336"/>
        <s v="TX501337"/>
        <s v="TX501338"/>
        <s v="TX501339"/>
        <s v="TX501340"/>
        <s v="TX501341"/>
        <s v="TX501342"/>
        <s v="TX501343"/>
        <s v="TX501344"/>
        <s v="TX501345"/>
        <s v="TX501346"/>
        <s v="TX501347"/>
        <s v="TX501348"/>
        <s v="TX501349"/>
        <s v="TX501350"/>
        <s v="TX501351"/>
        <s v="TX501352"/>
        <s v="TX501353"/>
        <s v="TX501354"/>
        <s v="TX501355"/>
        <s v="TX501356"/>
        <s v="TX501357"/>
        <s v="TX501358"/>
        <s v="TX501359"/>
        <s v="TX501360"/>
        <s v="TX501361"/>
        <s v="TX501362"/>
        <s v="TX501363"/>
        <s v="TX501364"/>
        <s v="TX501365"/>
        <s v="TX501366"/>
        <s v="TX501367"/>
        <s v="TX501368"/>
        <s v="TX501369"/>
        <s v="TX501370"/>
        <s v="TX501371"/>
        <s v="TX501372"/>
        <s v="TX501373"/>
        <s v="TX501374"/>
        <s v="TX501375"/>
        <s v="TX501376"/>
        <s v="TX501377"/>
        <s v="TX501378"/>
        <s v="TX501379"/>
        <s v="TX501380"/>
        <s v="TX501381"/>
        <s v="TX501382"/>
        <s v="TX501383"/>
        <s v="TX501384"/>
        <s v="TX501385"/>
        <s v="TX501386"/>
        <s v="TX501387"/>
        <s v="TX501388"/>
        <s v="TX501389"/>
        <s v="TX501390"/>
        <s v="TX501391"/>
        <s v="TX501392"/>
        <s v="TX501393"/>
        <s v="TX501394"/>
        <s v="TX501395"/>
        <s v="TX501396"/>
        <s v="TX501397"/>
        <s v="TX501398"/>
        <s v="TX501399"/>
        <s v="TX501400"/>
        <s v="TX501401"/>
        <s v="TX501402"/>
        <s v="TX501403"/>
        <s v="TX501404"/>
        <s v="TX501405"/>
        <s v="TX501406"/>
        <s v="TX501407"/>
        <s v="TX501408"/>
        <s v="TX501409"/>
        <s v="TX501410"/>
        <s v="TX501411"/>
        <s v="TX501412"/>
        <s v="TX501413"/>
        <s v="TX501414"/>
        <s v="TX501415"/>
        <s v="TX501416"/>
        <s v="TX501417"/>
        <s v="TX501418"/>
        <s v="TX501419"/>
        <s v="TX501420"/>
        <s v="TX501421"/>
        <s v="TX501422"/>
        <s v="TX501423"/>
        <s v="TX501424"/>
        <s v="TX501425"/>
        <s v="TX501426"/>
        <s v="TX501427"/>
        <s v="TX501428"/>
        <s v="TX501429"/>
        <s v="TX501430"/>
        <s v="TX501431"/>
        <s v="TX501432"/>
        <s v="TX501433"/>
        <s v="TX501434"/>
        <s v="TX501435"/>
        <s v="TX501436"/>
        <s v="TX501437"/>
        <s v="TX501438"/>
        <s v="TX501439"/>
        <s v="TX501440"/>
        <s v="TX501441"/>
        <s v="TX501442"/>
        <s v="TX501443"/>
        <s v="TX501444"/>
        <s v="TX501445"/>
        <s v="TX501446"/>
        <s v="TX501447"/>
        <s v="TX501448"/>
        <s v="TX501449"/>
        <s v="TX501450"/>
        <s v="TX501451"/>
        <s v="TX501452"/>
        <s v="TX501453"/>
        <s v="TX501454"/>
        <s v="TX501455"/>
        <s v="TX501456"/>
        <s v="TX501457"/>
        <s v="TX501458"/>
        <s v="TX501459"/>
        <s v="TX501460"/>
        <s v="TX501461"/>
        <s v="TX501462"/>
        <s v="TX501463"/>
        <s v="TX501464"/>
        <s v="TX501465"/>
        <s v="TX501466"/>
        <s v="TX501467"/>
        <s v="TX501468"/>
        <s v="TX501469"/>
        <s v="TX501470"/>
        <s v="TX501471"/>
        <s v="TX501472"/>
        <s v="TX501473"/>
        <s v="TX501474"/>
        <s v="TX501475"/>
        <s v="TX501476"/>
        <s v="TX501477"/>
        <s v="TX501478"/>
        <s v="TX501479"/>
        <s v="TX501480"/>
        <s v="TX501481"/>
        <s v="TX501482"/>
        <s v="TX501483"/>
        <s v="TX501484"/>
        <s v="TX501485"/>
        <s v="TX501486"/>
        <s v="TX501487"/>
        <s v="TX501488"/>
        <s v="TX501489"/>
        <s v="TX501490"/>
        <s v="TX501491"/>
        <s v="TX501492"/>
        <s v="TX501493"/>
        <s v="TX501494"/>
        <s v="TX501495"/>
        <s v="TX501496"/>
        <s v="TX501497"/>
        <s v="TX501498"/>
        <s v="TX501499"/>
        <s v="TX501500"/>
        <s v="TX501501"/>
        <s v="TX501502"/>
        <s v="TX501503"/>
        <s v="TX501504"/>
        <s v="TX501505"/>
        <s v="TX501506"/>
        <s v="TX501507"/>
        <s v="TX501508"/>
        <s v="TX501509"/>
        <s v="TX501510"/>
        <s v="TX501511"/>
        <s v="TX501512"/>
        <s v="TX501513"/>
        <s v="TX501514"/>
        <s v="TX501515"/>
        <s v="TX501516"/>
        <s v="TX501517"/>
        <s v="TX501518"/>
        <s v="TX501519"/>
        <s v="TX501520"/>
        <s v="TX501521"/>
        <s v="TX501522"/>
        <s v="TX501523"/>
        <s v="TX501524"/>
        <s v="TX501525"/>
        <s v="TX501526"/>
        <s v="TX501527"/>
        <s v="TX501528"/>
        <s v="TX501529"/>
        <s v="TX501530"/>
        <s v="TX501531"/>
        <s v="TX501532"/>
        <s v="TX501533"/>
        <s v="TX501534"/>
        <s v="TX501535"/>
        <s v="TX501536"/>
        <s v="TX501537"/>
        <s v="TX501538"/>
        <s v="TX501539"/>
        <s v="TX501540"/>
        <s v="TX501541"/>
        <s v="TX501542"/>
        <s v="TX501543"/>
        <s v="TX501544"/>
        <s v="TX501545"/>
        <s v="TX501546"/>
        <s v="TX501547"/>
        <s v="TX501548"/>
        <s v="TX501549"/>
        <s v="TX501550"/>
        <s v="TX501551"/>
        <s v="TX501552"/>
        <s v="TX501553"/>
        <s v="TX501554"/>
        <s v="TX501555"/>
        <s v="TX501556"/>
        <s v="TX501557"/>
        <s v="TX501558"/>
        <s v="TX501559"/>
        <s v="TX501560"/>
        <s v="TX501561"/>
        <s v="TX501562"/>
        <s v="TX501563"/>
        <s v="TX501564"/>
        <s v="TX501565"/>
        <s v="TX501566"/>
        <s v="TX501567"/>
        <s v="TX501568"/>
        <s v="TX501569"/>
        <s v="TX501570"/>
        <s v="TX501571"/>
        <s v="TX501572"/>
        <s v="TX501573"/>
        <s v="TX501574"/>
        <s v="TX501575"/>
        <s v="TX501576"/>
        <s v="TX501577"/>
        <s v="TX501578"/>
        <s v="TX501579"/>
        <s v="TX501580"/>
        <s v="TX501581"/>
        <s v="TX501582"/>
        <s v="TX501583"/>
        <s v="TX501584"/>
        <s v="TX501585"/>
        <s v="TX501586"/>
        <s v="TX501587"/>
        <s v="TX501588"/>
        <s v="TX501589"/>
        <s v="TX501590"/>
        <s v="TX501591"/>
        <s v="TX501592"/>
        <s v="TX501593"/>
        <s v="TX501594"/>
        <s v="TX501595"/>
        <s v="TX501596"/>
        <s v="TX501597"/>
        <s v="TX501598"/>
        <s v="TX501599"/>
        <s v="TX501600"/>
        <s v="TX501601"/>
        <s v="TX501602"/>
        <s v="TX501603"/>
        <s v="TX501604"/>
        <s v="TX501605"/>
        <s v="TX501606"/>
        <s v="TX501607"/>
        <s v="TX501608"/>
        <s v="TX501609"/>
        <s v="TX501610"/>
        <s v="TX501611"/>
        <s v="TX501612"/>
        <s v="TX501613"/>
        <s v="TX501614"/>
        <s v="TX501615"/>
        <s v="TX501616"/>
        <s v="TX501617"/>
        <s v="TX501618"/>
        <s v="TX501619"/>
        <s v="TX501620"/>
        <s v="TX501621"/>
        <s v="TX501622"/>
        <s v="TX501623"/>
        <s v="TX501624"/>
        <s v="TX501625"/>
        <s v="TX501626"/>
        <s v="TX501627"/>
        <s v="TX501628"/>
        <s v="TX501629"/>
        <s v="TX501630"/>
        <s v="TX501631"/>
        <s v="TX501632"/>
        <s v="TX501633"/>
        <s v="TX501634"/>
        <s v="TX501635"/>
        <s v="TX501636"/>
        <s v="TX501637"/>
        <s v="TX501638"/>
        <s v="TX501639"/>
        <s v="TX501640"/>
        <s v="TX501641"/>
        <s v="TX501642"/>
        <s v="TX501643"/>
        <s v="TX501644"/>
        <s v="TX501645"/>
        <s v="TX501646"/>
        <s v="TX501647"/>
        <s v="TX501648"/>
        <s v="TX501649"/>
        <s v="TX501650"/>
        <s v="TX501651"/>
        <s v="TX501652"/>
        <s v="TX501653"/>
        <s v="TX501654"/>
        <s v="TX501655"/>
        <s v="TX501656"/>
        <s v="TX501657"/>
        <s v="TX501658"/>
        <s v="TX501659"/>
        <s v="TX501660"/>
        <s v="TX501661"/>
        <s v="TX501662"/>
        <s v="TX501663"/>
        <s v="TX501664"/>
        <s v="TX501665"/>
        <s v="TX501666"/>
        <s v="TX501667"/>
        <s v="TX501668"/>
        <s v="TX501669"/>
        <s v="TX501670"/>
        <s v="TX501671"/>
        <s v="TX501672"/>
        <s v="TX501673"/>
        <s v="TX501674"/>
        <s v="TX501675"/>
        <s v="TX501676"/>
        <s v="TX501677"/>
        <s v="TX501678"/>
        <s v="TX501679"/>
        <s v="TX501680"/>
        <s v="TX501681"/>
        <s v="TX501682"/>
        <s v="TX501683"/>
        <s v="TX501684"/>
        <s v="TX501685"/>
        <s v="TX501686"/>
        <s v="TX501687"/>
        <s v="TX501688"/>
        <s v="TX501689"/>
        <s v="TX501690"/>
        <s v="TX501691"/>
        <s v="TX501692"/>
        <s v="TX501693"/>
        <s v="TX501694"/>
        <s v="TX501695"/>
        <s v="TX501696"/>
        <s v="TX501697"/>
        <s v="TX501698"/>
        <s v="TX501699"/>
        <s v="TX501700"/>
        <s v="TX501701"/>
        <s v="TX501702"/>
        <s v="TX501703"/>
        <s v="TX501704"/>
        <s v="TX501705"/>
        <s v="TX501706"/>
        <s v="TX501707"/>
        <s v="TX501708"/>
        <s v="TX501709"/>
        <s v="TX501710"/>
        <s v="TX501711"/>
        <s v="TX501712"/>
        <s v="TX501713"/>
        <s v="TX501714"/>
        <s v="TX501715"/>
        <s v="TX501716"/>
        <s v="TX501717"/>
        <s v="TX501718"/>
        <s v="TX501719"/>
        <s v="TX501720"/>
        <s v="TX501721"/>
        <s v="TX501722"/>
        <s v="TX501723"/>
        <s v="TX501724"/>
        <s v="TX501725"/>
        <s v="TX501726"/>
        <s v="TX501727"/>
        <s v="TX501728"/>
        <s v="TX501729"/>
        <s v="TX501730"/>
        <s v="TX501731"/>
        <s v="TX501732"/>
        <s v="TX501733"/>
        <s v="TX501734"/>
        <s v="TX501735"/>
        <s v="TX501736"/>
        <s v="TX501737"/>
        <s v="TX501738"/>
        <s v="TX501739"/>
        <s v="TX501740"/>
        <s v="TX501741"/>
        <s v="TX501742"/>
        <s v="TX501743"/>
        <s v="TX501744"/>
        <s v="TX501745"/>
        <s v="TX501746"/>
        <s v="TX501747"/>
        <s v="TX501748"/>
        <s v="TX501749"/>
        <s v="TX501750"/>
        <s v="TX501751"/>
        <s v="TX501752"/>
        <s v="TX501753"/>
        <s v="TX501754"/>
        <s v="TX501755"/>
        <s v="TX501756"/>
        <s v="TX501757"/>
        <s v="TX501758"/>
        <s v="TX501759"/>
        <s v="TX501760"/>
        <s v="TX501761"/>
        <s v="TX501762"/>
        <s v="TX501763"/>
        <s v="TX501764"/>
        <s v="TX501765"/>
        <s v="TX501766"/>
        <s v="TX501767"/>
        <s v="TX501768"/>
        <s v="TX501769"/>
        <s v="TX501770"/>
        <s v="TX501771"/>
        <s v="TX501772"/>
        <s v="TX501773"/>
        <s v="TX501774"/>
        <s v="TX501775"/>
        <s v="TX501776"/>
        <s v="TX501777"/>
        <s v="TX501778"/>
        <s v="TX501779"/>
        <s v="TX501780"/>
        <s v="TX501781"/>
        <s v="TX501782"/>
        <s v="TX501783"/>
        <s v="TX501784"/>
        <s v="TX501785"/>
        <s v="TX501786"/>
        <s v="TX501787"/>
        <s v="TX501788"/>
        <s v="TX501789"/>
        <s v="TX501790"/>
        <s v="TX501791"/>
        <s v="TX501792"/>
        <s v="TX501793"/>
        <s v="TX501794"/>
        <s v="TX501795"/>
        <s v="TX501796"/>
        <s v="TX501797"/>
        <s v="TX501798"/>
        <s v="TX501799"/>
        <s v="TX501800"/>
        <s v="TX501801"/>
        <s v="TX501802"/>
        <s v="TX501803"/>
        <s v="TX501804"/>
        <s v="TX501805"/>
        <s v="TX501806"/>
        <s v="TX501807"/>
        <s v="TX501808"/>
        <s v="TX501809"/>
        <s v="TX501810"/>
        <s v="TX501811"/>
        <s v="TX501812"/>
        <s v="TX501813"/>
        <s v="TX501814"/>
        <s v="TX501815"/>
        <s v="TX501816"/>
        <s v="TX501817"/>
        <s v="TX501818"/>
        <s v="TX501819"/>
        <s v="TX501820"/>
        <s v="TX501821"/>
        <s v="TX501822"/>
        <s v="TX501823"/>
        <s v="TX501824"/>
        <s v="TX501825"/>
        <s v="TX501826"/>
        <s v="TX501827"/>
        <s v="TX501828"/>
        <s v="TX501829"/>
        <s v="TX501830"/>
        <s v="TX501831"/>
        <s v="TX501832"/>
        <s v="TX501833"/>
        <s v="TX501834"/>
        <s v="TX501835"/>
        <s v="TX501836"/>
        <s v="TX501837"/>
        <s v="TX501838"/>
        <s v="TX501839"/>
        <s v="TX501840"/>
        <s v="TX501841"/>
        <s v="TX501842"/>
        <s v="TX501843"/>
        <s v="TX501844"/>
        <s v="TX501845"/>
        <s v="TX501846"/>
        <s v="TX501847"/>
        <s v="TX501848"/>
        <s v="TX501849"/>
        <s v="TX501850"/>
        <s v="TX501851"/>
        <s v="TX501852"/>
        <s v="TX501853"/>
        <s v="TX501854"/>
        <s v="TX501855"/>
        <s v="TX501856"/>
        <s v="TX501857"/>
        <s v="TX501858"/>
        <s v="TX501859"/>
        <s v="TX501860"/>
        <s v="TX501861"/>
        <s v="TX501862"/>
        <s v="TX501863"/>
        <s v="TX501864"/>
        <s v="TX501865"/>
        <s v="TX501866"/>
        <s v="TX501867"/>
        <s v="TX501868"/>
        <s v="TX501869"/>
        <s v="TX501870"/>
        <s v="TX501871"/>
        <s v="TX501872"/>
        <s v="TX501873"/>
        <s v="TX501874"/>
        <s v="TX501875"/>
        <s v="TX501876"/>
        <s v="TX501877"/>
        <s v="TX501878"/>
        <s v="TX501879"/>
        <s v="TX501880"/>
        <s v="TX501881"/>
        <s v="TX501882"/>
        <s v="TX501883"/>
        <s v="TX501884"/>
        <s v="TX501885"/>
        <s v="TX501886"/>
        <s v="TX501887"/>
        <s v="TX501888"/>
        <s v="TX501889"/>
        <s v="TX501890"/>
        <s v="TX501891"/>
        <s v="TX501892"/>
        <s v="TX501893"/>
        <s v="TX501894"/>
        <s v="TX501895"/>
        <s v="TX501896"/>
        <s v="TX501897"/>
        <s v="TX501898"/>
        <s v="TX501899"/>
        <s v="TX501900"/>
        <s v="TX501901"/>
        <s v="TX501902"/>
        <s v="TX501903"/>
        <s v="TX501904"/>
        <s v="TX501905"/>
        <s v="TX501906"/>
        <s v="TX501907"/>
        <s v="TX501908"/>
        <s v="TX501909"/>
        <s v="TX501910"/>
        <s v="TX501911"/>
        <s v="TX501912"/>
        <s v="TX501913"/>
        <s v="TX501914"/>
        <s v="TX501915"/>
        <s v="TX501916"/>
        <s v="TX501917"/>
        <s v="TX501918"/>
        <s v="TX501919"/>
        <s v="TX501920"/>
        <s v="TX501921"/>
        <s v="TX501922"/>
        <s v="TX501923"/>
        <s v="TX501924"/>
        <s v="TX501925"/>
        <s v="TX501926"/>
        <s v="TX501927"/>
        <s v="TX501928"/>
        <s v="TX501929"/>
        <s v="TX501930"/>
        <s v="TX501931"/>
        <s v="TX501932"/>
        <s v="TX501933"/>
        <s v="TX501934"/>
        <s v="TX501935"/>
        <s v="TX501936"/>
        <s v="TX501937"/>
        <s v="TX501938"/>
        <s v="TX501939"/>
        <s v="TX501940"/>
        <s v="TX501941"/>
        <s v="TX501942"/>
        <s v="TX501943"/>
        <s v="TX501944"/>
        <s v="TX501945"/>
        <s v="TX501946"/>
        <s v="TX501947"/>
        <s v="TX501948"/>
        <s v="TX501949"/>
        <s v="TX501950"/>
        <s v="TX501951"/>
        <s v="TX501952"/>
        <s v="TX501953"/>
        <s v="TX501954"/>
        <s v="TX501955"/>
        <s v="TX501956"/>
        <s v="TX501957"/>
        <s v="TX501958"/>
        <s v="TX501959"/>
        <s v="TX501960"/>
        <s v="TX501961"/>
        <s v="TX501962"/>
        <s v="TX501963"/>
        <s v="TX501964"/>
        <s v="TX501965"/>
        <s v="TX501966"/>
        <s v="TX501967"/>
        <s v="TX501968"/>
        <s v="TX501969"/>
        <s v="TX501970"/>
        <s v="TX501971"/>
        <s v="TX501972"/>
        <s v="TX501973"/>
        <s v="TX501974"/>
        <s v="TX501975"/>
        <s v="TX501976"/>
        <s v="TX501977"/>
        <s v="TX501978"/>
        <s v="TX501979"/>
        <s v="TX501980"/>
        <s v="TX501981"/>
        <s v="TX501982"/>
        <s v="TX501983"/>
        <s v="TX501984"/>
        <s v="TX501985"/>
        <s v="TX501986"/>
        <s v="TX501987"/>
        <s v="TX501988"/>
        <s v="TX501989"/>
        <s v="TX501990"/>
        <s v="TX501991"/>
        <s v="TX501992"/>
        <s v="TX501993"/>
        <s v="TX501994"/>
        <s v="TX501995"/>
        <s v="TX501996"/>
        <s v="TX501997"/>
        <s v="TX501998"/>
        <s v="TX501999"/>
        <s v="TX502000"/>
        <s v="TX502001"/>
        <s v="TX502002"/>
        <s v="TX502003"/>
        <s v="TX502004"/>
        <s v="TX502005"/>
        <s v="TX502006"/>
        <s v="TX502007"/>
        <s v="TX502008"/>
        <s v="TX502009"/>
        <s v="TX502010"/>
        <s v="TX502011"/>
        <s v="TX502012"/>
        <s v="TX502013"/>
        <s v="TX502014"/>
        <s v="TX502015"/>
        <s v="TX502016"/>
        <s v="TX502017"/>
        <s v="TX502018"/>
        <s v="TX502019"/>
        <s v="TX502020"/>
        <s v="TX502021"/>
        <s v="TX502022"/>
        <s v="TX502023"/>
        <s v="TX502024"/>
        <s v="TX502025"/>
        <s v="TX502026"/>
        <s v="TX502027"/>
        <s v="TX502028"/>
        <s v="TX502029"/>
        <s v="TX502030"/>
        <s v="TX502031"/>
        <s v="TX502032"/>
        <s v="TX502033"/>
        <s v="TX502034"/>
        <s v="TX502035"/>
        <s v="TX502036"/>
        <s v="TX502037"/>
        <s v="TX502038"/>
        <s v="TX502039"/>
        <s v="TX502040"/>
        <s v="TX502041"/>
        <s v="TX502042"/>
        <s v="TX502043"/>
        <s v="TX502044"/>
        <s v="TX502045"/>
        <s v="TX502046"/>
        <s v="TX502047"/>
        <s v="TX502048"/>
        <s v="TX502049"/>
        <s v="TX502050"/>
        <s v="TX502051"/>
        <s v="TX502052"/>
        <s v="TX502053"/>
        <s v="TX502054"/>
        <s v="TX502055"/>
        <s v="TX502056"/>
        <s v="TX502057"/>
        <s v="TX502058"/>
        <s v="TX502059"/>
        <s v="TX502060"/>
        <s v="TX502061"/>
        <s v="TX502062"/>
        <s v="TX502063"/>
        <s v="TX502064"/>
        <s v="TX502065"/>
        <s v="TX502066"/>
        <s v="TX502067"/>
        <s v="TX502068"/>
        <s v="TX502069"/>
        <s v="TX502070"/>
        <s v="TX502071"/>
        <s v="TX502072"/>
        <s v="TX502073"/>
        <s v="TX502074"/>
        <s v="TX502075"/>
        <s v="TX502076"/>
        <s v="TX502077"/>
        <s v="TX502078"/>
        <s v="TX502079"/>
        <s v="TX502080"/>
        <s v="TX502081"/>
        <s v="TX502082"/>
        <s v="TX502083"/>
        <s v="TX502084"/>
        <s v="TX502085"/>
        <s v="TX502086"/>
        <s v="TX502087"/>
        <s v="TX502088"/>
        <s v="TX502089"/>
        <s v="TX502090"/>
        <s v="TX502091"/>
        <s v="TX502092"/>
        <s v="TX502093"/>
        <s v="TX502094"/>
        <s v="TX502095"/>
        <s v="TX502096"/>
        <s v="TX502097"/>
        <s v="TX502098"/>
        <s v="TX502099"/>
        <s v="TX502100"/>
        <s v="TX502101"/>
        <s v="TX502102"/>
        <s v="TX502103"/>
        <s v="TX502104"/>
        <s v="TX502105"/>
        <s v="TX502106"/>
        <s v="TX502107"/>
        <s v="TX502108"/>
        <s v="TX502109"/>
        <s v="TX502110"/>
        <s v="TX502111"/>
        <s v="TX502112"/>
        <s v="TX502113"/>
        <s v="TX502114"/>
        <s v="TX502115"/>
        <s v="TX502116"/>
        <s v="TX502117"/>
        <s v="TX502118"/>
        <s v="TX502119"/>
        <s v="TX502120"/>
        <s v="TX502121"/>
        <s v="TX502122"/>
        <s v="TX502123"/>
        <s v="TX502124"/>
        <s v="TX502125"/>
        <s v="TX502126"/>
        <s v="TX502127"/>
        <s v="TX502128"/>
        <s v="TX502129"/>
        <s v="TX502130"/>
        <s v="TX502131"/>
        <s v="TX502132"/>
        <s v="TX502133"/>
        <s v="TX502134"/>
        <s v="TX502135"/>
        <s v="TX502136"/>
        <s v="TX502137"/>
        <s v="TX502138"/>
        <s v="TX502139"/>
        <s v="TX502140"/>
        <s v="TX502141"/>
        <s v="TX502142"/>
        <s v="TX502143"/>
        <s v="TX502144"/>
        <s v="TX502145"/>
        <s v="TX502146"/>
        <s v="TX502147"/>
        <s v="TX502148"/>
        <s v="TX502149"/>
        <s v="TX502150"/>
        <s v="TX502151"/>
        <s v="TX502152"/>
        <s v="TX502153"/>
        <s v="TX502154"/>
        <s v="TX502155"/>
        <s v="TX502156"/>
        <s v="TX502157"/>
        <s v="TX502158"/>
        <s v="TX502159"/>
        <s v="TX502160"/>
        <s v="TX502161"/>
        <s v="TX502162"/>
        <s v="TX502163"/>
        <s v="TX502164"/>
        <s v="TX502165"/>
        <s v="TX502166"/>
        <s v="TX502167"/>
        <s v="TX502168"/>
        <s v="TX502169"/>
        <s v="TX502170"/>
        <s v="TX502171"/>
        <s v="TX502172"/>
        <s v="TX502173"/>
        <s v="TX502174"/>
        <s v="TX502175"/>
        <s v="TX502176"/>
        <s v="TX502177"/>
        <s v="TX502178"/>
        <s v="TX502179"/>
        <s v="TX502180"/>
        <s v="TX502181"/>
        <s v="TX502182"/>
        <s v="TX502183"/>
        <s v="TX502184"/>
        <s v="TX502185"/>
        <s v="TX502186"/>
        <s v="TX502187"/>
        <s v="TX502188"/>
        <s v="TX502189"/>
        <s v="TX502190"/>
        <s v="TX502191"/>
        <s v="TX502192"/>
        <s v="TX502193"/>
        <s v="TX502194"/>
        <s v="TX502195"/>
        <s v="TX502196"/>
        <s v="TX502197"/>
        <s v="TX502198"/>
        <s v="TX502199"/>
        <s v="TX502200"/>
        <s v="TX502201"/>
        <s v="TX502202"/>
        <s v="TX502203"/>
        <s v="TX502204"/>
        <s v="TX502205"/>
        <s v="TX502206"/>
        <s v="TX502207"/>
        <s v="TX502208"/>
        <s v="TX502209"/>
        <s v="TX502210"/>
        <s v="TX502211"/>
        <s v="TX502212"/>
        <s v="TX502213"/>
        <s v="TX502214"/>
        <s v="TX502215"/>
        <s v="TX502216"/>
        <s v="TX502217"/>
        <s v="TX502218"/>
        <s v="TX502219"/>
        <s v="TX502220"/>
        <s v="TX502221"/>
        <s v="TX502222"/>
        <s v="TX502223"/>
        <s v="TX502224"/>
        <s v="TX502225"/>
        <s v="TX502226"/>
        <s v="TX502227"/>
        <s v="TX502228"/>
        <s v="TX502229"/>
        <s v="TX502230"/>
        <s v="TX502231"/>
        <s v="TX502232"/>
        <s v="TX502233"/>
        <s v="TX502234"/>
        <s v="TX502235"/>
        <s v="TX502236"/>
        <s v="TX502237"/>
        <s v="TX502238"/>
        <s v="TX502239"/>
        <s v="TX502240"/>
        <s v="TX502241"/>
        <s v="TX502242"/>
        <s v="TX502243"/>
        <s v="TX502244"/>
        <s v="TX502245"/>
        <s v="TX502246"/>
        <s v="TX502247"/>
        <s v="TX502248"/>
        <s v="TX502249"/>
        <s v="TX502250"/>
        <s v="TX502251"/>
        <s v="TX502252"/>
        <s v="TX502253"/>
        <s v="TX502254"/>
        <s v="TX502255"/>
        <s v="TX502256"/>
        <s v="TX502257"/>
        <s v="TX502258"/>
        <s v="TX502259"/>
        <s v="TX502260"/>
        <s v="TX502261"/>
        <s v="TX502262"/>
        <s v="TX502263"/>
        <s v="TX502264"/>
        <s v="TX502265"/>
        <s v="TX502266"/>
        <s v="TX502267"/>
        <s v="TX502268"/>
        <s v="TX502269"/>
        <s v="TX502270"/>
        <s v="TX502271"/>
        <s v="TX502272"/>
        <s v="TX502273"/>
        <s v="TX502274"/>
        <s v="TX502275"/>
        <s v="TX502276"/>
        <s v="TX502277"/>
        <s v="TX502278"/>
        <s v="TX502279"/>
        <s v="TX502280"/>
        <s v="TX502281"/>
        <s v="TX502282"/>
        <s v="TX502283"/>
        <s v="TX502284"/>
        <s v="TX502285"/>
        <s v="TX502286"/>
        <s v="TX502287"/>
        <s v="TX502288"/>
        <s v="TX502289"/>
        <s v="TX502290"/>
        <s v="TX502291"/>
        <s v="TX502292"/>
        <s v="TX502293"/>
        <s v="TX502294"/>
        <s v="TX502295"/>
        <s v="TX502296"/>
        <s v="TX502297"/>
        <s v="TX502298"/>
        <s v="TX502299"/>
        <s v="TX502300"/>
        <s v="TX502301"/>
        <s v="TX502302"/>
        <s v="TX502303"/>
        <s v="TX502304"/>
        <s v="TX502305"/>
        <s v="TX502306"/>
        <s v="TX502307"/>
        <s v="TX502308"/>
        <s v="TX502309"/>
        <s v="TX502310"/>
        <s v="TX502311"/>
        <s v="TX502312"/>
        <s v="TX502313"/>
        <s v="TX502314"/>
        <s v="TX502315"/>
        <s v="TX502316"/>
        <s v="TX502317"/>
        <s v="TX502318"/>
        <s v="TX502319"/>
        <s v="TX502320"/>
        <s v="TX502321"/>
        <s v="TX502322"/>
        <s v="TX502323"/>
        <s v="TX502324"/>
        <s v="TX502325"/>
        <s v="TX502326"/>
        <s v="TX502327"/>
        <s v="TX502328"/>
        <s v="TX502329"/>
        <s v="TX502330"/>
        <s v="TX502331"/>
        <s v="TX502332"/>
        <s v="TX502333"/>
        <s v="TX502334"/>
        <s v="TX502335"/>
        <s v="TX502336"/>
        <s v="TX502337"/>
        <s v="TX502338"/>
        <s v="TX502339"/>
        <s v="TX502340"/>
        <s v="TX502341"/>
        <s v="TX502342"/>
        <s v="TX502343"/>
        <s v="TX502344"/>
        <s v="TX502345"/>
        <s v="TX502346"/>
        <s v="TX502347"/>
        <s v="TX502348"/>
        <s v="TX502349"/>
        <s v="TX502350"/>
        <s v="TX502351"/>
        <s v="TX502352"/>
        <s v="TX502353"/>
        <s v="TX502354"/>
        <s v="TX502355"/>
        <s v="TX502356"/>
        <s v="TX502357"/>
        <s v="TX502358"/>
        <s v="TX502359"/>
        <s v="TX502360"/>
        <s v="TX502361"/>
        <s v="TX502362"/>
        <s v="TX502363"/>
        <s v="TX502364"/>
        <s v="TX502365"/>
        <s v="TX502366"/>
        <s v="TX502367"/>
        <s v="TX502368"/>
        <s v="TX502369"/>
        <s v="TX502370"/>
        <s v="TX502371"/>
        <s v="TX502372"/>
        <s v="TX502373"/>
        <s v="TX502374"/>
        <s v="TX502375"/>
        <s v="TX502376"/>
        <s v="TX502377"/>
        <s v="TX502378"/>
        <s v="TX502379"/>
        <s v="TX502380"/>
        <s v="TX502381"/>
        <s v="TX502382"/>
        <s v="TX502383"/>
        <s v="TX502384"/>
        <s v="TX502385"/>
        <s v="TX502386"/>
        <s v="TX502387"/>
        <s v="TX502388"/>
        <s v="TX502389"/>
        <s v="TX502390"/>
        <s v="TX502391"/>
        <s v="TX502392"/>
        <s v="TX502393"/>
        <s v="TX502394"/>
        <s v="TX502395"/>
        <s v="TX502396"/>
        <s v="TX502397"/>
        <s v="TX502398"/>
        <s v="TX502399"/>
        <s v="TX50240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7"/>
    </cacheField>
    <cacheField name="Ship Date" numFmtId="15">
      <sharedItems containsSemiMixedTypes="0" containsNonDate="0" containsDate="1" containsString="0" minDate="2025-01-02T00:00:00" maxDate="2025-04-11T00:00:00"/>
    </cacheField>
    <cacheField name="Customer Gender" numFmtId="0">
      <sharedItems count="4">
        <s v=""/>
        <s v="M"/>
        <s v="F"/>
        <s v="O"/>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0"/>
          <x v="1"/>
          <x v="2"/>
          <x v="6"/>
          <x v="5"/>
          <x v="5"/>
          <x v="5"/>
          <x v="6"/>
          <x v="6"/>
          <x v="3"/>
          <x v="5"/>
          <x v="6"/>
          <x v="4"/>
          <x v="6"/>
          <x v="5"/>
          <x v="5"/>
          <x v="5"/>
          <x v="5"/>
          <x v="5"/>
          <x v="5"/>
          <x v="5"/>
          <x v="5"/>
          <x v="5"/>
          <x v="5"/>
          <x v="5"/>
          <x v="5"/>
          <x v="5"/>
          <x v="5"/>
          <x v="5"/>
          <x v="5"/>
          <x v="5"/>
          <x v="5"/>
          <x v="5"/>
          <x v="5"/>
          <x v="5"/>
          <x v="5"/>
          <x v="5"/>
          <x v="5"/>
          <x v="5"/>
          <x v="5"/>
          <x v="5"/>
          <x v="5"/>
          <x v="5"/>
          <x v="5"/>
          <x v="5"/>
          <x v="5"/>
          <x v="5"/>
          <x v="5"/>
        </discretePr>
        <groupItems count="7">
          <n v="1"/>
          <n v="2"/>
          <n v="3"/>
          <n v="5"/>
          <n v="4"/>
          <s v="Group2"/>
          <s v="Group1"/>
        </groupItems>
      </fieldGroup>
    </cacheField>
    <cacheField name="Days (Order Date)" numFmtId="0" databaseField="0">
      <fieldGroup base="5">
        <rangePr groupBy="days" startDate="2025-01-01T00:00:00" endDate="2025-03-30T00:00:00"/>
        <groupItems count="368">
          <s v="&lt;1/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3/30/2025"/>
        </groupItems>
      </fieldGroup>
    </cacheField>
    <cacheField name="Months (Order Date)" numFmtId="0" databaseField="0">
      <fieldGroup base="5">
        <rangePr groupBy="months" startDate="2025-01-01T00:00:00" endDate="2025-03-30T00:00:00"/>
        <groupItems count="14">
          <s v="&lt;1/1/2025"/>
          <s v="Jan"/>
          <s v="Feb"/>
          <s v="Mar"/>
          <s v="Apr"/>
          <s v="May"/>
          <s v="Jun"/>
          <s v="Jul"/>
          <s v="Aug"/>
          <s v="Sep"/>
          <s v="Oct"/>
          <s v="Nov"/>
          <s v="Dec"/>
          <s v="&gt;3/30/2025"/>
        </groupItems>
      </fieldGroup>
    </cacheField>
  </cacheFields>
  <extLst>
    <ext xmlns:x14="http://schemas.microsoft.com/office/spreadsheetml/2009/9/main" uri="{725AE2AE-9491-48be-B2B4-4EB974FC3084}">
      <x14:pivotCacheDefinition pivotCacheId="19128435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x v="0"/>
    <x v="0"/>
    <x v="0"/>
    <n v="10.9"/>
    <n v="10.9"/>
    <x v="0"/>
    <d v="2025-01-06T00:00:00"/>
    <x v="0"/>
    <x v="0"/>
    <x v="0"/>
    <x v="0"/>
    <x v="0"/>
    <x v="0"/>
    <x v="0"/>
    <x v="0"/>
  </r>
  <r>
    <x v="1"/>
    <x v="1"/>
    <x v="1"/>
    <n v="30.6"/>
    <n v="61.2"/>
    <x v="0"/>
    <d v="2025-01-03T00:00:00"/>
    <x v="1"/>
    <x v="0"/>
    <x v="0"/>
    <x v="0"/>
    <x v="1"/>
    <x v="1"/>
    <x v="0"/>
    <x v="1"/>
  </r>
  <r>
    <x v="2"/>
    <x v="2"/>
    <x v="2"/>
    <n v="109.4"/>
    <n v="328.20000000000005"/>
    <x v="0"/>
    <d v="2025-01-04T00:00:00"/>
    <x v="2"/>
    <x v="0"/>
    <x v="1"/>
    <x v="0"/>
    <x v="2"/>
    <x v="2"/>
    <x v="0"/>
    <x v="2"/>
  </r>
  <r>
    <x v="3"/>
    <x v="3"/>
    <x v="3"/>
    <n v="37.700000000000003"/>
    <n v="263.90000000000003"/>
    <x v="0"/>
    <d v="2025-01-02T00:00:00"/>
    <x v="2"/>
    <x v="0"/>
    <x v="0"/>
    <x v="0"/>
    <x v="2"/>
    <x v="3"/>
    <x v="0"/>
    <x v="2"/>
  </r>
  <r>
    <x v="4"/>
    <x v="4"/>
    <x v="2"/>
    <n v="56.7"/>
    <n v="170.10000000000002"/>
    <x v="0"/>
    <d v="2025-01-04T00:00:00"/>
    <x v="2"/>
    <x v="0"/>
    <x v="2"/>
    <x v="0"/>
    <x v="3"/>
    <x v="2"/>
    <x v="0"/>
    <x v="2"/>
  </r>
  <r>
    <x v="5"/>
    <x v="1"/>
    <x v="4"/>
    <n v="83.5"/>
    <n v="1002"/>
    <x v="0"/>
    <d v="2025-01-04T00:00:00"/>
    <x v="1"/>
    <x v="1"/>
    <x v="0"/>
    <x v="0"/>
    <x v="3"/>
    <x v="2"/>
    <x v="0"/>
    <x v="1"/>
  </r>
  <r>
    <x v="6"/>
    <x v="5"/>
    <x v="0"/>
    <n v="55.3"/>
    <n v="55.3"/>
    <x v="0"/>
    <d v="2025-01-02T00:00:00"/>
    <x v="2"/>
    <x v="0"/>
    <x v="0"/>
    <x v="0"/>
    <x v="3"/>
    <x v="3"/>
    <x v="0"/>
    <x v="2"/>
  </r>
  <r>
    <x v="7"/>
    <x v="6"/>
    <x v="1"/>
    <n v="40.299999999999997"/>
    <n v="80.599999999999994"/>
    <x v="0"/>
    <d v="2025-01-02T00:00:00"/>
    <x v="1"/>
    <x v="2"/>
    <x v="2"/>
    <x v="0"/>
    <x v="3"/>
    <x v="3"/>
    <x v="0"/>
    <x v="1"/>
  </r>
  <r>
    <x v="8"/>
    <x v="7"/>
    <x v="5"/>
    <n v="35.700000000000003"/>
    <n v="392.70000000000005"/>
    <x v="0"/>
    <d v="2025-01-02T00:00:00"/>
    <x v="2"/>
    <x v="0"/>
    <x v="0"/>
    <x v="0"/>
    <x v="3"/>
    <x v="3"/>
    <x v="0"/>
    <x v="2"/>
  </r>
  <r>
    <x v="9"/>
    <x v="8"/>
    <x v="3"/>
    <n v="22.4"/>
    <n v="156.79999999999998"/>
    <x v="0"/>
    <d v="2025-01-04T00:00:00"/>
    <x v="1"/>
    <x v="0"/>
    <x v="1"/>
    <x v="0"/>
    <x v="3"/>
    <x v="2"/>
    <x v="0"/>
    <x v="1"/>
  </r>
  <r>
    <x v="10"/>
    <x v="9"/>
    <x v="1"/>
    <n v="54.4"/>
    <n v="108.8"/>
    <x v="0"/>
    <d v="2025-01-07T00:00:00"/>
    <x v="2"/>
    <x v="0"/>
    <x v="0"/>
    <x v="0"/>
    <x v="3"/>
    <x v="4"/>
    <x v="0"/>
    <x v="2"/>
  </r>
  <r>
    <x v="11"/>
    <x v="9"/>
    <x v="1"/>
    <n v="49"/>
    <n v="98"/>
    <x v="0"/>
    <d v="2025-01-03T00:00:00"/>
    <x v="2"/>
    <x v="2"/>
    <x v="1"/>
    <x v="0"/>
    <x v="3"/>
    <x v="1"/>
    <x v="0"/>
    <x v="2"/>
  </r>
  <r>
    <x v="12"/>
    <x v="5"/>
    <x v="3"/>
    <n v="118.6"/>
    <n v="830.19999999999993"/>
    <x v="0"/>
    <d v="2025-01-05T00:00:00"/>
    <x v="2"/>
    <x v="1"/>
    <x v="0"/>
    <x v="0"/>
    <x v="4"/>
    <x v="5"/>
    <x v="0"/>
    <x v="2"/>
  </r>
  <r>
    <x v="13"/>
    <x v="6"/>
    <x v="6"/>
    <n v="88.4"/>
    <n v="2386.8000000000002"/>
    <x v="0"/>
    <d v="2025-01-08T00:00:00"/>
    <x v="1"/>
    <x v="3"/>
    <x v="0"/>
    <x v="0"/>
    <x v="5"/>
    <x v="6"/>
    <x v="0"/>
    <x v="1"/>
  </r>
  <r>
    <x v="14"/>
    <x v="10"/>
    <x v="0"/>
    <n v="66.7"/>
    <n v="66.7"/>
    <x v="0"/>
    <d v="2025-01-04T00:00:00"/>
    <x v="1"/>
    <x v="0"/>
    <x v="0"/>
    <x v="0"/>
    <x v="6"/>
    <x v="2"/>
    <x v="0"/>
    <x v="1"/>
  </r>
  <r>
    <x v="15"/>
    <x v="9"/>
    <x v="7"/>
    <n v="30.9"/>
    <n v="309"/>
    <x v="0"/>
    <d v="2025-01-02T00:00:00"/>
    <x v="1"/>
    <x v="1"/>
    <x v="2"/>
    <x v="0"/>
    <x v="6"/>
    <x v="3"/>
    <x v="0"/>
    <x v="1"/>
  </r>
  <r>
    <x v="16"/>
    <x v="4"/>
    <x v="2"/>
    <n v="31.1"/>
    <n v="93.300000000000011"/>
    <x v="0"/>
    <d v="2025-01-02T00:00:00"/>
    <x v="2"/>
    <x v="0"/>
    <x v="1"/>
    <x v="0"/>
    <x v="6"/>
    <x v="3"/>
    <x v="0"/>
    <x v="2"/>
  </r>
  <r>
    <x v="17"/>
    <x v="7"/>
    <x v="2"/>
    <n v="36.6"/>
    <n v="109.80000000000001"/>
    <x v="0"/>
    <d v="2025-01-04T00:00:00"/>
    <x v="2"/>
    <x v="0"/>
    <x v="0"/>
    <x v="0"/>
    <x v="7"/>
    <x v="2"/>
    <x v="0"/>
    <x v="2"/>
  </r>
  <r>
    <x v="18"/>
    <x v="6"/>
    <x v="8"/>
    <n v="51.1"/>
    <n v="408.8"/>
    <x v="0"/>
    <d v="2025-01-04T00:00:00"/>
    <x v="2"/>
    <x v="2"/>
    <x v="3"/>
    <x v="0"/>
    <x v="7"/>
    <x v="2"/>
    <x v="0"/>
    <x v="2"/>
  </r>
  <r>
    <x v="19"/>
    <x v="9"/>
    <x v="0"/>
    <n v="25.2"/>
    <n v="25.2"/>
    <x v="0"/>
    <d v="2025-01-02T00:00:00"/>
    <x v="2"/>
    <x v="1"/>
    <x v="2"/>
    <x v="0"/>
    <x v="8"/>
    <x v="3"/>
    <x v="0"/>
    <x v="2"/>
  </r>
  <r>
    <x v="20"/>
    <x v="9"/>
    <x v="9"/>
    <n v="43.8"/>
    <n v="219"/>
    <x v="0"/>
    <d v="2025-01-04T00:00:00"/>
    <x v="2"/>
    <x v="2"/>
    <x v="0"/>
    <x v="0"/>
    <x v="8"/>
    <x v="2"/>
    <x v="0"/>
    <x v="2"/>
  </r>
  <r>
    <x v="21"/>
    <x v="8"/>
    <x v="4"/>
    <n v="46.7"/>
    <n v="560.40000000000009"/>
    <x v="0"/>
    <d v="2025-01-02T00:00:00"/>
    <x v="2"/>
    <x v="1"/>
    <x v="1"/>
    <x v="0"/>
    <x v="8"/>
    <x v="3"/>
    <x v="0"/>
    <x v="2"/>
  </r>
  <r>
    <x v="22"/>
    <x v="3"/>
    <x v="10"/>
    <n v="79.900000000000006"/>
    <n v="1518.1000000000001"/>
    <x v="0"/>
    <d v="2025-01-02T00:00:00"/>
    <x v="1"/>
    <x v="0"/>
    <x v="2"/>
    <x v="0"/>
    <x v="8"/>
    <x v="3"/>
    <x v="0"/>
    <x v="1"/>
  </r>
  <r>
    <x v="23"/>
    <x v="11"/>
    <x v="8"/>
    <n v="26.4"/>
    <n v="211.2"/>
    <x v="0"/>
    <d v="2025-01-02T00:00:00"/>
    <x v="2"/>
    <x v="3"/>
    <x v="0"/>
    <x v="0"/>
    <x v="8"/>
    <x v="3"/>
    <x v="0"/>
    <x v="2"/>
  </r>
  <r>
    <x v="24"/>
    <x v="12"/>
    <x v="8"/>
    <n v="88.8"/>
    <n v="710.4"/>
    <x v="0"/>
    <d v="2025-01-02T00:00:00"/>
    <x v="2"/>
    <x v="4"/>
    <x v="0"/>
    <x v="0"/>
    <x v="8"/>
    <x v="3"/>
    <x v="0"/>
    <x v="2"/>
  </r>
  <r>
    <x v="25"/>
    <x v="0"/>
    <x v="7"/>
    <n v="17.5"/>
    <n v="175"/>
    <x v="0"/>
    <d v="2025-01-02T00:00:00"/>
    <x v="2"/>
    <x v="2"/>
    <x v="0"/>
    <x v="0"/>
    <x v="9"/>
    <x v="3"/>
    <x v="0"/>
    <x v="2"/>
  </r>
  <r>
    <x v="26"/>
    <x v="1"/>
    <x v="11"/>
    <n v="38.700000000000003"/>
    <n v="348.3"/>
    <x v="0"/>
    <d v="2025-01-04T00:00:00"/>
    <x v="1"/>
    <x v="1"/>
    <x v="0"/>
    <x v="0"/>
    <x v="10"/>
    <x v="2"/>
    <x v="0"/>
    <x v="1"/>
  </r>
  <r>
    <x v="27"/>
    <x v="13"/>
    <x v="12"/>
    <n v="57.2"/>
    <n v="228.8"/>
    <x v="0"/>
    <d v="2025-01-03T00:00:00"/>
    <x v="0"/>
    <x v="1"/>
    <x v="2"/>
    <x v="0"/>
    <x v="11"/>
    <x v="1"/>
    <x v="0"/>
    <x v="0"/>
  </r>
  <r>
    <x v="28"/>
    <x v="6"/>
    <x v="9"/>
    <n v="50.9"/>
    <n v="254.5"/>
    <x v="0"/>
    <d v="2025-01-07T00:00:00"/>
    <x v="0"/>
    <x v="1"/>
    <x v="2"/>
    <x v="0"/>
    <x v="12"/>
    <x v="4"/>
    <x v="0"/>
    <x v="0"/>
  </r>
  <r>
    <x v="29"/>
    <x v="14"/>
    <x v="3"/>
    <n v="41"/>
    <n v="287"/>
    <x v="0"/>
    <d v="2025-01-05T00:00:00"/>
    <x v="2"/>
    <x v="1"/>
    <x v="0"/>
    <x v="0"/>
    <x v="13"/>
    <x v="5"/>
    <x v="0"/>
    <x v="2"/>
  </r>
  <r>
    <x v="30"/>
    <x v="8"/>
    <x v="3"/>
    <n v="19.100000000000001"/>
    <n v="133.70000000000002"/>
    <x v="0"/>
    <d v="2025-01-05T00:00:00"/>
    <x v="1"/>
    <x v="0"/>
    <x v="2"/>
    <x v="0"/>
    <x v="14"/>
    <x v="5"/>
    <x v="0"/>
    <x v="1"/>
  </r>
  <r>
    <x v="31"/>
    <x v="2"/>
    <x v="9"/>
    <n v="166.1"/>
    <n v="830.5"/>
    <x v="0"/>
    <d v="2025-01-04T00:00:00"/>
    <x v="1"/>
    <x v="0"/>
    <x v="0"/>
    <x v="0"/>
    <x v="15"/>
    <x v="2"/>
    <x v="0"/>
    <x v="1"/>
  </r>
  <r>
    <x v="32"/>
    <x v="4"/>
    <x v="2"/>
    <n v="29.9"/>
    <n v="89.699999999999989"/>
    <x v="0"/>
    <d v="2025-01-02T00:00:00"/>
    <x v="1"/>
    <x v="3"/>
    <x v="0"/>
    <x v="0"/>
    <x v="3"/>
    <x v="3"/>
    <x v="0"/>
    <x v="1"/>
  </r>
  <r>
    <x v="33"/>
    <x v="10"/>
    <x v="13"/>
    <n v="21.7"/>
    <n v="130.19999999999999"/>
    <x v="0"/>
    <d v="2025-01-03T00:00:00"/>
    <x v="3"/>
    <x v="2"/>
    <x v="2"/>
    <x v="0"/>
    <x v="3"/>
    <x v="1"/>
    <x v="0"/>
    <x v="3"/>
  </r>
  <r>
    <x v="34"/>
    <x v="11"/>
    <x v="1"/>
    <n v="32"/>
    <n v="64"/>
    <x v="0"/>
    <d v="2025-01-04T00:00:00"/>
    <x v="1"/>
    <x v="0"/>
    <x v="2"/>
    <x v="0"/>
    <x v="3"/>
    <x v="2"/>
    <x v="0"/>
    <x v="1"/>
  </r>
  <r>
    <x v="35"/>
    <x v="8"/>
    <x v="1"/>
    <n v="15.8"/>
    <n v="31.6"/>
    <x v="0"/>
    <d v="2025-01-02T00:00:00"/>
    <x v="1"/>
    <x v="4"/>
    <x v="2"/>
    <x v="0"/>
    <x v="3"/>
    <x v="3"/>
    <x v="0"/>
    <x v="1"/>
  </r>
  <r>
    <x v="36"/>
    <x v="2"/>
    <x v="14"/>
    <n v="203.1"/>
    <n v="3452.7"/>
    <x v="0"/>
    <d v="2025-01-05T00:00:00"/>
    <x v="1"/>
    <x v="3"/>
    <x v="1"/>
    <x v="0"/>
    <x v="3"/>
    <x v="5"/>
    <x v="0"/>
    <x v="1"/>
  </r>
  <r>
    <x v="37"/>
    <x v="7"/>
    <x v="15"/>
    <n v="39"/>
    <n v="507"/>
    <x v="0"/>
    <d v="2025-01-07T00:00:00"/>
    <x v="1"/>
    <x v="0"/>
    <x v="2"/>
    <x v="0"/>
    <x v="3"/>
    <x v="4"/>
    <x v="0"/>
    <x v="1"/>
  </r>
  <r>
    <x v="38"/>
    <x v="10"/>
    <x v="0"/>
    <n v="26.5"/>
    <n v="26.5"/>
    <x v="1"/>
    <d v="2025-01-03T00:00:00"/>
    <x v="1"/>
    <x v="2"/>
    <x v="0"/>
    <x v="0"/>
    <x v="3"/>
    <x v="3"/>
    <x v="0"/>
    <x v="1"/>
  </r>
  <r>
    <x v="39"/>
    <x v="5"/>
    <x v="0"/>
    <n v="43.1"/>
    <n v="43.1"/>
    <x v="1"/>
    <d v="2025-01-03T00:00:00"/>
    <x v="2"/>
    <x v="2"/>
    <x v="1"/>
    <x v="0"/>
    <x v="3"/>
    <x v="3"/>
    <x v="0"/>
    <x v="2"/>
  </r>
  <r>
    <x v="40"/>
    <x v="1"/>
    <x v="2"/>
    <n v="139"/>
    <n v="417"/>
    <x v="1"/>
    <d v="2025-01-03T00:00:00"/>
    <x v="2"/>
    <x v="4"/>
    <x v="2"/>
    <x v="0"/>
    <x v="3"/>
    <x v="3"/>
    <x v="0"/>
    <x v="2"/>
  </r>
  <r>
    <x v="41"/>
    <x v="12"/>
    <x v="0"/>
    <n v="80.7"/>
    <n v="80.7"/>
    <x v="1"/>
    <d v="2025-01-03T00:00:00"/>
    <x v="1"/>
    <x v="0"/>
    <x v="2"/>
    <x v="0"/>
    <x v="16"/>
    <x v="3"/>
    <x v="0"/>
    <x v="1"/>
  </r>
  <r>
    <x v="42"/>
    <x v="4"/>
    <x v="1"/>
    <n v="54.5"/>
    <n v="109"/>
    <x v="1"/>
    <d v="2025-01-04T00:00:00"/>
    <x v="1"/>
    <x v="1"/>
    <x v="1"/>
    <x v="0"/>
    <x v="6"/>
    <x v="1"/>
    <x v="0"/>
    <x v="1"/>
  </r>
  <r>
    <x v="43"/>
    <x v="6"/>
    <x v="2"/>
    <n v="68.599999999999994"/>
    <n v="205.79999999999998"/>
    <x v="1"/>
    <d v="2025-01-02T00:00:00"/>
    <x v="2"/>
    <x v="0"/>
    <x v="1"/>
    <x v="0"/>
    <x v="8"/>
    <x v="7"/>
    <x v="0"/>
    <x v="2"/>
  </r>
  <r>
    <x v="44"/>
    <x v="2"/>
    <x v="12"/>
    <n v="135.9"/>
    <n v="543.6"/>
    <x v="1"/>
    <d v="2025-01-03T00:00:00"/>
    <x v="2"/>
    <x v="2"/>
    <x v="2"/>
    <x v="0"/>
    <x v="8"/>
    <x v="3"/>
    <x v="0"/>
    <x v="2"/>
  </r>
  <r>
    <x v="45"/>
    <x v="2"/>
    <x v="12"/>
    <n v="70.900000000000006"/>
    <n v="283.60000000000002"/>
    <x v="1"/>
    <d v="2025-01-03T00:00:00"/>
    <x v="2"/>
    <x v="0"/>
    <x v="0"/>
    <x v="0"/>
    <x v="17"/>
    <x v="3"/>
    <x v="0"/>
    <x v="2"/>
  </r>
  <r>
    <x v="46"/>
    <x v="1"/>
    <x v="9"/>
    <n v="63.7"/>
    <n v="318.5"/>
    <x v="1"/>
    <d v="2025-01-03T00:00:00"/>
    <x v="1"/>
    <x v="1"/>
    <x v="1"/>
    <x v="0"/>
    <x v="9"/>
    <x v="3"/>
    <x v="0"/>
    <x v="1"/>
  </r>
  <r>
    <x v="47"/>
    <x v="13"/>
    <x v="0"/>
    <n v="29.7"/>
    <n v="29.7"/>
    <x v="1"/>
    <d v="2025-01-04T00:00:00"/>
    <x v="2"/>
    <x v="1"/>
    <x v="0"/>
    <x v="0"/>
    <x v="11"/>
    <x v="1"/>
    <x v="0"/>
    <x v="2"/>
  </r>
  <r>
    <x v="48"/>
    <x v="4"/>
    <x v="2"/>
    <n v="26.8"/>
    <n v="80.400000000000006"/>
    <x v="1"/>
    <d v="2025-01-11T00:00:00"/>
    <x v="2"/>
    <x v="1"/>
    <x v="2"/>
    <x v="0"/>
    <x v="11"/>
    <x v="8"/>
    <x v="0"/>
    <x v="2"/>
  </r>
  <r>
    <x v="49"/>
    <x v="14"/>
    <x v="0"/>
    <n v="27"/>
    <n v="27"/>
    <x v="1"/>
    <d v="2025-01-04T00:00:00"/>
    <x v="2"/>
    <x v="0"/>
    <x v="0"/>
    <x v="0"/>
    <x v="18"/>
    <x v="1"/>
    <x v="0"/>
    <x v="2"/>
  </r>
  <r>
    <x v="50"/>
    <x v="8"/>
    <x v="0"/>
    <n v="41.4"/>
    <n v="41.4"/>
    <x v="1"/>
    <d v="2025-01-03T00:00:00"/>
    <x v="1"/>
    <x v="1"/>
    <x v="2"/>
    <x v="0"/>
    <x v="19"/>
    <x v="3"/>
    <x v="0"/>
    <x v="1"/>
  </r>
  <r>
    <x v="51"/>
    <x v="8"/>
    <x v="1"/>
    <n v="24.3"/>
    <n v="48.6"/>
    <x v="1"/>
    <d v="2025-01-05T00:00:00"/>
    <x v="2"/>
    <x v="1"/>
    <x v="0"/>
    <x v="0"/>
    <x v="19"/>
    <x v="2"/>
    <x v="0"/>
    <x v="2"/>
  </r>
  <r>
    <x v="52"/>
    <x v="8"/>
    <x v="2"/>
    <n v="41.7"/>
    <n v="125.10000000000001"/>
    <x v="1"/>
    <d v="2025-01-04T00:00:00"/>
    <x v="1"/>
    <x v="0"/>
    <x v="2"/>
    <x v="0"/>
    <x v="20"/>
    <x v="1"/>
    <x v="0"/>
    <x v="1"/>
  </r>
  <r>
    <x v="53"/>
    <x v="0"/>
    <x v="1"/>
    <n v="18"/>
    <n v="36"/>
    <x v="1"/>
    <d v="2025-01-03T00:00:00"/>
    <x v="2"/>
    <x v="0"/>
    <x v="2"/>
    <x v="0"/>
    <x v="21"/>
    <x v="3"/>
    <x v="0"/>
    <x v="2"/>
  </r>
  <r>
    <x v="54"/>
    <x v="7"/>
    <x v="2"/>
    <n v="91.3"/>
    <n v="273.89999999999998"/>
    <x v="1"/>
    <d v="2025-01-05T00:00:00"/>
    <x v="1"/>
    <x v="2"/>
    <x v="2"/>
    <x v="0"/>
    <x v="3"/>
    <x v="2"/>
    <x v="0"/>
    <x v="1"/>
  </r>
  <r>
    <x v="55"/>
    <x v="8"/>
    <x v="8"/>
    <n v="19.3"/>
    <n v="154.4"/>
    <x v="1"/>
    <d v="2025-01-03T00:00:00"/>
    <x v="1"/>
    <x v="0"/>
    <x v="0"/>
    <x v="0"/>
    <x v="3"/>
    <x v="3"/>
    <x v="0"/>
    <x v="1"/>
  </r>
  <r>
    <x v="56"/>
    <x v="12"/>
    <x v="15"/>
    <n v="63.2"/>
    <n v="821.6"/>
    <x v="1"/>
    <d v="2025-01-03T00:00:00"/>
    <x v="2"/>
    <x v="0"/>
    <x v="0"/>
    <x v="0"/>
    <x v="3"/>
    <x v="3"/>
    <x v="0"/>
    <x v="2"/>
  </r>
  <r>
    <x v="57"/>
    <x v="10"/>
    <x v="11"/>
    <n v="33.299999999999997"/>
    <n v="299.7"/>
    <x v="2"/>
    <d v="2025-01-11T00:00:00"/>
    <x v="2"/>
    <x v="0"/>
    <x v="2"/>
    <x v="0"/>
    <x v="3"/>
    <x v="9"/>
    <x v="0"/>
    <x v="2"/>
  </r>
  <r>
    <x v="58"/>
    <x v="7"/>
    <x v="1"/>
    <n v="64.2"/>
    <n v="128.4"/>
    <x v="2"/>
    <d v="2025-01-04T00:00:00"/>
    <x v="1"/>
    <x v="0"/>
    <x v="2"/>
    <x v="0"/>
    <x v="3"/>
    <x v="3"/>
    <x v="0"/>
    <x v="1"/>
  </r>
  <r>
    <x v="59"/>
    <x v="9"/>
    <x v="2"/>
    <n v="23.1"/>
    <n v="69.300000000000011"/>
    <x v="2"/>
    <d v="2025-01-06T00:00:00"/>
    <x v="2"/>
    <x v="1"/>
    <x v="2"/>
    <x v="0"/>
    <x v="3"/>
    <x v="2"/>
    <x v="0"/>
    <x v="2"/>
  </r>
  <r>
    <x v="60"/>
    <x v="15"/>
    <x v="1"/>
    <n v="71.099999999999994"/>
    <n v="142.19999999999999"/>
    <x v="2"/>
    <d v="2025-01-05T00:00:00"/>
    <x v="2"/>
    <x v="3"/>
    <x v="1"/>
    <x v="0"/>
    <x v="3"/>
    <x v="1"/>
    <x v="0"/>
    <x v="2"/>
  </r>
  <r>
    <x v="61"/>
    <x v="0"/>
    <x v="1"/>
    <n v="11.5"/>
    <n v="23"/>
    <x v="2"/>
    <d v="2025-01-04T00:00:00"/>
    <x v="2"/>
    <x v="0"/>
    <x v="0"/>
    <x v="0"/>
    <x v="3"/>
    <x v="3"/>
    <x v="0"/>
    <x v="2"/>
  </r>
  <r>
    <x v="62"/>
    <x v="15"/>
    <x v="10"/>
    <n v="69.2"/>
    <n v="1314.8"/>
    <x v="2"/>
    <d v="2025-01-08T00:00:00"/>
    <x v="2"/>
    <x v="0"/>
    <x v="0"/>
    <x v="0"/>
    <x v="3"/>
    <x v="0"/>
    <x v="0"/>
    <x v="2"/>
  </r>
  <r>
    <x v="63"/>
    <x v="0"/>
    <x v="0"/>
    <n v="26.8"/>
    <n v="26.8"/>
    <x v="2"/>
    <d v="2025-01-04T00:00:00"/>
    <x v="1"/>
    <x v="2"/>
    <x v="4"/>
    <x v="0"/>
    <x v="3"/>
    <x v="3"/>
    <x v="0"/>
    <x v="1"/>
  </r>
  <r>
    <x v="64"/>
    <x v="16"/>
    <x v="2"/>
    <n v="31.2"/>
    <n v="93.6"/>
    <x v="2"/>
    <d v="2025-01-06T00:00:00"/>
    <x v="2"/>
    <x v="0"/>
    <x v="0"/>
    <x v="0"/>
    <x v="3"/>
    <x v="2"/>
    <x v="0"/>
    <x v="2"/>
  </r>
  <r>
    <x v="65"/>
    <x v="12"/>
    <x v="1"/>
    <n v="113.2"/>
    <n v="226.4"/>
    <x v="2"/>
    <d v="2025-01-04T00:00:00"/>
    <x v="2"/>
    <x v="4"/>
    <x v="0"/>
    <x v="0"/>
    <x v="3"/>
    <x v="3"/>
    <x v="0"/>
    <x v="2"/>
  </r>
  <r>
    <x v="66"/>
    <x v="10"/>
    <x v="8"/>
    <n v="21"/>
    <n v="168"/>
    <x v="2"/>
    <d v="2025-01-04T00:00:00"/>
    <x v="1"/>
    <x v="0"/>
    <x v="0"/>
    <x v="0"/>
    <x v="6"/>
    <x v="3"/>
    <x v="0"/>
    <x v="1"/>
  </r>
  <r>
    <x v="67"/>
    <x v="1"/>
    <x v="1"/>
    <n v="89.1"/>
    <n v="178.2"/>
    <x v="2"/>
    <d v="2025-01-04T00:00:00"/>
    <x v="2"/>
    <x v="2"/>
    <x v="2"/>
    <x v="0"/>
    <x v="6"/>
    <x v="3"/>
    <x v="0"/>
    <x v="2"/>
  </r>
  <r>
    <x v="68"/>
    <x v="1"/>
    <x v="0"/>
    <n v="97.7"/>
    <n v="97.7"/>
    <x v="2"/>
    <d v="2025-01-05T00:00:00"/>
    <x v="2"/>
    <x v="0"/>
    <x v="1"/>
    <x v="0"/>
    <x v="6"/>
    <x v="1"/>
    <x v="0"/>
    <x v="2"/>
  </r>
  <r>
    <x v="69"/>
    <x v="15"/>
    <x v="12"/>
    <n v="97.7"/>
    <n v="390.8"/>
    <x v="2"/>
    <d v="2025-01-05T00:00:00"/>
    <x v="1"/>
    <x v="3"/>
    <x v="0"/>
    <x v="0"/>
    <x v="6"/>
    <x v="1"/>
    <x v="0"/>
    <x v="1"/>
  </r>
  <r>
    <x v="70"/>
    <x v="17"/>
    <x v="2"/>
    <n v="47.4"/>
    <n v="142.19999999999999"/>
    <x v="2"/>
    <d v="2025-01-06T00:00:00"/>
    <x v="1"/>
    <x v="3"/>
    <x v="2"/>
    <x v="0"/>
    <x v="8"/>
    <x v="2"/>
    <x v="0"/>
    <x v="1"/>
  </r>
  <r>
    <x v="71"/>
    <x v="7"/>
    <x v="0"/>
    <n v="89.6"/>
    <n v="89.6"/>
    <x v="2"/>
    <d v="2025-01-06T00:00:00"/>
    <x v="2"/>
    <x v="0"/>
    <x v="2"/>
    <x v="0"/>
    <x v="8"/>
    <x v="2"/>
    <x v="0"/>
    <x v="2"/>
  </r>
  <r>
    <x v="72"/>
    <x v="10"/>
    <x v="16"/>
    <n v="28.4"/>
    <n v="511.2"/>
    <x v="2"/>
    <d v="2025-01-06T00:00:00"/>
    <x v="2"/>
    <x v="3"/>
    <x v="2"/>
    <x v="0"/>
    <x v="17"/>
    <x v="2"/>
    <x v="0"/>
    <x v="2"/>
  </r>
  <r>
    <x v="73"/>
    <x v="0"/>
    <x v="1"/>
    <n v="17.899999999999999"/>
    <n v="35.799999999999997"/>
    <x v="2"/>
    <d v="2025-01-04T00:00:00"/>
    <x v="2"/>
    <x v="0"/>
    <x v="2"/>
    <x v="0"/>
    <x v="9"/>
    <x v="3"/>
    <x v="0"/>
    <x v="2"/>
  </r>
  <r>
    <x v="74"/>
    <x v="9"/>
    <x v="1"/>
    <n v="48.4"/>
    <n v="96.8"/>
    <x v="2"/>
    <d v="2025-01-06T00:00:00"/>
    <x v="1"/>
    <x v="1"/>
    <x v="0"/>
    <x v="0"/>
    <x v="9"/>
    <x v="2"/>
    <x v="0"/>
    <x v="1"/>
  </r>
  <r>
    <x v="75"/>
    <x v="12"/>
    <x v="12"/>
    <n v="44.4"/>
    <n v="177.6"/>
    <x v="2"/>
    <d v="2025-01-04T00:00:00"/>
    <x v="3"/>
    <x v="1"/>
    <x v="1"/>
    <x v="0"/>
    <x v="11"/>
    <x v="3"/>
    <x v="0"/>
    <x v="3"/>
  </r>
  <r>
    <x v="76"/>
    <x v="2"/>
    <x v="8"/>
    <n v="103.7"/>
    <n v="829.6"/>
    <x v="2"/>
    <d v="2025-01-04T00:00:00"/>
    <x v="2"/>
    <x v="0"/>
    <x v="1"/>
    <x v="0"/>
    <x v="19"/>
    <x v="3"/>
    <x v="0"/>
    <x v="2"/>
  </r>
  <r>
    <x v="77"/>
    <x v="5"/>
    <x v="12"/>
    <n v="58.6"/>
    <n v="234.4"/>
    <x v="2"/>
    <d v="2025-01-05T00:00:00"/>
    <x v="1"/>
    <x v="3"/>
    <x v="0"/>
    <x v="0"/>
    <x v="19"/>
    <x v="1"/>
    <x v="0"/>
    <x v="1"/>
  </r>
  <r>
    <x v="78"/>
    <x v="9"/>
    <x v="12"/>
    <n v="54.8"/>
    <n v="219.2"/>
    <x v="2"/>
    <d v="2025-01-07T00:00:00"/>
    <x v="2"/>
    <x v="2"/>
    <x v="1"/>
    <x v="0"/>
    <x v="13"/>
    <x v="5"/>
    <x v="0"/>
    <x v="2"/>
  </r>
  <r>
    <x v="79"/>
    <x v="12"/>
    <x v="2"/>
    <n v="78.8"/>
    <n v="236.39999999999998"/>
    <x v="2"/>
    <d v="2025-01-09T00:00:00"/>
    <x v="2"/>
    <x v="4"/>
    <x v="1"/>
    <x v="0"/>
    <x v="21"/>
    <x v="4"/>
    <x v="0"/>
    <x v="2"/>
  </r>
  <r>
    <x v="80"/>
    <x v="18"/>
    <x v="9"/>
    <n v="36.799999999999997"/>
    <n v="184"/>
    <x v="2"/>
    <d v="2025-01-06T00:00:00"/>
    <x v="1"/>
    <x v="4"/>
    <x v="1"/>
    <x v="0"/>
    <x v="22"/>
    <x v="2"/>
    <x v="0"/>
    <x v="1"/>
  </r>
  <r>
    <x v="81"/>
    <x v="6"/>
    <x v="13"/>
    <n v="50.6"/>
    <n v="303.60000000000002"/>
    <x v="2"/>
    <d v="2025-01-05T00:00:00"/>
    <x v="2"/>
    <x v="3"/>
    <x v="0"/>
    <x v="0"/>
    <x v="3"/>
    <x v="1"/>
    <x v="0"/>
    <x v="2"/>
  </r>
  <r>
    <x v="82"/>
    <x v="15"/>
    <x v="2"/>
    <n v="36.799999999999997"/>
    <n v="110.39999999999999"/>
    <x v="2"/>
    <d v="2025-01-03T00:00:00"/>
    <x v="1"/>
    <x v="2"/>
    <x v="1"/>
    <x v="0"/>
    <x v="3"/>
    <x v="7"/>
    <x v="0"/>
    <x v="1"/>
  </r>
  <r>
    <x v="83"/>
    <x v="8"/>
    <x v="11"/>
    <n v="41.8"/>
    <n v="376.2"/>
    <x v="3"/>
    <d v="2025-01-10T00:00:00"/>
    <x v="2"/>
    <x v="3"/>
    <x v="0"/>
    <x v="0"/>
    <x v="3"/>
    <x v="4"/>
    <x v="0"/>
    <x v="2"/>
  </r>
  <r>
    <x v="84"/>
    <x v="18"/>
    <x v="0"/>
    <n v="77.3"/>
    <n v="77.3"/>
    <x v="3"/>
    <d v="2025-01-05T00:00:00"/>
    <x v="1"/>
    <x v="4"/>
    <x v="4"/>
    <x v="0"/>
    <x v="3"/>
    <x v="3"/>
    <x v="0"/>
    <x v="1"/>
  </r>
  <r>
    <x v="85"/>
    <x v="8"/>
    <x v="12"/>
    <n v="19.8"/>
    <n v="79.2"/>
    <x v="3"/>
    <d v="2025-01-10T00:00:00"/>
    <x v="1"/>
    <x v="1"/>
    <x v="2"/>
    <x v="0"/>
    <x v="3"/>
    <x v="4"/>
    <x v="0"/>
    <x v="1"/>
  </r>
  <r>
    <x v="86"/>
    <x v="13"/>
    <x v="12"/>
    <n v="15.5"/>
    <n v="62"/>
    <x v="3"/>
    <d v="2025-01-05T00:00:00"/>
    <x v="2"/>
    <x v="1"/>
    <x v="2"/>
    <x v="0"/>
    <x v="3"/>
    <x v="3"/>
    <x v="0"/>
    <x v="2"/>
  </r>
  <r>
    <x v="87"/>
    <x v="12"/>
    <x v="0"/>
    <n v="46.8"/>
    <n v="46.8"/>
    <x v="3"/>
    <d v="2025-01-08T00:00:00"/>
    <x v="1"/>
    <x v="0"/>
    <x v="2"/>
    <x v="0"/>
    <x v="3"/>
    <x v="5"/>
    <x v="0"/>
    <x v="1"/>
  </r>
  <r>
    <x v="88"/>
    <x v="9"/>
    <x v="11"/>
    <n v="28.6"/>
    <n v="257.40000000000003"/>
    <x v="3"/>
    <d v="2025-01-08T00:00:00"/>
    <x v="1"/>
    <x v="0"/>
    <x v="2"/>
    <x v="0"/>
    <x v="3"/>
    <x v="5"/>
    <x v="0"/>
    <x v="1"/>
  </r>
  <r>
    <x v="89"/>
    <x v="2"/>
    <x v="0"/>
    <n v="97.7"/>
    <n v="97.7"/>
    <x v="3"/>
    <d v="2025-01-07T00:00:00"/>
    <x v="2"/>
    <x v="1"/>
    <x v="0"/>
    <x v="0"/>
    <x v="3"/>
    <x v="2"/>
    <x v="0"/>
    <x v="2"/>
  </r>
  <r>
    <x v="90"/>
    <x v="9"/>
    <x v="9"/>
    <n v="54.7"/>
    <n v="273.5"/>
    <x v="3"/>
    <d v="2025-01-07T00:00:00"/>
    <x v="0"/>
    <x v="0"/>
    <x v="2"/>
    <x v="0"/>
    <x v="23"/>
    <x v="2"/>
    <x v="0"/>
    <x v="0"/>
  </r>
  <r>
    <x v="91"/>
    <x v="2"/>
    <x v="13"/>
    <n v="130.5"/>
    <n v="783"/>
    <x v="3"/>
    <d v="2025-01-06T00:00:00"/>
    <x v="2"/>
    <x v="0"/>
    <x v="1"/>
    <x v="0"/>
    <x v="23"/>
    <x v="1"/>
    <x v="0"/>
    <x v="2"/>
  </r>
  <r>
    <x v="92"/>
    <x v="11"/>
    <x v="1"/>
    <n v="50.4"/>
    <n v="100.8"/>
    <x v="3"/>
    <d v="2025-01-06T00:00:00"/>
    <x v="1"/>
    <x v="2"/>
    <x v="2"/>
    <x v="0"/>
    <x v="6"/>
    <x v="1"/>
    <x v="0"/>
    <x v="1"/>
  </r>
  <r>
    <x v="93"/>
    <x v="6"/>
    <x v="15"/>
    <n v="61.5"/>
    <n v="799.5"/>
    <x v="3"/>
    <d v="2025-01-05T00:00:00"/>
    <x v="0"/>
    <x v="3"/>
    <x v="1"/>
    <x v="0"/>
    <x v="11"/>
    <x v="3"/>
    <x v="0"/>
    <x v="0"/>
  </r>
  <r>
    <x v="94"/>
    <x v="9"/>
    <x v="12"/>
    <n v="30.1"/>
    <n v="120.4"/>
    <x v="3"/>
    <d v="2025-01-05T00:00:00"/>
    <x v="2"/>
    <x v="0"/>
    <x v="2"/>
    <x v="0"/>
    <x v="21"/>
    <x v="3"/>
    <x v="0"/>
    <x v="2"/>
  </r>
  <r>
    <x v="95"/>
    <x v="2"/>
    <x v="9"/>
    <n v="74.8"/>
    <n v="374"/>
    <x v="3"/>
    <d v="2025-01-05T00:00:00"/>
    <x v="2"/>
    <x v="1"/>
    <x v="0"/>
    <x v="0"/>
    <x v="1"/>
    <x v="3"/>
    <x v="0"/>
    <x v="2"/>
  </r>
  <r>
    <x v="96"/>
    <x v="16"/>
    <x v="2"/>
    <n v="64.900000000000006"/>
    <n v="194.70000000000002"/>
    <x v="3"/>
    <d v="2025-01-11T00:00:00"/>
    <x v="1"/>
    <x v="0"/>
    <x v="0"/>
    <x v="0"/>
    <x v="2"/>
    <x v="6"/>
    <x v="0"/>
    <x v="1"/>
  </r>
  <r>
    <x v="97"/>
    <x v="9"/>
    <x v="1"/>
    <n v="50.5"/>
    <n v="101"/>
    <x v="3"/>
    <d v="2025-01-06T00:00:00"/>
    <x v="1"/>
    <x v="1"/>
    <x v="0"/>
    <x v="0"/>
    <x v="22"/>
    <x v="1"/>
    <x v="0"/>
    <x v="1"/>
  </r>
  <r>
    <x v="98"/>
    <x v="11"/>
    <x v="3"/>
    <n v="63"/>
    <n v="441"/>
    <x v="3"/>
    <d v="2025-01-07T00:00:00"/>
    <x v="1"/>
    <x v="3"/>
    <x v="2"/>
    <x v="0"/>
    <x v="3"/>
    <x v="2"/>
    <x v="0"/>
    <x v="1"/>
  </r>
  <r>
    <x v="99"/>
    <x v="2"/>
    <x v="2"/>
    <n v="93.6"/>
    <n v="280.79999999999995"/>
    <x v="3"/>
    <d v="2025-01-17T00:00:00"/>
    <x v="2"/>
    <x v="0"/>
    <x v="2"/>
    <x v="0"/>
    <x v="3"/>
    <x v="10"/>
    <x v="0"/>
    <x v="2"/>
  </r>
  <r>
    <x v="100"/>
    <x v="5"/>
    <x v="17"/>
    <n v="41.4"/>
    <n v="1242"/>
    <x v="3"/>
    <d v="2025-01-08T00:00:00"/>
    <x v="1"/>
    <x v="2"/>
    <x v="2"/>
    <x v="0"/>
    <x v="3"/>
    <x v="5"/>
    <x v="0"/>
    <x v="1"/>
  </r>
  <r>
    <x v="101"/>
    <x v="2"/>
    <x v="1"/>
    <n v="160"/>
    <n v="320"/>
    <x v="4"/>
    <d v="2025-01-06T00:00:00"/>
    <x v="1"/>
    <x v="2"/>
    <x v="2"/>
    <x v="0"/>
    <x v="5"/>
    <x v="3"/>
    <x v="1"/>
    <x v="1"/>
  </r>
  <r>
    <x v="102"/>
    <x v="19"/>
    <x v="5"/>
    <n v="10.5"/>
    <n v="115.5"/>
    <x v="4"/>
    <d v="2025-01-08T00:00:00"/>
    <x v="2"/>
    <x v="4"/>
    <x v="0"/>
    <x v="0"/>
    <x v="8"/>
    <x v="2"/>
    <x v="1"/>
    <x v="2"/>
  </r>
  <r>
    <x v="103"/>
    <x v="10"/>
    <x v="1"/>
    <n v="53"/>
    <n v="106"/>
    <x v="4"/>
    <d v="2025-01-05T00:00:00"/>
    <x v="1"/>
    <x v="2"/>
    <x v="4"/>
    <x v="0"/>
    <x v="17"/>
    <x v="7"/>
    <x v="1"/>
    <x v="1"/>
  </r>
  <r>
    <x v="104"/>
    <x v="8"/>
    <x v="2"/>
    <n v="18.5"/>
    <n v="55.5"/>
    <x v="4"/>
    <d v="2025-01-10T00:00:00"/>
    <x v="2"/>
    <x v="1"/>
    <x v="2"/>
    <x v="0"/>
    <x v="11"/>
    <x v="0"/>
    <x v="1"/>
    <x v="2"/>
  </r>
  <r>
    <x v="105"/>
    <x v="16"/>
    <x v="2"/>
    <n v="84.5"/>
    <n v="253.5"/>
    <x v="4"/>
    <d v="2025-01-07T00:00:00"/>
    <x v="2"/>
    <x v="4"/>
    <x v="1"/>
    <x v="0"/>
    <x v="13"/>
    <x v="1"/>
    <x v="1"/>
    <x v="2"/>
  </r>
  <r>
    <x v="106"/>
    <x v="15"/>
    <x v="3"/>
    <n v="31.2"/>
    <n v="218.4"/>
    <x v="4"/>
    <d v="2025-01-05T00:00:00"/>
    <x v="2"/>
    <x v="2"/>
    <x v="2"/>
    <x v="0"/>
    <x v="3"/>
    <x v="7"/>
    <x v="1"/>
    <x v="2"/>
  </r>
  <r>
    <x v="107"/>
    <x v="8"/>
    <x v="16"/>
    <n v="32.6"/>
    <n v="586.80000000000007"/>
    <x v="4"/>
    <d v="2025-01-06T00:00:00"/>
    <x v="1"/>
    <x v="1"/>
    <x v="1"/>
    <x v="0"/>
    <x v="3"/>
    <x v="3"/>
    <x v="1"/>
    <x v="1"/>
  </r>
  <r>
    <x v="108"/>
    <x v="10"/>
    <x v="12"/>
    <n v="45.4"/>
    <n v="181.6"/>
    <x v="4"/>
    <d v="2025-01-07T00:00:00"/>
    <x v="1"/>
    <x v="1"/>
    <x v="0"/>
    <x v="0"/>
    <x v="3"/>
    <x v="1"/>
    <x v="1"/>
    <x v="1"/>
  </r>
  <r>
    <x v="109"/>
    <x v="2"/>
    <x v="4"/>
    <n v="120"/>
    <n v="1440"/>
    <x v="4"/>
    <d v="2025-01-06T00:00:00"/>
    <x v="2"/>
    <x v="2"/>
    <x v="4"/>
    <x v="0"/>
    <x v="3"/>
    <x v="3"/>
    <x v="1"/>
    <x v="2"/>
  </r>
  <r>
    <x v="110"/>
    <x v="0"/>
    <x v="12"/>
    <n v="18.899999999999999"/>
    <n v="75.599999999999994"/>
    <x v="4"/>
    <d v="2025-01-07T00:00:00"/>
    <x v="1"/>
    <x v="0"/>
    <x v="2"/>
    <x v="0"/>
    <x v="3"/>
    <x v="1"/>
    <x v="1"/>
    <x v="1"/>
  </r>
  <r>
    <x v="111"/>
    <x v="4"/>
    <x v="0"/>
    <n v="32"/>
    <n v="32"/>
    <x v="4"/>
    <d v="2025-01-07T00:00:00"/>
    <x v="2"/>
    <x v="4"/>
    <x v="0"/>
    <x v="0"/>
    <x v="3"/>
    <x v="1"/>
    <x v="1"/>
    <x v="2"/>
  </r>
  <r>
    <x v="112"/>
    <x v="7"/>
    <x v="1"/>
    <n v="37.299999999999997"/>
    <n v="74.599999999999994"/>
    <x v="4"/>
    <d v="2025-01-06T00:00:00"/>
    <x v="1"/>
    <x v="2"/>
    <x v="0"/>
    <x v="0"/>
    <x v="3"/>
    <x v="3"/>
    <x v="1"/>
    <x v="1"/>
  </r>
  <r>
    <x v="113"/>
    <x v="18"/>
    <x v="0"/>
    <n v="119.8"/>
    <n v="119.8"/>
    <x v="4"/>
    <d v="2025-01-06T00:00:00"/>
    <x v="1"/>
    <x v="1"/>
    <x v="1"/>
    <x v="0"/>
    <x v="3"/>
    <x v="3"/>
    <x v="1"/>
    <x v="1"/>
  </r>
  <r>
    <x v="114"/>
    <x v="10"/>
    <x v="1"/>
    <n v="26.4"/>
    <n v="52.8"/>
    <x v="4"/>
    <d v="2025-01-08T00:00:00"/>
    <x v="1"/>
    <x v="2"/>
    <x v="0"/>
    <x v="0"/>
    <x v="3"/>
    <x v="2"/>
    <x v="1"/>
    <x v="1"/>
  </r>
  <r>
    <x v="115"/>
    <x v="6"/>
    <x v="13"/>
    <n v="76.5"/>
    <n v="459"/>
    <x v="4"/>
    <d v="2025-01-06T00:00:00"/>
    <x v="2"/>
    <x v="1"/>
    <x v="1"/>
    <x v="0"/>
    <x v="3"/>
    <x v="3"/>
    <x v="1"/>
    <x v="2"/>
  </r>
  <r>
    <x v="116"/>
    <x v="4"/>
    <x v="7"/>
    <n v="45.7"/>
    <n v="457"/>
    <x v="4"/>
    <d v="2025-01-06T00:00:00"/>
    <x v="2"/>
    <x v="2"/>
    <x v="0"/>
    <x v="0"/>
    <x v="24"/>
    <x v="3"/>
    <x v="1"/>
    <x v="2"/>
  </r>
  <r>
    <x v="117"/>
    <x v="1"/>
    <x v="4"/>
    <n v="92.6"/>
    <n v="1111.1999999999998"/>
    <x v="4"/>
    <d v="2025-01-07T00:00:00"/>
    <x v="2"/>
    <x v="2"/>
    <x v="0"/>
    <x v="0"/>
    <x v="25"/>
    <x v="1"/>
    <x v="1"/>
    <x v="2"/>
  </r>
  <r>
    <x v="118"/>
    <x v="6"/>
    <x v="13"/>
    <n v="60.1"/>
    <n v="360.6"/>
    <x v="4"/>
    <d v="2025-01-06T00:00:00"/>
    <x v="1"/>
    <x v="1"/>
    <x v="0"/>
    <x v="0"/>
    <x v="23"/>
    <x v="3"/>
    <x v="1"/>
    <x v="1"/>
  </r>
  <r>
    <x v="119"/>
    <x v="1"/>
    <x v="2"/>
    <n v="73"/>
    <n v="219"/>
    <x v="4"/>
    <d v="2025-01-06T00:00:00"/>
    <x v="2"/>
    <x v="3"/>
    <x v="1"/>
    <x v="0"/>
    <x v="6"/>
    <x v="3"/>
    <x v="1"/>
    <x v="2"/>
  </r>
  <r>
    <x v="120"/>
    <x v="6"/>
    <x v="2"/>
    <n v="44.3"/>
    <n v="132.89999999999998"/>
    <x v="4"/>
    <d v="2025-01-09T00:00:00"/>
    <x v="0"/>
    <x v="2"/>
    <x v="2"/>
    <x v="0"/>
    <x v="6"/>
    <x v="5"/>
    <x v="1"/>
    <x v="0"/>
  </r>
  <r>
    <x v="121"/>
    <x v="6"/>
    <x v="2"/>
    <n v="63.3"/>
    <n v="189.89999999999998"/>
    <x v="4"/>
    <d v="2025-01-06T00:00:00"/>
    <x v="1"/>
    <x v="2"/>
    <x v="0"/>
    <x v="0"/>
    <x v="6"/>
    <x v="3"/>
    <x v="1"/>
    <x v="1"/>
  </r>
  <r>
    <x v="122"/>
    <x v="12"/>
    <x v="0"/>
    <n v="66.8"/>
    <n v="66.8"/>
    <x v="4"/>
    <d v="2025-01-06T00:00:00"/>
    <x v="2"/>
    <x v="1"/>
    <x v="0"/>
    <x v="0"/>
    <x v="6"/>
    <x v="3"/>
    <x v="1"/>
    <x v="2"/>
  </r>
  <r>
    <x v="123"/>
    <x v="2"/>
    <x v="1"/>
    <n v="59.7"/>
    <n v="119.4"/>
    <x v="4"/>
    <d v="2025-01-06T00:00:00"/>
    <x v="2"/>
    <x v="0"/>
    <x v="0"/>
    <x v="0"/>
    <x v="7"/>
    <x v="3"/>
    <x v="1"/>
    <x v="2"/>
  </r>
  <r>
    <x v="124"/>
    <x v="1"/>
    <x v="13"/>
    <n v="92"/>
    <n v="552"/>
    <x v="4"/>
    <d v="2025-01-07T00:00:00"/>
    <x v="1"/>
    <x v="0"/>
    <x v="4"/>
    <x v="0"/>
    <x v="7"/>
    <x v="1"/>
    <x v="1"/>
    <x v="1"/>
  </r>
  <r>
    <x v="125"/>
    <x v="7"/>
    <x v="1"/>
    <n v="87.6"/>
    <n v="175.2"/>
    <x v="4"/>
    <d v="2025-01-07T00:00:00"/>
    <x v="1"/>
    <x v="1"/>
    <x v="1"/>
    <x v="0"/>
    <x v="8"/>
    <x v="1"/>
    <x v="1"/>
    <x v="1"/>
  </r>
  <r>
    <x v="126"/>
    <x v="6"/>
    <x v="2"/>
    <n v="84.5"/>
    <n v="253.5"/>
    <x v="4"/>
    <d v="2025-01-06T00:00:00"/>
    <x v="2"/>
    <x v="1"/>
    <x v="1"/>
    <x v="0"/>
    <x v="8"/>
    <x v="3"/>
    <x v="1"/>
    <x v="2"/>
  </r>
  <r>
    <x v="127"/>
    <x v="1"/>
    <x v="1"/>
    <n v="116.3"/>
    <n v="232.6"/>
    <x v="5"/>
    <d v="2025-01-08T00:00:00"/>
    <x v="1"/>
    <x v="2"/>
    <x v="2"/>
    <x v="0"/>
    <x v="8"/>
    <x v="1"/>
    <x v="1"/>
    <x v="1"/>
  </r>
  <r>
    <x v="128"/>
    <x v="6"/>
    <x v="9"/>
    <n v="52.7"/>
    <n v="263.5"/>
    <x v="5"/>
    <d v="2025-01-10T00:00:00"/>
    <x v="1"/>
    <x v="0"/>
    <x v="0"/>
    <x v="0"/>
    <x v="8"/>
    <x v="5"/>
    <x v="1"/>
    <x v="1"/>
  </r>
  <r>
    <x v="129"/>
    <x v="16"/>
    <x v="2"/>
    <n v="34.200000000000003"/>
    <n v="102.60000000000001"/>
    <x v="5"/>
    <d v="2025-01-07T00:00:00"/>
    <x v="1"/>
    <x v="0"/>
    <x v="2"/>
    <x v="0"/>
    <x v="26"/>
    <x v="3"/>
    <x v="1"/>
    <x v="1"/>
  </r>
  <r>
    <x v="130"/>
    <x v="9"/>
    <x v="0"/>
    <n v="23.3"/>
    <n v="23.3"/>
    <x v="5"/>
    <d v="2025-01-15T00:00:00"/>
    <x v="3"/>
    <x v="2"/>
    <x v="2"/>
    <x v="0"/>
    <x v="9"/>
    <x v="8"/>
    <x v="1"/>
    <x v="3"/>
  </r>
  <r>
    <x v="131"/>
    <x v="0"/>
    <x v="18"/>
    <n v="25.9"/>
    <n v="673.4"/>
    <x v="5"/>
    <d v="2025-01-09T00:00:00"/>
    <x v="2"/>
    <x v="4"/>
    <x v="1"/>
    <x v="0"/>
    <x v="9"/>
    <x v="2"/>
    <x v="1"/>
    <x v="2"/>
  </r>
  <r>
    <x v="132"/>
    <x v="6"/>
    <x v="19"/>
    <n v="54.9"/>
    <n v="1592.1"/>
    <x v="5"/>
    <d v="2025-01-07T00:00:00"/>
    <x v="1"/>
    <x v="1"/>
    <x v="2"/>
    <x v="0"/>
    <x v="9"/>
    <x v="3"/>
    <x v="1"/>
    <x v="1"/>
  </r>
  <r>
    <x v="133"/>
    <x v="5"/>
    <x v="2"/>
    <n v="75.8"/>
    <n v="227.39999999999998"/>
    <x v="5"/>
    <d v="2025-01-11T00:00:00"/>
    <x v="3"/>
    <x v="1"/>
    <x v="0"/>
    <x v="0"/>
    <x v="18"/>
    <x v="0"/>
    <x v="1"/>
    <x v="3"/>
  </r>
  <r>
    <x v="134"/>
    <x v="1"/>
    <x v="11"/>
    <n v="44.9"/>
    <n v="404.09999999999997"/>
    <x v="5"/>
    <d v="2025-01-09T00:00:00"/>
    <x v="2"/>
    <x v="2"/>
    <x v="2"/>
    <x v="0"/>
    <x v="2"/>
    <x v="2"/>
    <x v="1"/>
    <x v="2"/>
  </r>
  <r>
    <x v="135"/>
    <x v="11"/>
    <x v="1"/>
    <n v="48.8"/>
    <n v="97.6"/>
    <x v="5"/>
    <d v="2025-01-08T00:00:00"/>
    <x v="2"/>
    <x v="3"/>
    <x v="0"/>
    <x v="0"/>
    <x v="27"/>
    <x v="1"/>
    <x v="1"/>
    <x v="2"/>
  </r>
  <r>
    <x v="136"/>
    <x v="15"/>
    <x v="0"/>
    <n v="20.3"/>
    <n v="20.3"/>
    <x v="5"/>
    <d v="2025-01-07T00:00:00"/>
    <x v="2"/>
    <x v="0"/>
    <x v="2"/>
    <x v="0"/>
    <x v="22"/>
    <x v="3"/>
    <x v="1"/>
    <x v="2"/>
  </r>
  <r>
    <x v="137"/>
    <x v="5"/>
    <x v="3"/>
    <n v="36.4"/>
    <n v="254.79999999999998"/>
    <x v="5"/>
    <d v="2025-01-09T00:00:00"/>
    <x v="2"/>
    <x v="0"/>
    <x v="1"/>
    <x v="0"/>
    <x v="3"/>
    <x v="2"/>
    <x v="1"/>
    <x v="2"/>
  </r>
  <r>
    <x v="138"/>
    <x v="0"/>
    <x v="0"/>
    <n v="19"/>
    <n v="19"/>
    <x v="5"/>
    <d v="2025-01-11T00:00:00"/>
    <x v="2"/>
    <x v="1"/>
    <x v="2"/>
    <x v="0"/>
    <x v="3"/>
    <x v="0"/>
    <x v="1"/>
    <x v="2"/>
  </r>
  <r>
    <x v="139"/>
    <x v="8"/>
    <x v="0"/>
    <n v="17.8"/>
    <n v="17.8"/>
    <x v="5"/>
    <d v="2025-01-06T00:00:00"/>
    <x v="1"/>
    <x v="0"/>
    <x v="0"/>
    <x v="0"/>
    <x v="3"/>
    <x v="7"/>
    <x v="1"/>
    <x v="1"/>
  </r>
  <r>
    <x v="140"/>
    <x v="2"/>
    <x v="13"/>
    <n v="139.6"/>
    <n v="837.59999999999991"/>
    <x v="5"/>
    <d v="2025-01-09T00:00:00"/>
    <x v="1"/>
    <x v="0"/>
    <x v="0"/>
    <x v="0"/>
    <x v="3"/>
    <x v="2"/>
    <x v="1"/>
    <x v="1"/>
  </r>
  <r>
    <x v="141"/>
    <x v="9"/>
    <x v="0"/>
    <n v="31.7"/>
    <n v="31.7"/>
    <x v="5"/>
    <d v="2025-01-06T00:00:00"/>
    <x v="0"/>
    <x v="0"/>
    <x v="0"/>
    <x v="0"/>
    <x v="3"/>
    <x v="7"/>
    <x v="1"/>
    <x v="0"/>
  </r>
  <r>
    <x v="142"/>
    <x v="8"/>
    <x v="8"/>
    <n v="26.3"/>
    <n v="210.4"/>
    <x v="5"/>
    <d v="2025-01-09T00:00:00"/>
    <x v="2"/>
    <x v="4"/>
    <x v="4"/>
    <x v="0"/>
    <x v="3"/>
    <x v="2"/>
    <x v="1"/>
    <x v="2"/>
  </r>
  <r>
    <x v="143"/>
    <x v="4"/>
    <x v="1"/>
    <n v="47.8"/>
    <n v="95.6"/>
    <x v="5"/>
    <d v="2025-01-07T00:00:00"/>
    <x v="0"/>
    <x v="0"/>
    <x v="0"/>
    <x v="0"/>
    <x v="3"/>
    <x v="3"/>
    <x v="1"/>
    <x v="0"/>
  </r>
  <r>
    <x v="144"/>
    <x v="9"/>
    <x v="2"/>
    <n v="69.400000000000006"/>
    <n v="208.20000000000002"/>
    <x v="5"/>
    <d v="2025-01-10T00:00:00"/>
    <x v="2"/>
    <x v="0"/>
    <x v="0"/>
    <x v="0"/>
    <x v="3"/>
    <x v="5"/>
    <x v="1"/>
    <x v="2"/>
  </r>
  <r>
    <x v="145"/>
    <x v="18"/>
    <x v="4"/>
    <n v="25.8"/>
    <n v="309.60000000000002"/>
    <x v="5"/>
    <d v="2025-01-07T00:00:00"/>
    <x v="1"/>
    <x v="4"/>
    <x v="4"/>
    <x v="0"/>
    <x v="3"/>
    <x v="3"/>
    <x v="1"/>
    <x v="1"/>
  </r>
  <r>
    <x v="146"/>
    <x v="0"/>
    <x v="12"/>
    <n v="26.4"/>
    <n v="105.6"/>
    <x v="5"/>
    <d v="2025-01-07T00:00:00"/>
    <x v="1"/>
    <x v="1"/>
    <x v="2"/>
    <x v="0"/>
    <x v="3"/>
    <x v="3"/>
    <x v="1"/>
    <x v="1"/>
  </r>
  <r>
    <x v="147"/>
    <x v="8"/>
    <x v="12"/>
    <n v="15.7"/>
    <n v="62.8"/>
    <x v="5"/>
    <d v="2025-01-07T00:00:00"/>
    <x v="1"/>
    <x v="2"/>
    <x v="0"/>
    <x v="0"/>
    <x v="3"/>
    <x v="3"/>
    <x v="1"/>
    <x v="1"/>
  </r>
  <r>
    <x v="148"/>
    <x v="8"/>
    <x v="0"/>
    <n v="39.700000000000003"/>
    <n v="39.700000000000003"/>
    <x v="5"/>
    <d v="2025-01-10T00:00:00"/>
    <x v="1"/>
    <x v="0"/>
    <x v="0"/>
    <x v="0"/>
    <x v="3"/>
    <x v="5"/>
    <x v="1"/>
    <x v="1"/>
  </r>
  <r>
    <x v="149"/>
    <x v="10"/>
    <x v="12"/>
    <n v="31.1"/>
    <n v="124.4"/>
    <x v="5"/>
    <d v="2025-01-08T00:00:00"/>
    <x v="2"/>
    <x v="2"/>
    <x v="1"/>
    <x v="0"/>
    <x v="3"/>
    <x v="1"/>
    <x v="1"/>
    <x v="2"/>
  </r>
  <r>
    <x v="150"/>
    <x v="13"/>
    <x v="20"/>
    <n v="23.4"/>
    <n v="351"/>
    <x v="5"/>
    <d v="2025-01-15T00:00:00"/>
    <x v="1"/>
    <x v="0"/>
    <x v="0"/>
    <x v="0"/>
    <x v="3"/>
    <x v="8"/>
    <x v="1"/>
    <x v="1"/>
  </r>
  <r>
    <x v="151"/>
    <x v="1"/>
    <x v="12"/>
    <n v="57.1"/>
    <n v="228.4"/>
    <x v="6"/>
    <d v="2025-01-08T00:00:00"/>
    <x v="1"/>
    <x v="2"/>
    <x v="0"/>
    <x v="0"/>
    <x v="25"/>
    <x v="3"/>
    <x v="1"/>
    <x v="1"/>
  </r>
  <r>
    <x v="152"/>
    <x v="2"/>
    <x v="9"/>
    <n v="89.9"/>
    <n v="449.5"/>
    <x v="6"/>
    <d v="2025-01-07T00:00:00"/>
    <x v="2"/>
    <x v="0"/>
    <x v="3"/>
    <x v="0"/>
    <x v="23"/>
    <x v="7"/>
    <x v="1"/>
    <x v="2"/>
  </r>
  <r>
    <x v="153"/>
    <x v="10"/>
    <x v="3"/>
    <n v="48.1"/>
    <n v="336.7"/>
    <x v="6"/>
    <d v="2025-01-09T00:00:00"/>
    <x v="2"/>
    <x v="1"/>
    <x v="2"/>
    <x v="0"/>
    <x v="6"/>
    <x v="1"/>
    <x v="1"/>
    <x v="2"/>
  </r>
  <r>
    <x v="154"/>
    <x v="8"/>
    <x v="1"/>
    <n v="29.3"/>
    <n v="58.6"/>
    <x v="6"/>
    <d v="2025-01-07T00:00:00"/>
    <x v="2"/>
    <x v="1"/>
    <x v="1"/>
    <x v="0"/>
    <x v="6"/>
    <x v="7"/>
    <x v="1"/>
    <x v="2"/>
  </r>
  <r>
    <x v="155"/>
    <x v="8"/>
    <x v="12"/>
    <n v="28.8"/>
    <n v="115.2"/>
    <x v="6"/>
    <d v="2025-01-08T00:00:00"/>
    <x v="2"/>
    <x v="0"/>
    <x v="4"/>
    <x v="0"/>
    <x v="6"/>
    <x v="3"/>
    <x v="1"/>
    <x v="2"/>
  </r>
  <r>
    <x v="156"/>
    <x v="10"/>
    <x v="9"/>
    <n v="40.5"/>
    <n v="202.5"/>
    <x v="6"/>
    <d v="2025-01-11T00:00:00"/>
    <x v="2"/>
    <x v="3"/>
    <x v="0"/>
    <x v="0"/>
    <x v="6"/>
    <x v="5"/>
    <x v="1"/>
    <x v="2"/>
  </r>
  <r>
    <x v="157"/>
    <x v="18"/>
    <x v="21"/>
    <n v="65.099999999999994"/>
    <n v="911.39999999999986"/>
    <x v="6"/>
    <d v="2025-01-08T00:00:00"/>
    <x v="2"/>
    <x v="4"/>
    <x v="0"/>
    <x v="0"/>
    <x v="7"/>
    <x v="3"/>
    <x v="1"/>
    <x v="2"/>
  </r>
  <r>
    <x v="158"/>
    <x v="8"/>
    <x v="12"/>
    <n v="40.299999999999997"/>
    <n v="161.19999999999999"/>
    <x v="6"/>
    <d v="2025-01-12T00:00:00"/>
    <x v="2"/>
    <x v="2"/>
    <x v="0"/>
    <x v="0"/>
    <x v="7"/>
    <x v="0"/>
    <x v="1"/>
    <x v="2"/>
  </r>
  <r>
    <x v="159"/>
    <x v="6"/>
    <x v="9"/>
    <n v="51.8"/>
    <n v="259"/>
    <x v="6"/>
    <d v="2025-01-08T00:00:00"/>
    <x v="1"/>
    <x v="2"/>
    <x v="2"/>
    <x v="0"/>
    <x v="8"/>
    <x v="3"/>
    <x v="1"/>
    <x v="1"/>
  </r>
  <r>
    <x v="160"/>
    <x v="6"/>
    <x v="2"/>
    <n v="61.3"/>
    <n v="183.89999999999998"/>
    <x v="6"/>
    <d v="2025-01-08T00:00:00"/>
    <x v="2"/>
    <x v="3"/>
    <x v="0"/>
    <x v="0"/>
    <x v="8"/>
    <x v="3"/>
    <x v="1"/>
    <x v="2"/>
  </r>
  <r>
    <x v="161"/>
    <x v="2"/>
    <x v="12"/>
    <n v="122.5"/>
    <n v="490"/>
    <x v="6"/>
    <d v="2025-01-08T00:00:00"/>
    <x v="1"/>
    <x v="0"/>
    <x v="0"/>
    <x v="0"/>
    <x v="8"/>
    <x v="3"/>
    <x v="1"/>
    <x v="1"/>
  </r>
  <r>
    <x v="162"/>
    <x v="0"/>
    <x v="11"/>
    <n v="12.5"/>
    <n v="112.5"/>
    <x v="6"/>
    <d v="2025-01-08T00:00:00"/>
    <x v="0"/>
    <x v="1"/>
    <x v="2"/>
    <x v="0"/>
    <x v="8"/>
    <x v="3"/>
    <x v="1"/>
    <x v="0"/>
  </r>
  <r>
    <x v="163"/>
    <x v="15"/>
    <x v="8"/>
    <n v="37.5"/>
    <n v="300"/>
    <x v="6"/>
    <d v="2025-01-08T00:00:00"/>
    <x v="2"/>
    <x v="0"/>
    <x v="0"/>
    <x v="0"/>
    <x v="9"/>
    <x v="3"/>
    <x v="1"/>
    <x v="2"/>
  </r>
  <r>
    <x v="164"/>
    <x v="6"/>
    <x v="2"/>
    <n v="40"/>
    <n v="120"/>
    <x v="6"/>
    <d v="2025-01-10T00:00:00"/>
    <x v="1"/>
    <x v="0"/>
    <x v="4"/>
    <x v="0"/>
    <x v="11"/>
    <x v="2"/>
    <x v="1"/>
    <x v="1"/>
  </r>
  <r>
    <x v="165"/>
    <x v="17"/>
    <x v="8"/>
    <n v="38.5"/>
    <n v="308"/>
    <x v="6"/>
    <d v="2025-01-12T00:00:00"/>
    <x v="2"/>
    <x v="2"/>
    <x v="1"/>
    <x v="0"/>
    <x v="11"/>
    <x v="0"/>
    <x v="1"/>
    <x v="2"/>
  </r>
  <r>
    <x v="166"/>
    <x v="2"/>
    <x v="1"/>
    <n v="86.4"/>
    <n v="172.8"/>
    <x v="6"/>
    <d v="2025-01-09T00:00:00"/>
    <x v="2"/>
    <x v="0"/>
    <x v="0"/>
    <x v="0"/>
    <x v="18"/>
    <x v="1"/>
    <x v="1"/>
    <x v="2"/>
  </r>
  <r>
    <x v="167"/>
    <x v="10"/>
    <x v="0"/>
    <n v="50.7"/>
    <n v="50.7"/>
    <x v="6"/>
    <d v="2025-01-11T00:00:00"/>
    <x v="2"/>
    <x v="1"/>
    <x v="0"/>
    <x v="0"/>
    <x v="18"/>
    <x v="5"/>
    <x v="1"/>
    <x v="2"/>
  </r>
  <r>
    <x v="168"/>
    <x v="10"/>
    <x v="1"/>
    <n v="61"/>
    <n v="122"/>
    <x v="6"/>
    <d v="2025-01-18T00:00:00"/>
    <x v="2"/>
    <x v="4"/>
    <x v="1"/>
    <x v="0"/>
    <x v="18"/>
    <x v="11"/>
    <x v="1"/>
    <x v="2"/>
  </r>
  <r>
    <x v="169"/>
    <x v="4"/>
    <x v="1"/>
    <n v="19.899999999999999"/>
    <n v="39.799999999999997"/>
    <x v="6"/>
    <d v="2025-01-10T00:00:00"/>
    <x v="2"/>
    <x v="1"/>
    <x v="0"/>
    <x v="0"/>
    <x v="28"/>
    <x v="2"/>
    <x v="1"/>
    <x v="2"/>
  </r>
  <r>
    <x v="170"/>
    <x v="5"/>
    <x v="0"/>
    <n v="78.3"/>
    <n v="78.3"/>
    <x v="6"/>
    <d v="2025-01-07T00:00:00"/>
    <x v="2"/>
    <x v="0"/>
    <x v="2"/>
    <x v="0"/>
    <x v="1"/>
    <x v="7"/>
    <x v="1"/>
    <x v="2"/>
  </r>
  <r>
    <x v="171"/>
    <x v="0"/>
    <x v="10"/>
    <n v="10.4"/>
    <n v="197.6"/>
    <x v="6"/>
    <d v="2025-01-09T00:00:00"/>
    <x v="1"/>
    <x v="0"/>
    <x v="2"/>
    <x v="0"/>
    <x v="2"/>
    <x v="1"/>
    <x v="1"/>
    <x v="1"/>
  </r>
  <r>
    <x v="172"/>
    <x v="10"/>
    <x v="0"/>
    <n v="36.1"/>
    <n v="36.1"/>
    <x v="6"/>
    <d v="2025-01-10T00:00:00"/>
    <x v="1"/>
    <x v="3"/>
    <x v="2"/>
    <x v="0"/>
    <x v="3"/>
    <x v="2"/>
    <x v="1"/>
    <x v="1"/>
  </r>
  <r>
    <x v="173"/>
    <x v="14"/>
    <x v="1"/>
    <n v="17.3"/>
    <n v="34.6"/>
    <x v="6"/>
    <d v="2025-01-09T00:00:00"/>
    <x v="2"/>
    <x v="1"/>
    <x v="2"/>
    <x v="0"/>
    <x v="3"/>
    <x v="1"/>
    <x v="1"/>
    <x v="2"/>
  </r>
  <r>
    <x v="174"/>
    <x v="10"/>
    <x v="1"/>
    <n v="30.5"/>
    <n v="61"/>
    <x v="6"/>
    <d v="2025-01-08T00:00:00"/>
    <x v="2"/>
    <x v="1"/>
    <x v="2"/>
    <x v="0"/>
    <x v="3"/>
    <x v="3"/>
    <x v="1"/>
    <x v="2"/>
  </r>
  <r>
    <x v="175"/>
    <x v="18"/>
    <x v="22"/>
    <n v="70.099999999999994"/>
    <n v="4346.2"/>
    <x v="6"/>
    <d v="2025-01-07T00:00:00"/>
    <x v="2"/>
    <x v="2"/>
    <x v="0"/>
    <x v="0"/>
    <x v="3"/>
    <x v="7"/>
    <x v="1"/>
    <x v="2"/>
  </r>
  <r>
    <x v="176"/>
    <x v="3"/>
    <x v="0"/>
    <n v="76.099999999999994"/>
    <n v="76.099999999999994"/>
    <x v="6"/>
    <d v="2025-01-07T00:00:00"/>
    <x v="2"/>
    <x v="2"/>
    <x v="1"/>
    <x v="0"/>
    <x v="3"/>
    <x v="7"/>
    <x v="1"/>
    <x v="2"/>
  </r>
  <r>
    <x v="177"/>
    <x v="15"/>
    <x v="15"/>
    <n v="34.200000000000003"/>
    <n v="444.6"/>
    <x v="6"/>
    <d v="2025-01-08T00:00:00"/>
    <x v="1"/>
    <x v="0"/>
    <x v="0"/>
    <x v="0"/>
    <x v="3"/>
    <x v="3"/>
    <x v="1"/>
    <x v="1"/>
  </r>
  <r>
    <x v="178"/>
    <x v="8"/>
    <x v="9"/>
    <n v="30.3"/>
    <n v="151.5"/>
    <x v="6"/>
    <d v="2025-01-12T00:00:00"/>
    <x v="2"/>
    <x v="4"/>
    <x v="0"/>
    <x v="0"/>
    <x v="3"/>
    <x v="0"/>
    <x v="1"/>
    <x v="2"/>
  </r>
  <r>
    <x v="179"/>
    <x v="6"/>
    <x v="9"/>
    <n v="52.5"/>
    <n v="262.5"/>
    <x v="6"/>
    <d v="2025-01-11T00:00:00"/>
    <x v="0"/>
    <x v="3"/>
    <x v="0"/>
    <x v="0"/>
    <x v="3"/>
    <x v="5"/>
    <x v="1"/>
    <x v="0"/>
  </r>
  <r>
    <x v="180"/>
    <x v="9"/>
    <x v="5"/>
    <n v="28.7"/>
    <n v="315.7"/>
    <x v="6"/>
    <d v="2025-01-08T00:00:00"/>
    <x v="2"/>
    <x v="2"/>
    <x v="0"/>
    <x v="0"/>
    <x v="3"/>
    <x v="3"/>
    <x v="1"/>
    <x v="2"/>
  </r>
  <r>
    <x v="181"/>
    <x v="7"/>
    <x v="3"/>
    <n v="52"/>
    <n v="364"/>
    <x v="6"/>
    <d v="2025-01-08T00:00:00"/>
    <x v="1"/>
    <x v="1"/>
    <x v="4"/>
    <x v="0"/>
    <x v="3"/>
    <x v="3"/>
    <x v="1"/>
    <x v="1"/>
  </r>
  <r>
    <x v="182"/>
    <x v="0"/>
    <x v="0"/>
    <n v="13.3"/>
    <n v="13.3"/>
    <x v="7"/>
    <d v="2025-01-12T00:00:00"/>
    <x v="2"/>
    <x v="2"/>
    <x v="1"/>
    <x v="0"/>
    <x v="3"/>
    <x v="5"/>
    <x v="1"/>
    <x v="2"/>
  </r>
  <r>
    <x v="183"/>
    <x v="0"/>
    <x v="2"/>
    <n v="15.7"/>
    <n v="47.099999999999994"/>
    <x v="7"/>
    <d v="2025-01-09T00:00:00"/>
    <x v="2"/>
    <x v="1"/>
    <x v="0"/>
    <x v="0"/>
    <x v="29"/>
    <x v="3"/>
    <x v="1"/>
    <x v="2"/>
  </r>
  <r>
    <x v="184"/>
    <x v="8"/>
    <x v="1"/>
    <n v="25.6"/>
    <n v="51.2"/>
    <x v="7"/>
    <d v="2025-01-09T00:00:00"/>
    <x v="1"/>
    <x v="0"/>
    <x v="2"/>
    <x v="0"/>
    <x v="23"/>
    <x v="3"/>
    <x v="1"/>
    <x v="1"/>
  </r>
  <r>
    <x v="185"/>
    <x v="8"/>
    <x v="0"/>
    <n v="43.4"/>
    <n v="43.4"/>
    <x v="7"/>
    <d v="2025-01-13T00:00:00"/>
    <x v="1"/>
    <x v="0"/>
    <x v="0"/>
    <x v="0"/>
    <x v="6"/>
    <x v="0"/>
    <x v="1"/>
    <x v="1"/>
  </r>
  <r>
    <x v="186"/>
    <x v="11"/>
    <x v="11"/>
    <n v="33.4"/>
    <n v="300.59999999999997"/>
    <x v="7"/>
    <d v="2025-01-08T00:00:00"/>
    <x v="2"/>
    <x v="0"/>
    <x v="0"/>
    <x v="0"/>
    <x v="8"/>
    <x v="7"/>
    <x v="1"/>
    <x v="2"/>
  </r>
  <r>
    <x v="187"/>
    <x v="8"/>
    <x v="10"/>
    <n v="55"/>
    <n v="1045"/>
    <x v="7"/>
    <d v="2025-01-09T00:00:00"/>
    <x v="2"/>
    <x v="1"/>
    <x v="2"/>
    <x v="0"/>
    <x v="8"/>
    <x v="3"/>
    <x v="1"/>
    <x v="2"/>
  </r>
  <r>
    <x v="188"/>
    <x v="8"/>
    <x v="2"/>
    <n v="23.6"/>
    <n v="70.800000000000011"/>
    <x v="7"/>
    <d v="2025-01-09T00:00:00"/>
    <x v="1"/>
    <x v="0"/>
    <x v="2"/>
    <x v="0"/>
    <x v="8"/>
    <x v="3"/>
    <x v="1"/>
    <x v="1"/>
  </r>
  <r>
    <x v="189"/>
    <x v="12"/>
    <x v="11"/>
    <n v="104"/>
    <n v="936"/>
    <x v="7"/>
    <d v="2025-01-10T00:00:00"/>
    <x v="2"/>
    <x v="2"/>
    <x v="2"/>
    <x v="0"/>
    <x v="17"/>
    <x v="1"/>
    <x v="1"/>
    <x v="2"/>
  </r>
  <r>
    <x v="190"/>
    <x v="6"/>
    <x v="1"/>
    <n v="51.8"/>
    <n v="103.6"/>
    <x v="7"/>
    <d v="2025-01-12T00:00:00"/>
    <x v="0"/>
    <x v="0"/>
    <x v="2"/>
    <x v="0"/>
    <x v="10"/>
    <x v="5"/>
    <x v="1"/>
    <x v="0"/>
  </r>
  <r>
    <x v="191"/>
    <x v="10"/>
    <x v="9"/>
    <n v="34.5"/>
    <n v="172.5"/>
    <x v="7"/>
    <d v="2025-01-10T00:00:00"/>
    <x v="0"/>
    <x v="2"/>
    <x v="2"/>
    <x v="0"/>
    <x v="11"/>
    <x v="1"/>
    <x v="1"/>
    <x v="0"/>
  </r>
  <r>
    <x v="192"/>
    <x v="6"/>
    <x v="1"/>
    <n v="51.8"/>
    <n v="103.6"/>
    <x v="7"/>
    <d v="2025-01-10T00:00:00"/>
    <x v="1"/>
    <x v="1"/>
    <x v="2"/>
    <x v="0"/>
    <x v="30"/>
    <x v="1"/>
    <x v="1"/>
    <x v="1"/>
  </r>
  <r>
    <x v="193"/>
    <x v="18"/>
    <x v="23"/>
    <n v="131.5"/>
    <n v="5654.5"/>
    <x v="7"/>
    <d v="2025-01-09T00:00:00"/>
    <x v="2"/>
    <x v="0"/>
    <x v="2"/>
    <x v="0"/>
    <x v="18"/>
    <x v="3"/>
    <x v="1"/>
    <x v="2"/>
  </r>
  <r>
    <x v="194"/>
    <x v="8"/>
    <x v="3"/>
    <n v="47.8"/>
    <n v="334.59999999999997"/>
    <x v="7"/>
    <d v="2025-01-08T00:00:00"/>
    <x v="2"/>
    <x v="0"/>
    <x v="0"/>
    <x v="0"/>
    <x v="19"/>
    <x v="7"/>
    <x v="1"/>
    <x v="2"/>
  </r>
  <r>
    <x v="195"/>
    <x v="0"/>
    <x v="1"/>
    <n v="10.199999999999999"/>
    <n v="20.399999999999999"/>
    <x v="7"/>
    <d v="2025-01-10T00:00:00"/>
    <x v="2"/>
    <x v="0"/>
    <x v="0"/>
    <x v="0"/>
    <x v="19"/>
    <x v="1"/>
    <x v="1"/>
    <x v="2"/>
  </r>
  <r>
    <x v="196"/>
    <x v="8"/>
    <x v="8"/>
    <n v="41"/>
    <n v="328"/>
    <x v="7"/>
    <d v="2025-01-08T00:00:00"/>
    <x v="2"/>
    <x v="1"/>
    <x v="2"/>
    <x v="0"/>
    <x v="19"/>
    <x v="7"/>
    <x v="1"/>
    <x v="2"/>
  </r>
  <r>
    <x v="197"/>
    <x v="10"/>
    <x v="3"/>
    <n v="50.8"/>
    <n v="355.59999999999997"/>
    <x v="7"/>
    <d v="2025-01-11T00:00:00"/>
    <x v="2"/>
    <x v="1"/>
    <x v="0"/>
    <x v="0"/>
    <x v="21"/>
    <x v="2"/>
    <x v="1"/>
    <x v="2"/>
  </r>
  <r>
    <x v="198"/>
    <x v="18"/>
    <x v="2"/>
    <n v="39.6"/>
    <n v="118.80000000000001"/>
    <x v="7"/>
    <d v="2025-01-09T00:00:00"/>
    <x v="1"/>
    <x v="2"/>
    <x v="2"/>
    <x v="0"/>
    <x v="1"/>
    <x v="3"/>
    <x v="1"/>
    <x v="1"/>
  </r>
  <r>
    <x v="199"/>
    <x v="5"/>
    <x v="1"/>
    <n v="69.5"/>
    <n v="139"/>
    <x v="7"/>
    <d v="2025-01-10T00:00:00"/>
    <x v="1"/>
    <x v="0"/>
    <x v="2"/>
    <x v="0"/>
    <x v="2"/>
    <x v="1"/>
    <x v="1"/>
    <x v="1"/>
  </r>
  <r>
    <x v="200"/>
    <x v="8"/>
    <x v="8"/>
    <n v="32.6"/>
    <n v="260.8"/>
    <x v="7"/>
    <d v="2025-01-11T00:00:00"/>
    <x v="1"/>
    <x v="1"/>
    <x v="0"/>
    <x v="0"/>
    <x v="3"/>
    <x v="2"/>
    <x v="1"/>
    <x v="1"/>
  </r>
  <r>
    <x v="201"/>
    <x v="7"/>
    <x v="1"/>
    <n v="49.1"/>
    <n v="98.2"/>
    <x v="7"/>
    <d v="2025-01-16T00:00:00"/>
    <x v="1"/>
    <x v="3"/>
    <x v="2"/>
    <x v="0"/>
    <x v="3"/>
    <x v="9"/>
    <x v="1"/>
    <x v="1"/>
  </r>
  <r>
    <x v="202"/>
    <x v="6"/>
    <x v="1"/>
    <n v="49.4"/>
    <n v="98.8"/>
    <x v="8"/>
    <d v="2025-01-10T00:00:00"/>
    <x v="2"/>
    <x v="2"/>
    <x v="0"/>
    <x v="0"/>
    <x v="3"/>
    <x v="3"/>
    <x v="1"/>
    <x v="2"/>
  </r>
  <r>
    <x v="203"/>
    <x v="7"/>
    <x v="3"/>
    <n v="65.099999999999994"/>
    <n v="455.69999999999993"/>
    <x v="8"/>
    <d v="2025-01-12T00:00:00"/>
    <x v="2"/>
    <x v="2"/>
    <x v="2"/>
    <x v="0"/>
    <x v="3"/>
    <x v="2"/>
    <x v="1"/>
    <x v="2"/>
  </r>
  <r>
    <x v="204"/>
    <x v="3"/>
    <x v="1"/>
    <n v="52.1"/>
    <n v="104.2"/>
    <x v="8"/>
    <d v="2025-01-13T00:00:00"/>
    <x v="2"/>
    <x v="2"/>
    <x v="0"/>
    <x v="0"/>
    <x v="3"/>
    <x v="5"/>
    <x v="1"/>
    <x v="2"/>
  </r>
  <r>
    <x v="205"/>
    <x v="2"/>
    <x v="12"/>
    <n v="129.19999999999999"/>
    <n v="516.79999999999995"/>
    <x v="8"/>
    <d v="2025-01-10T00:00:00"/>
    <x v="2"/>
    <x v="1"/>
    <x v="0"/>
    <x v="0"/>
    <x v="3"/>
    <x v="3"/>
    <x v="1"/>
    <x v="2"/>
  </r>
  <r>
    <x v="206"/>
    <x v="1"/>
    <x v="10"/>
    <n v="81.8"/>
    <n v="1554.2"/>
    <x v="8"/>
    <d v="2025-01-09T00:00:00"/>
    <x v="2"/>
    <x v="1"/>
    <x v="1"/>
    <x v="0"/>
    <x v="3"/>
    <x v="7"/>
    <x v="1"/>
    <x v="2"/>
  </r>
  <r>
    <x v="207"/>
    <x v="17"/>
    <x v="0"/>
    <n v="24.9"/>
    <n v="24.9"/>
    <x v="8"/>
    <d v="2025-01-13T00:00:00"/>
    <x v="2"/>
    <x v="1"/>
    <x v="0"/>
    <x v="0"/>
    <x v="3"/>
    <x v="5"/>
    <x v="1"/>
    <x v="2"/>
  </r>
  <r>
    <x v="208"/>
    <x v="0"/>
    <x v="2"/>
    <n v="49.4"/>
    <n v="148.19999999999999"/>
    <x v="8"/>
    <d v="2025-01-12T00:00:00"/>
    <x v="2"/>
    <x v="4"/>
    <x v="4"/>
    <x v="0"/>
    <x v="3"/>
    <x v="2"/>
    <x v="1"/>
    <x v="2"/>
  </r>
  <r>
    <x v="209"/>
    <x v="8"/>
    <x v="1"/>
    <n v="22.7"/>
    <n v="45.4"/>
    <x v="8"/>
    <d v="2025-01-10T00:00:00"/>
    <x v="1"/>
    <x v="3"/>
    <x v="2"/>
    <x v="0"/>
    <x v="3"/>
    <x v="3"/>
    <x v="1"/>
    <x v="1"/>
  </r>
  <r>
    <x v="210"/>
    <x v="1"/>
    <x v="0"/>
    <n v="77.3"/>
    <n v="77.3"/>
    <x v="8"/>
    <d v="2025-01-09T00:00:00"/>
    <x v="2"/>
    <x v="0"/>
    <x v="2"/>
    <x v="0"/>
    <x v="6"/>
    <x v="7"/>
    <x v="1"/>
    <x v="2"/>
  </r>
  <r>
    <x v="211"/>
    <x v="1"/>
    <x v="9"/>
    <n v="109.1"/>
    <n v="545.5"/>
    <x v="8"/>
    <d v="2025-01-12T00:00:00"/>
    <x v="2"/>
    <x v="0"/>
    <x v="0"/>
    <x v="0"/>
    <x v="6"/>
    <x v="2"/>
    <x v="1"/>
    <x v="2"/>
  </r>
  <r>
    <x v="212"/>
    <x v="2"/>
    <x v="12"/>
    <n v="53.9"/>
    <n v="215.6"/>
    <x v="8"/>
    <d v="2025-01-10T00:00:00"/>
    <x v="1"/>
    <x v="0"/>
    <x v="1"/>
    <x v="0"/>
    <x v="8"/>
    <x v="3"/>
    <x v="1"/>
    <x v="1"/>
  </r>
  <r>
    <x v="213"/>
    <x v="9"/>
    <x v="18"/>
    <n v="21.2"/>
    <n v="551.19999999999993"/>
    <x v="8"/>
    <d v="2025-01-09T00:00:00"/>
    <x v="2"/>
    <x v="0"/>
    <x v="0"/>
    <x v="0"/>
    <x v="9"/>
    <x v="7"/>
    <x v="1"/>
    <x v="2"/>
  </r>
  <r>
    <x v="214"/>
    <x v="16"/>
    <x v="12"/>
    <n v="69"/>
    <n v="276"/>
    <x v="8"/>
    <d v="2025-01-11T00:00:00"/>
    <x v="2"/>
    <x v="1"/>
    <x v="1"/>
    <x v="0"/>
    <x v="18"/>
    <x v="1"/>
    <x v="1"/>
    <x v="2"/>
  </r>
  <r>
    <x v="215"/>
    <x v="6"/>
    <x v="2"/>
    <n v="46.2"/>
    <n v="138.60000000000002"/>
    <x v="8"/>
    <d v="2025-01-11T00:00:00"/>
    <x v="2"/>
    <x v="0"/>
    <x v="2"/>
    <x v="0"/>
    <x v="31"/>
    <x v="1"/>
    <x v="1"/>
    <x v="2"/>
  </r>
  <r>
    <x v="216"/>
    <x v="1"/>
    <x v="9"/>
    <n v="97.4"/>
    <n v="487"/>
    <x v="8"/>
    <d v="2025-01-13T00:00:00"/>
    <x v="2"/>
    <x v="4"/>
    <x v="2"/>
    <x v="0"/>
    <x v="21"/>
    <x v="5"/>
    <x v="1"/>
    <x v="2"/>
  </r>
  <r>
    <x v="217"/>
    <x v="8"/>
    <x v="9"/>
    <n v="21"/>
    <n v="105"/>
    <x v="8"/>
    <d v="2025-01-10T00:00:00"/>
    <x v="1"/>
    <x v="0"/>
    <x v="1"/>
    <x v="0"/>
    <x v="21"/>
    <x v="3"/>
    <x v="1"/>
    <x v="1"/>
  </r>
  <r>
    <x v="218"/>
    <x v="5"/>
    <x v="1"/>
    <n v="32.700000000000003"/>
    <n v="65.400000000000006"/>
    <x v="9"/>
    <d v="2025-01-13T00:00:00"/>
    <x v="2"/>
    <x v="1"/>
    <x v="0"/>
    <x v="0"/>
    <x v="2"/>
    <x v="2"/>
    <x v="1"/>
    <x v="2"/>
  </r>
  <r>
    <x v="219"/>
    <x v="6"/>
    <x v="12"/>
    <n v="48"/>
    <n v="192"/>
    <x v="9"/>
    <d v="2025-01-11T00:00:00"/>
    <x v="1"/>
    <x v="3"/>
    <x v="0"/>
    <x v="0"/>
    <x v="3"/>
    <x v="3"/>
    <x v="1"/>
    <x v="1"/>
  </r>
  <r>
    <x v="220"/>
    <x v="6"/>
    <x v="2"/>
    <n v="68.2"/>
    <n v="204.60000000000002"/>
    <x v="9"/>
    <d v="2025-01-14T00:00:00"/>
    <x v="0"/>
    <x v="0"/>
    <x v="2"/>
    <x v="0"/>
    <x v="3"/>
    <x v="5"/>
    <x v="1"/>
    <x v="0"/>
  </r>
  <r>
    <x v="221"/>
    <x v="5"/>
    <x v="0"/>
    <n v="45.4"/>
    <n v="45.4"/>
    <x v="9"/>
    <d v="2025-01-12T00:00:00"/>
    <x v="1"/>
    <x v="1"/>
    <x v="0"/>
    <x v="0"/>
    <x v="3"/>
    <x v="1"/>
    <x v="1"/>
    <x v="1"/>
  </r>
  <r>
    <x v="222"/>
    <x v="12"/>
    <x v="1"/>
    <n v="53.9"/>
    <n v="107.8"/>
    <x v="9"/>
    <d v="2025-01-11T00:00:00"/>
    <x v="2"/>
    <x v="2"/>
    <x v="0"/>
    <x v="0"/>
    <x v="3"/>
    <x v="3"/>
    <x v="1"/>
    <x v="2"/>
  </r>
  <r>
    <x v="223"/>
    <x v="2"/>
    <x v="12"/>
    <n v="62.1"/>
    <n v="248.4"/>
    <x v="9"/>
    <d v="2025-01-14T00:00:00"/>
    <x v="2"/>
    <x v="0"/>
    <x v="0"/>
    <x v="0"/>
    <x v="4"/>
    <x v="5"/>
    <x v="1"/>
    <x v="2"/>
  </r>
  <r>
    <x v="224"/>
    <x v="13"/>
    <x v="3"/>
    <n v="33.1"/>
    <n v="231.70000000000002"/>
    <x v="9"/>
    <d v="2025-01-15T00:00:00"/>
    <x v="1"/>
    <x v="1"/>
    <x v="0"/>
    <x v="0"/>
    <x v="6"/>
    <x v="0"/>
    <x v="1"/>
    <x v="1"/>
  </r>
  <r>
    <x v="225"/>
    <x v="18"/>
    <x v="9"/>
    <n v="35.200000000000003"/>
    <n v="176"/>
    <x v="9"/>
    <d v="2025-01-10T00:00:00"/>
    <x v="2"/>
    <x v="1"/>
    <x v="0"/>
    <x v="0"/>
    <x v="6"/>
    <x v="7"/>
    <x v="1"/>
    <x v="2"/>
  </r>
  <r>
    <x v="226"/>
    <x v="9"/>
    <x v="2"/>
    <n v="32.1"/>
    <n v="96.300000000000011"/>
    <x v="9"/>
    <d v="2025-01-15T00:00:00"/>
    <x v="1"/>
    <x v="3"/>
    <x v="0"/>
    <x v="0"/>
    <x v="8"/>
    <x v="0"/>
    <x v="1"/>
    <x v="1"/>
  </r>
  <r>
    <x v="227"/>
    <x v="11"/>
    <x v="0"/>
    <n v="38.1"/>
    <n v="38.1"/>
    <x v="9"/>
    <d v="2025-01-15T00:00:00"/>
    <x v="2"/>
    <x v="0"/>
    <x v="2"/>
    <x v="0"/>
    <x v="8"/>
    <x v="0"/>
    <x v="1"/>
    <x v="2"/>
  </r>
  <r>
    <x v="228"/>
    <x v="8"/>
    <x v="0"/>
    <n v="65.2"/>
    <n v="65.2"/>
    <x v="9"/>
    <d v="2025-01-15T00:00:00"/>
    <x v="2"/>
    <x v="3"/>
    <x v="1"/>
    <x v="0"/>
    <x v="8"/>
    <x v="0"/>
    <x v="1"/>
    <x v="2"/>
  </r>
  <r>
    <x v="229"/>
    <x v="10"/>
    <x v="3"/>
    <n v="55.2"/>
    <n v="386.40000000000003"/>
    <x v="9"/>
    <d v="2025-01-11T00:00:00"/>
    <x v="1"/>
    <x v="2"/>
    <x v="0"/>
    <x v="0"/>
    <x v="11"/>
    <x v="3"/>
    <x v="1"/>
    <x v="1"/>
  </r>
  <r>
    <x v="230"/>
    <x v="6"/>
    <x v="0"/>
    <n v="62"/>
    <n v="62"/>
    <x v="9"/>
    <d v="2025-01-14T00:00:00"/>
    <x v="2"/>
    <x v="0"/>
    <x v="0"/>
    <x v="0"/>
    <x v="11"/>
    <x v="5"/>
    <x v="1"/>
    <x v="2"/>
  </r>
  <r>
    <x v="231"/>
    <x v="7"/>
    <x v="2"/>
    <n v="45.9"/>
    <n v="137.69999999999999"/>
    <x v="9"/>
    <d v="2025-01-11T00:00:00"/>
    <x v="2"/>
    <x v="2"/>
    <x v="0"/>
    <x v="0"/>
    <x v="32"/>
    <x v="3"/>
    <x v="1"/>
    <x v="2"/>
  </r>
  <r>
    <x v="232"/>
    <x v="18"/>
    <x v="2"/>
    <n v="58.3"/>
    <n v="174.89999999999998"/>
    <x v="9"/>
    <d v="2025-01-10T00:00:00"/>
    <x v="1"/>
    <x v="1"/>
    <x v="1"/>
    <x v="0"/>
    <x v="18"/>
    <x v="7"/>
    <x v="1"/>
    <x v="1"/>
  </r>
  <r>
    <x v="233"/>
    <x v="8"/>
    <x v="1"/>
    <n v="22.3"/>
    <n v="44.6"/>
    <x v="9"/>
    <d v="2025-01-13T00:00:00"/>
    <x v="2"/>
    <x v="0"/>
    <x v="2"/>
    <x v="0"/>
    <x v="20"/>
    <x v="2"/>
    <x v="1"/>
    <x v="2"/>
  </r>
  <r>
    <x v="234"/>
    <x v="19"/>
    <x v="9"/>
    <n v="24"/>
    <n v="120"/>
    <x v="9"/>
    <d v="2025-01-11T00:00:00"/>
    <x v="1"/>
    <x v="4"/>
    <x v="0"/>
    <x v="0"/>
    <x v="1"/>
    <x v="3"/>
    <x v="1"/>
    <x v="1"/>
  </r>
  <r>
    <x v="235"/>
    <x v="0"/>
    <x v="7"/>
    <n v="21.3"/>
    <n v="213"/>
    <x v="9"/>
    <d v="2025-01-10T00:00:00"/>
    <x v="2"/>
    <x v="1"/>
    <x v="2"/>
    <x v="0"/>
    <x v="22"/>
    <x v="7"/>
    <x v="1"/>
    <x v="2"/>
  </r>
  <r>
    <x v="236"/>
    <x v="6"/>
    <x v="24"/>
    <n v="57.8"/>
    <n v="2369.7999999999997"/>
    <x v="9"/>
    <d v="2025-01-12T00:00:00"/>
    <x v="2"/>
    <x v="0"/>
    <x v="2"/>
    <x v="0"/>
    <x v="3"/>
    <x v="1"/>
    <x v="1"/>
    <x v="2"/>
  </r>
  <r>
    <x v="237"/>
    <x v="10"/>
    <x v="2"/>
    <n v="67.599999999999994"/>
    <n v="202.79999999999998"/>
    <x v="9"/>
    <d v="2025-01-11T00:00:00"/>
    <x v="2"/>
    <x v="0"/>
    <x v="0"/>
    <x v="0"/>
    <x v="3"/>
    <x v="3"/>
    <x v="1"/>
    <x v="2"/>
  </r>
  <r>
    <x v="238"/>
    <x v="6"/>
    <x v="13"/>
    <n v="66.7"/>
    <n v="400.20000000000005"/>
    <x v="9"/>
    <d v="2025-01-14T00:00:00"/>
    <x v="1"/>
    <x v="4"/>
    <x v="1"/>
    <x v="0"/>
    <x v="3"/>
    <x v="5"/>
    <x v="1"/>
    <x v="1"/>
  </r>
  <r>
    <x v="239"/>
    <x v="1"/>
    <x v="12"/>
    <n v="53.1"/>
    <n v="212.4"/>
    <x v="9"/>
    <d v="2025-01-12T00:00:00"/>
    <x v="2"/>
    <x v="1"/>
    <x v="0"/>
    <x v="0"/>
    <x v="3"/>
    <x v="1"/>
    <x v="1"/>
    <x v="2"/>
  </r>
  <r>
    <x v="240"/>
    <x v="12"/>
    <x v="2"/>
    <n v="57.4"/>
    <n v="172.2"/>
    <x v="9"/>
    <d v="2025-01-13T00:00:00"/>
    <x v="2"/>
    <x v="0"/>
    <x v="2"/>
    <x v="0"/>
    <x v="29"/>
    <x v="2"/>
    <x v="1"/>
    <x v="2"/>
  </r>
  <r>
    <x v="241"/>
    <x v="2"/>
    <x v="9"/>
    <n v="58.1"/>
    <n v="290.5"/>
    <x v="9"/>
    <d v="2025-01-10T00:00:00"/>
    <x v="1"/>
    <x v="2"/>
    <x v="2"/>
    <x v="0"/>
    <x v="6"/>
    <x v="7"/>
    <x v="1"/>
    <x v="1"/>
  </r>
  <r>
    <x v="242"/>
    <x v="5"/>
    <x v="2"/>
    <n v="31.8"/>
    <n v="95.4"/>
    <x v="10"/>
    <d v="2025-01-13T00:00:00"/>
    <x v="1"/>
    <x v="3"/>
    <x v="0"/>
    <x v="0"/>
    <x v="6"/>
    <x v="1"/>
    <x v="1"/>
    <x v="1"/>
  </r>
  <r>
    <x v="243"/>
    <x v="4"/>
    <x v="2"/>
    <n v="31.5"/>
    <n v="94.5"/>
    <x v="10"/>
    <d v="2025-01-14T00:00:00"/>
    <x v="1"/>
    <x v="0"/>
    <x v="1"/>
    <x v="0"/>
    <x v="8"/>
    <x v="2"/>
    <x v="1"/>
    <x v="1"/>
  </r>
  <r>
    <x v="244"/>
    <x v="6"/>
    <x v="3"/>
    <n v="55.9"/>
    <n v="391.3"/>
    <x v="10"/>
    <d v="2025-01-15T00:00:00"/>
    <x v="2"/>
    <x v="1"/>
    <x v="2"/>
    <x v="0"/>
    <x v="8"/>
    <x v="5"/>
    <x v="1"/>
    <x v="2"/>
  </r>
  <r>
    <x v="245"/>
    <x v="8"/>
    <x v="1"/>
    <n v="36.4"/>
    <n v="72.8"/>
    <x v="10"/>
    <d v="2025-01-12T00:00:00"/>
    <x v="1"/>
    <x v="1"/>
    <x v="1"/>
    <x v="0"/>
    <x v="9"/>
    <x v="3"/>
    <x v="1"/>
    <x v="1"/>
  </r>
  <r>
    <x v="246"/>
    <x v="1"/>
    <x v="9"/>
    <n v="47.3"/>
    <n v="236.5"/>
    <x v="10"/>
    <d v="2025-01-14T00:00:00"/>
    <x v="1"/>
    <x v="2"/>
    <x v="0"/>
    <x v="0"/>
    <x v="10"/>
    <x v="2"/>
    <x v="1"/>
    <x v="1"/>
  </r>
  <r>
    <x v="247"/>
    <x v="6"/>
    <x v="2"/>
    <n v="82.5"/>
    <n v="247.5"/>
    <x v="10"/>
    <d v="2025-01-12T00:00:00"/>
    <x v="1"/>
    <x v="0"/>
    <x v="0"/>
    <x v="0"/>
    <x v="11"/>
    <x v="3"/>
    <x v="1"/>
    <x v="1"/>
  </r>
  <r>
    <x v="248"/>
    <x v="0"/>
    <x v="0"/>
    <n v="14.3"/>
    <n v="14.3"/>
    <x v="10"/>
    <d v="2025-01-12T00:00:00"/>
    <x v="2"/>
    <x v="0"/>
    <x v="0"/>
    <x v="0"/>
    <x v="21"/>
    <x v="3"/>
    <x v="1"/>
    <x v="2"/>
  </r>
  <r>
    <x v="249"/>
    <x v="2"/>
    <x v="13"/>
    <n v="57.6"/>
    <n v="345.6"/>
    <x v="10"/>
    <d v="2025-01-25T00:00:00"/>
    <x v="2"/>
    <x v="0"/>
    <x v="0"/>
    <x v="0"/>
    <x v="21"/>
    <x v="12"/>
    <x v="1"/>
    <x v="2"/>
  </r>
  <r>
    <x v="250"/>
    <x v="2"/>
    <x v="2"/>
    <n v="142.4"/>
    <n v="427.20000000000005"/>
    <x v="10"/>
    <d v="2025-01-13T00:00:00"/>
    <x v="1"/>
    <x v="4"/>
    <x v="1"/>
    <x v="0"/>
    <x v="21"/>
    <x v="1"/>
    <x v="1"/>
    <x v="1"/>
  </r>
  <r>
    <x v="251"/>
    <x v="12"/>
    <x v="0"/>
    <n v="30.2"/>
    <n v="30.2"/>
    <x v="10"/>
    <d v="2025-01-15T00:00:00"/>
    <x v="1"/>
    <x v="1"/>
    <x v="2"/>
    <x v="0"/>
    <x v="2"/>
    <x v="5"/>
    <x v="1"/>
    <x v="1"/>
  </r>
  <r>
    <x v="252"/>
    <x v="18"/>
    <x v="2"/>
    <n v="65.3"/>
    <n v="195.89999999999998"/>
    <x v="10"/>
    <d v="2025-01-12T00:00:00"/>
    <x v="3"/>
    <x v="1"/>
    <x v="0"/>
    <x v="0"/>
    <x v="33"/>
    <x v="3"/>
    <x v="1"/>
    <x v="3"/>
  </r>
  <r>
    <x v="253"/>
    <x v="0"/>
    <x v="1"/>
    <n v="33.4"/>
    <n v="66.8"/>
    <x v="10"/>
    <d v="2025-01-12T00:00:00"/>
    <x v="1"/>
    <x v="1"/>
    <x v="1"/>
    <x v="0"/>
    <x v="22"/>
    <x v="3"/>
    <x v="1"/>
    <x v="1"/>
  </r>
  <r>
    <x v="254"/>
    <x v="7"/>
    <x v="1"/>
    <n v="45.1"/>
    <n v="90.2"/>
    <x v="10"/>
    <d v="2025-01-19T00:00:00"/>
    <x v="1"/>
    <x v="0"/>
    <x v="0"/>
    <x v="0"/>
    <x v="34"/>
    <x v="9"/>
    <x v="1"/>
    <x v="1"/>
  </r>
  <r>
    <x v="255"/>
    <x v="2"/>
    <x v="3"/>
    <n v="61.7"/>
    <n v="431.90000000000003"/>
    <x v="10"/>
    <d v="2025-01-13T00:00:00"/>
    <x v="2"/>
    <x v="4"/>
    <x v="0"/>
    <x v="0"/>
    <x v="3"/>
    <x v="1"/>
    <x v="1"/>
    <x v="2"/>
  </r>
  <r>
    <x v="256"/>
    <x v="9"/>
    <x v="2"/>
    <n v="45.1"/>
    <n v="135.30000000000001"/>
    <x v="11"/>
    <d v="2025-01-13T00:00:00"/>
    <x v="1"/>
    <x v="4"/>
    <x v="1"/>
    <x v="0"/>
    <x v="3"/>
    <x v="3"/>
    <x v="2"/>
    <x v="1"/>
  </r>
  <r>
    <x v="257"/>
    <x v="15"/>
    <x v="9"/>
    <n v="22.7"/>
    <n v="113.5"/>
    <x v="11"/>
    <d v="2025-01-17T00:00:00"/>
    <x v="1"/>
    <x v="0"/>
    <x v="2"/>
    <x v="0"/>
    <x v="35"/>
    <x v="0"/>
    <x v="2"/>
    <x v="1"/>
  </r>
  <r>
    <x v="258"/>
    <x v="8"/>
    <x v="0"/>
    <n v="17.600000000000001"/>
    <n v="17.600000000000001"/>
    <x v="11"/>
    <d v="2025-01-13T00:00:00"/>
    <x v="2"/>
    <x v="0"/>
    <x v="2"/>
    <x v="0"/>
    <x v="23"/>
    <x v="3"/>
    <x v="2"/>
    <x v="2"/>
  </r>
  <r>
    <x v="259"/>
    <x v="14"/>
    <x v="1"/>
    <n v="11.3"/>
    <n v="22.6"/>
    <x v="11"/>
    <d v="2025-01-15T00:00:00"/>
    <x v="2"/>
    <x v="3"/>
    <x v="2"/>
    <x v="0"/>
    <x v="23"/>
    <x v="2"/>
    <x v="2"/>
    <x v="2"/>
  </r>
  <r>
    <x v="260"/>
    <x v="6"/>
    <x v="2"/>
    <n v="53.4"/>
    <n v="160.19999999999999"/>
    <x v="11"/>
    <d v="2025-01-15T00:00:00"/>
    <x v="1"/>
    <x v="3"/>
    <x v="2"/>
    <x v="0"/>
    <x v="36"/>
    <x v="2"/>
    <x v="2"/>
    <x v="1"/>
  </r>
  <r>
    <x v="261"/>
    <x v="6"/>
    <x v="5"/>
    <n v="51.1"/>
    <n v="562.1"/>
    <x v="11"/>
    <d v="2025-01-14T00:00:00"/>
    <x v="2"/>
    <x v="2"/>
    <x v="2"/>
    <x v="0"/>
    <x v="8"/>
    <x v="1"/>
    <x v="2"/>
    <x v="2"/>
  </r>
  <r>
    <x v="262"/>
    <x v="8"/>
    <x v="1"/>
    <n v="27.5"/>
    <n v="55"/>
    <x v="11"/>
    <d v="2025-01-13T00:00:00"/>
    <x v="1"/>
    <x v="4"/>
    <x v="1"/>
    <x v="0"/>
    <x v="8"/>
    <x v="3"/>
    <x v="2"/>
    <x v="1"/>
  </r>
  <r>
    <x v="263"/>
    <x v="9"/>
    <x v="0"/>
    <n v="33.5"/>
    <n v="33.5"/>
    <x v="11"/>
    <d v="2025-01-14T00:00:00"/>
    <x v="2"/>
    <x v="0"/>
    <x v="4"/>
    <x v="0"/>
    <x v="8"/>
    <x v="1"/>
    <x v="2"/>
    <x v="2"/>
  </r>
  <r>
    <x v="264"/>
    <x v="4"/>
    <x v="0"/>
    <n v="59.5"/>
    <n v="59.5"/>
    <x v="11"/>
    <d v="2025-01-12T00:00:00"/>
    <x v="1"/>
    <x v="0"/>
    <x v="2"/>
    <x v="0"/>
    <x v="18"/>
    <x v="7"/>
    <x v="2"/>
    <x v="1"/>
  </r>
  <r>
    <x v="265"/>
    <x v="17"/>
    <x v="12"/>
    <n v="23.5"/>
    <n v="94"/>
    <x v="11"/>
    <d v="2025-01-13T00:00:00"/>
    <x v="2"/>
    <x v="3"/>
    <x v="3"/>
    <x v="0"/>
    <x v="19"/>
    <x v="3"/>
    <x v="2"/>
    <x v="2"/>
  </r>
  <r>
    <x v="266"/>
    <x v="6"/>
    <x v="0"/>
    <n v="49.7"/>
    <n v="49.7"/>
    <x v="11"/>
    <d v="2025-01-13T00:00:00"/>
    <x v="0"/>
    <x v="1"/>
    <x v="2"/>
    <x v="0"/>
    <x v="20"/>
    <x v="3"/>
    <x v="2"/>
    <x v="0"/>
  </r>
  <r>
    <x v="267"/>
    <x v="6"/>
    <x v="12"/>
    <n v="44.2"/>
    <n v="176.8"/>
    <x v="11"/>
    <d v="2025-01-15T00:00:00"/>
    <x v="2"/>
    <x v="0"/>
    <x v="2"/>
    <x v="0"/>
    <x v="21"/>
    <x v="2"/>
    <x v="2"/>
    <x v="2"/>
  </r>
  <r>
    <x v="268"/>
    <x v="8"/>
    <x v="0"/>
    <n v="22.1"/>
    <n v="22.1"/>
    <x v="11"/>
    <d v="2025-01-16T00:00:00"/>
    <x v="2"/>
    <x v="1"/>
    <x v="1"/>
    <x v="0"/>
    <x v="33"/>
    <x v="5"/>
    <x v="2"/>
    <x v="2"/>
  </r>
  <r>
    <x v="269"/>
    <x v="6"/>
    <x v="2"/>
    <n v="90.9"/>
    <n v="272.70000000000005"/>
    <x v="11"/>
    <d v="2025-01-13T00:00:00"/>
    <x v="2"/>
    <x v="2"/>
    <x v="4"/>
    <x v="0"/>
    <x v="3"/>
    <x v="3"/>
    <x v="2"/>
    <x v="2"/>
  </r>
  <r>
    <x v="270"/>
    <x v="8"/>
    <x v="2"/>
    <n v="44.5"/>
    <n v="133.5"/>
    <x v="11"/>
    <d v="2025-01-13T00:00:00"/>
    <x v="2"/>
    <x v="1"/>
    <x v="0"/>
    <x v="0"/>
    <x v="3"/>
    <x v="3"/>
    <x v="2"/>
    <x v="2"/>
  </r>
  <r>
    <x v="271"/>
    <x v="9"/>
    <x v="13"/>
    <n v="32.299999999999997"/>
    <n v="193.79999999999998"/>
    <x v="11"/>
    <d v="2025-01-16T00:00:00"/>
    <x v="2"/>
    <x v="0"/>
    <x v="0"/>
    <x v="0"/>
    <x v="3"/>
    <x v="5"/>
    <x v="2"/>
    <x v="2"/>
  </r>
  <r>
    <x v="272"/>
    <x v="17"/>
    <x v="2"/>
    <n v="87.5"/>
    <n v="262.5"/>
    <x v="11"/>
    <d v="2025-01-13T00:00:00"/>
    <x v="2"/>
    <x v="1"/>
    <x v="1"/>
    <x v="0"/>
    <x v="3"/>
    <x v="3"/>
    <x v="2"/>
    <x v="2"/>
  </r>
  <r>
    <x v="273"/>
    <x v="16"/>
    <x v="9"/>
    <n v="48.7"/>
    <n v="243.5"/>
    <x v="11"/>
    <d v="2025-01-13T00:00:00"/>
    <x v="1"/>
    <x v="2"/>
    <x v="0"/>
    <x v="0"/>
    <x v="3"/>
    <x v="3"/>
    <x v="2"/>
    <x v="1"/>
  </r>
  <r>
    <x v="274"/>
    <x v="0"/>
    <x v="9"/>
    <n v="22.5"/>
    <n v="112.5"/>
    <x v="11"/>
    <d v="2025-01-13T00:00:00"/>
    <x v="1"/>
    <x v="0"/>
    <x v="0"/>
    <x v="0"/>
    <x v="3"/>
    <x v="3"/>
    <x v="2"/>
    <x v="1"/>
  </r>
  <r>
    <x v="275"/>
    <x v="1"/>
    <x v="8"/>
    <n v="65.900000000000006"/>
    <n v="527.20000000000005"/>
    <x v="11"/>
    <d v="2025-01-15T00:00:00"/>
    <x v="2"/>
    <x v="1"/>
    <x v="2"/>
    <x v="0"/>
    <x v="3"/>
    <x v="2"/>
    <x v="2"/>
    <x v="2"/>
  </r>
  <r>
    <x v="276"/>
    <x v="6"/>
    <x v="9"/>
    <n v="41.9"/>
    <n v="209.5"/>
    <x v="11"/>
    <d v="2025-01-19T00:00:00"/>
    <x v="0"/>
    <x v="0"/>
    <x v="0"/>
    <x v="0"/>
    <x v="3"/>
    <x v="6"/>
    <x v="2"/>
    <x v="0"/>
  </r>
  <r>
    <x v="277"/>
    <x v="1"/>
    <x v="9"/>
    <n v="67.5"/>
    <n v="337.5"/>
    <x v="11"/>
    <d v="2025-01-13T00:00:00"/>
    <x v="2"/>
    <x v="0"/>
    <x v="2"/>
    <x v="0"/>
    <x v="3"/>
    <x v="3"/>
    <x v="2"/>
    <x v="2"/>
  </r>
  <r>
    <x v="278"/>
    <x v="9"/>
    <x v="0"/>
    <n v="60.4"/>
    <n v="60.4"/>
    <x v="12"/>
    <d v="2025-01-15T00:00:00"/>
    <x v="2"/>
    <x v="1"/>
    <x v="1"/>
    <x v="0"/>
    <x v="3"/>
    <x v="1"/>
    <x v="2"/>
    <x v="2"/>
  </r>
  <r>
    <x v="279"/>
    <x v="1"/>
    <x v="3"/>
    <n v="30.4"/>
    <n v="212.79999999999998"/>
    <x v="12"/>
    <d v="2025-01-16T00:00:00"/>
    <x v="2"/>
    <x v="4"/>
    <x v="0"/>
    <x v="0"/>
    <x v="3"/>
    <x v="2"/>
    <x v="2"/>
    <x v="2"/>
  </r>
  <r>
    <x v="280"/>
    <x v="14"/>
    <x v="1"/>
    <n v="24.5"/>
    <n v="49"/>
    <x v="12"/>
    <d v="2025-01-14T00:00:00"/>
    <x v="1"/>
    <x v="3"/>
    <x v="2"/>
    <x v="0"/>
    <x v="3"/>
    <x v="3"/>
    <x v="2"/>
    <x v="1"/>
  </r>
  <r>
    <x v="281"/>
    <x v="2"/>
    <x v="2"/>
    <n v="105.9"/>
    <n v="317.70000000000005"/>
    <x v="12"/>
    <d v="2025-01-18T00:00:00"/>
    <x v="1"/>
    <x v="0"/>
    <x v="0"/>
    <x v="0"/>
    <x v="37"/>
    <x v="0"/>
    <x v="2"/>
    <x v="1"/>
  </r>
  <r>
    <x v="282"/>
    <x v="10"/>
    <x v="25"/>
    <n v="25.9"/>
    <n v="621.59999999999991"/>
    <x v="12"/>
    <d v="2025-01-14T00:00:00"/>
    <x v="2"/>
    <x v="4"/>
    <x v="0"/>
    <x v="0"/>
    <x v="23"/>
    <x v="3"/>
    <x v="2"/>
    <x v="2"/>
  </r>
  <r>
    <x v="283"/>
    <x v="6"/>
    <x v="2"/>
    <n v="66.8"/>
    <n v="200.39999999999998"/>
    <x v="12"/>
    <d v="2025-01-13T00:00:00"/>
    <x v="1"/>
    <x v="0"/>
    <x v="0"/>
    <x v="0"/>
    <x v="23"/>
    <x v="7"/>
    <x v="2"/>
    <x v="1"/>
  </r>
  <r>
    <x v="284"/>
    <x v="6"/>
    <x v="2"/>
    <n v="112.3"/>
    <n v="336.9"/>
    <x v="12"/>
    <d v="2025-01-14T00:00:00"/>
    <x v="1"/>
    <x v="2"/>
    <x v="4"/>
    <x v="0"/>
    <x v="6"/>
    <x v="3"/>
    <x v="2"/>
    <x v="1"/>
  </r>
  <r>
    <x v="285"/>
    <x v="1"/>
    <x v="13"/>
    <n v="94.1"/>
    <n v="564.59999999999991"/>
    <x v="12"/>
    <d v="2025-01-14T00:00:00"/>
    <x v="2"/>
    <x v="0"/>
    <x v="4"/>
    <x v="0"/>
    <x v="6"/>
    <x v="3"/>
    <x v="2"/>
    <x v="2"/>
  </r>
  <r>
    <x v="286"/>
    <x v="5"/>
    <x v="0"/>
    <n v="40.700000000000003"/>
    <n v="40.700000000000003"/>
    <x v="12"/>
    <d v="2025-01-16T00:00:00"/>
    <x v="2"/>
    <x v="2"/>
    <x v="0"/>
    <x v="0"/>
    <x v="6"/>
    <x v="2"/>
    <x v="2"/>
    <x v="2"/>
  </r>
  <r>
    <x v="287"/>
    <x v="3"/>
    <x v="1"/>
    <n v="71.400000000000006"/>
    <n v="142.80000000000001"/>
    <x v="12"/>
    <d v="2025-01-14T00:00:00"/>
    <x v="1"/>
    <x v="0"/>
    <x v="0"/>
    <x v="0"/>
    <x v="7"/>
    <x v="3"/>
    <x v="2"/>
    <x v="1"/>
  </r>
  <r>
    <x v="288"/>
    <x v="0"/>
    <x v="16"/>
    <n v="15.6"/>
    <n v="280.8"/>
    <x v="12"/>
    <d v="2025-01-14T00:00:00"/>
    <x v="1"/>
    <x v="1"/>
    <x v="3"/>
    <x v="0"/>
    <x v="8"/>
    <x v="3"/>
    <x v="2"/>
    <x v="1"/>
  </r>
  <r>
    <x v="289"/>
    <x v="10"/>
    <x v="12"/>
    <n v="37.799999999999997"/>
    <n v="151.19999999999999"/>
    <x v="12"/>
    <d v="2025-01-14T00:00:00"/>
    <x v="1"/>
    <x v="2"/>
    <x v="2"/>
    <x v="0"/>
    <x v="8"/>
    <x v="3"/>
    <x v="2"/>
    <x v="1"/>
  </r>
  <r>
    <x v="290"/>
    <x v="4"/>
    <x v="2"/>
    <n v="28.1"/>
    <n v="84.300000000000011"/>
    <x v="12"/>
    <d v="2025-01-17T00:00:00"/>
    <x v="1"/>
    <x v="0"/>
    <x v="0"/>
    <x v="0"/>
    <x v="8"/>
    <x v="5"/>
    <x v="2"/>
    <x v="1"/>
  </r>
  <r>
    <x v="291"/>
    <x v="7"/>
    <x v="13"/>
    <n v="51.4"/>
    <n v="308.39999999999998"/>
    <x v="12"/>
    <d v="2025-01-17T00:00:00"/>
    <x v="1"/>
    <x v="0"/>
    <x v="0"/>
    <x v="0"/>
    <x v="8"/>
    <x v="5"/>
    <x v="2"/>
    <x v="1"/>
  </r>
  <r>
    <x v="292"/>
    <x v="7"/>
    <x v="1"/>
    <n v="97.7"/>
    <n v="195.4"/>
    <x v="12"/>
    <d v="2025-01-15T00:00:00"/>
    <x v="2"/>
    <x v="4"/>
    <x v="2"/>
    <x v="0"/>
    <x v="17"/>
    <x v="1"/>
    <x v="2"/>
    <x v="2"/>
  </r>
  <r>
    <x v="293"/>
    <x v="1"/>
    <x v="12"/>
    <n v="63.8"/>
    <n v="255.2"/>
    <x v="12"/>
    <d v="2025-01-14T00:00:00"/>
    <x v="1"/>
    <x v="2"/>
    <x v="0"/>
    <x v="0"/>
    <x v="38"/>
    <x v="3"/>
    <x v="2"/>
    <x v="1"/>
  </r>
  <r>
    <x v="294"/>
    <x v="13"/>
    <x v="1"/>
    <n v="20.100000000000001"/>
    <n v="40.200000000000003"/>
    <x v="12"/>
    <d v="2025-01-15T00:00:00"/>
    <x v="1"/>
    <x v="0"/>
    <x v="2"/>
    <x v="0"/>
    <x v="20"/>
    <x v="1"/>
    <x v="2"/>
    <x v="1"/>
  </r>
  <r>
    <x v="295"/>
    <x v="11"/>
    <x v="2"/>
    <n v="50.4"/>
    <n v="151.19999999999999"/>
    <x v="12"/>
    <d v="2025-01-16T00:00:00"/>
    <x v="2"/>
    <x v="3"/>
    <x v="0"/>
    <x v="0"/>
    <x v="13"/>
    <x v="2"/>
    <x v="2"/>
    <x v="2"/>
  </r>
  <r>
    <x v="296"/>
    <x v="0"/>
    <x v="0"/>
    <n v="16.2"/>
    <n v="16.2"/>
    <x v="12"/>
    <d v="2025-01-26T00:00:00"/>
    <x v="2"/>
    <x v="1"/>
    <x v="0"/>
    <x v="0"/>
    <x v="1"/>
    <x v="10"/>
    <x v="2"/>
    <x v="2"/>
  </r>
  <r>
    <x v="297"/>
    <x v="6"/>
    <x v="3"/>
    <n v="80.900000000000006"/>
    <n v="566.30000000000007"/>
    <x v="12"/>
    <d v="2025-01-15T00:00:00"/>
    <x v="1"/>
    <x v="4"/>
    <x v="4"/>
    <x v="0"/>
    <x v="2"/>
    <x v="1"/>
    <x v="2"/>
    <x v="1"/>
  </r>
  <r>
    <x v="298"/>
    <x v="9"/>
    <x v="13"/>
    <n v="95.2"/>
    <n v="571.20000000000005"/>
    <x v="12"/>
    <d v="2025-01-15T00:00:00"/>
    <x v="2"/>
    <x v="0"/>
    <x v="2"/>
    <x v="0"/>
    <x v="2"/>
    <x v="1"/>
    <x v="2"/>
    <x v="2"/>
  </r>
  <r>
    <x v="299"/>
    <x v="5"/>
    <x v="8"/>
    <n v="70.400000000000006"/>
    <n v="563.20000000000005"/>
    <x v="12"/>
    <d v="2025-01-14T00:00:00"/>
    <x v="1"/>
    <x v="1"/>
    <x v="1"/>
    <x v="0"/>
    <x v="3"/>
    <x v="3"/>
    <x v="2"/>
    <x v="1"/>
  </r>
  <r>
    <x v="300"/>
    <x v="0"/>
    <x v="9"/>
    <n v="10.7"/>
    <n v="53.5"/>
    <x v="12"/>
    <d v="2025-01-17T00:00:00"/>
    <x v="2"/>
    <x v="2"/>
    <x v="0"/>
    <x v="0"/>
    <x v="3"/>
    <x v="5"/>
    <x v="2"/>
    <x v="2"/>
  </r>
  <r>
    <x v="301"/>
    <x v="8"/>
    <x v="9"/>
    <n v="19.600000000000001"/>
    <n v="98"/>
    <x v="12"/>
    <d v="2025-01-15T00:00:00"/>
    <x v="2"/>
    <x v="0"/>
    <x v="3"/>
    <x v="0"/>
    <x v="3"/>
    <x v="1"/>
    <x v="2"/>
    <x v="2"/>
  </r>
  <r>
    <x v="302"/>
    <x v="8"/>
    <x v="5"/>
    <n v="34.700000000000003"/>
    <n v="381.70000000000005"/>
    <x v="12"/>
    <d v="2025-01-15T00:00:00"/>
    <x v="2"/>
    <x v="0"/>
    <x v="2"/>
    <x v="0"/>
    <x v="3"/>
    <x v="1"/>
    <x v="2"/>
    <x v="2"/>
  </r>
  <r>
    <x v="303"/>
    <x v="10"/>
    <x v="11"/>
    <n v="34.1"/>
    <n v="306.90000000000003"/>
    <x v="12"/>
    <d v="2025-01-14T00:00:00"/>
    <x v="2"/>
    <x v="4"/>
    <x v="1"/>
    <x v="0"/>
    <x v="3"/>
    <x v="3"/>
    <x v="2"/>
    <x v="2"/>
  </r>
  <r>
    <x v="304"/>
    <x v="0"/>
    <x v="26"/>
    <n v="29.3"/>
    <n v="1435.7"/>
    <x v="12"/>
    <d v="2025-01-13T00:00:00"/>
    <x v="1"/>
    <x v="0"/>
    <x v="1"/>
    <x v="0"/>
    <x v="3"/>
    <x v="7"/>
    <x v="2"/>
    <x v="1"/>
  </r>
  <r>
    <x v="305"/>
    <x v="1"/>
    <x v="0"/>
    <n v="55.2"/>
    <n v="55.2"/>
    <x v="12"/>
    <d v="2025-01-14T00:00:00"/>
    <x v="2"/>
    <x v="0"/>
    <x v="1"/>
    <x v="0"/>
    <x v="3"/>
    <x v="3"/>
    <x v="2"/>
    <x v="2"/>
  </r>
  <r>
    <x v="306"/>
    <x v="18"/>
    <x v="2"/>
    <n v="26"/>
    <n v="78"/>
    <x v="12"/>
    <d v="2025-01-16T00:00:00"/>
    <x v="2"/>
    <x v="0"/>
    <x v="2"/>
    <x v="0"/>
    <x v="3"/>
    <x v="2"/>
    <x v="2"/>
    <x v="2"/>
  </r>
  <r>
    <x v="307"/>
    <x v="14"/>
    <x v="1"/>
    <n v="14.2"/>
    <n v="28.4"/>
    <x v="12"/>
    <d v="2025-01-18T00:00:00"/>
    <x v="2"/>
    <x v="3"/>
    <x v="0"/>
    <x v="0"/>
    <x v="39"/>
    <x v="0"/>
    <x v="2"/>
    <x v="2"/>
  </r>
  <r>
    <x v="308"/>
    <x v="8"/>
    <x v="11"/>
    <n v="22.7"/>
    <n v="204.29999999999998"/>
    <x v="13"/>
    <d v="2025-01-15T00:00:00"/>
    <x v="1"/>
    <x v="1"/>
    <x v="0"/>
    <x v="0"/>
    <x v="6"/>
    <x v="3"/>
    <x v="2"/>
    <x v="1"/>
  </r>
  <r>
    <x v="309"/>
    <x v="0"/>
    <x v="20"/>
    <n v="19.8"/>
    <n v="297"/>
    <x v="13"/>
    <d v="2025-01-14T00:00:00"/>
    <x v="2"/>
    <x v="0"/>
    <x v="2"/>
    <x v="0"/>
    <x v="6"/>
    <x v="7"/>
    <x v="2"/>
    <x v="2"/>
  </r>
  <r>
    <x v="310"/>
    <x v="0"/>
    <x v="2"/>
    <n v="31.7"/>
    <n v="95.1"/>
    <x v="13"/>
    <d v="2025-01-15T00:00:00"/>
    <x v="1"/>
    <x v="2"/>
    <x v="0"/>
    <x v="0"/>
    <x v="6"/>
    <x v="3"/>
    <x v="2"/>
    <x v="1"/>
  </r>
  <r>
    <x v="311"/>
    <x v="8"/>
    <x v="12"/>
    <n v="30.4"/>
    <n v="121.6"/>
    <x v="13"/>
    <d v="2025-01-18T00:00:00"/>
    <x v="1"/>
    <x v="0"/>
    <x v="0"/>
    <x v="0"/>
    <x v="6"/>
    <x v="5"/>
    <x v="2"/>
    <x v="1"/>
  </r>
  <r>
    <x v="312"/>
    <x v="0"/>
    <x v="12"/>
    <n v="25.6"/>
    <n v="102.4"/>
    <x v="13"/>
    <d v="2025-01-15T00:00:00"/>
    <x v="1"/>
    <x v="3"/>
    <x v="0"/>
    <x v="0"/>
    <x v="8"/>
    <x v="3"/>
    <x v="2"/>
    <x v="1"/>
  </r>
  <r>
    <x v="313"/>
    <x v="5"/>
    <x v="1"/>
    <n v="34.9"/>
    <n v="69.8"/>
    <x v="13"/>
    <d v="2025-01-15T00:00:00"/>
    <x v="2"/>
    <x v="2"/>
    <x v="0"/>
    <x v="0"/>
    <x v="9"/>
    <x v="3"/>
    <x v="2"/>
    <x v="2"/>
  </r>
  <r>
    <x v="314"/>
    <x v="7"/>
    <x v="13"/>
    <n v="42.7"/>
    <n v="256.20000000000005"/>
    <x v="13"/>
    <d v="2025-01-17T00:00:00"/>
    <x v="1"/>
    <x v="2"/>
    <x v="1"/>
    <x v="0"/>
    <x v="11"/>
    <x v="2"/>
    <x v="2"/>
    <x v="1"/>
  </r>
  <r>
    <x v="315"/>
    <x v="8"/>
    <x v="0"/>
    <n v="23.9"/>
    <n v="23.9"/>
    <x v="13"/>
    <d v="2025-01-16T00:00:00"/>
    <x v="2"/>
    <x v="3"/>
    <x v="0"/>
    <x v="0"/>
    <x v="11"/>
    <x v="1"/>
    <x v="2"/>
    <x v="2"/>
  </r>
  <r>
    <x v="316"/>
    <x v="6"/>
    <x v="0"/>
    <n v="124.3"/>
    <n v="124.3"/>
    <x v="13"/>
    <d v="2025-01-15T00:00:00"/>
    <x v="0"/>
    <x v="2"/>
    <x v="1"/>
    <x v="0"/>
    <x v="21"/>
    <x v="3"/>
    <x v="2"/>
    <x v="0"/>
  </r>
  <r>
    <x v="317"/>
    <x v="8"/>
    <x v="13"/>
    <n v="35.9"/>
    <n v="215.39999999999998"/>
    <x v="13"/>
    <d v="2025-01-15T00:00:00"/>
    <x v="2"/>
    <x v="0"/>
    <x v="1"/>
    <x v="0"/>
    <x v="1"/>
    <x v="3"/>
    <x v="2"/>
    <x v="2"/>
  </r>
  <r>
    <x v="318"/>
    <x v="2"/>
    <x v="1"/>
    <n v="69.099999999999994"/>
    <n v="138.19999999999999"/>
    <x v="13"/>
    <d v="2025-01-17T00:00:00"/>
    <x v="2"/>
    <x v="0"/>
    <x v="2"/>
    <x v="0"/>
    <x v="22"/>
    <x v="2"/>
    <x v="2"/>
    <x v="2"/>
  </r>
  <r>
    <x v="319"/>
    <x v="7"/>
    <x v="0"/>
    <n v="58.4"/>
    <n v="58.4"/>
    <x v="13"/>
    <d v="2025-01-18T00:00:00"/>
    <x v="1"/>
    <x v="0"/>
    <x v="0"/>
    <x v="0"/>
    <x v="22"/>
    <x v="5"/>
    <x v="2"/>
    <x v="1"/>
  </r>
  <r>
    <x v="320"/>
    <x v="5"/>
    <x v="0"/>
    <n v="65.2"/>
    <n v="65.2"/>
    <x v="13"/>
    <d v="2025-01-16T00:00:00"/>
    <x v="3"/>
    <x v="4"/>
    <x v="4"/>
    <x v="0"/>
    <x v="3"/>
    <x v="1"/>
    <x v="2"/>
    <x v="3"/>
  </r>
  <r>
    <x v="321"/>
    <x v="8"/>
    <x v="14"/>
    <n v="32.700000000000003"/>
    <n v="555.90000000000009"/>
    <x v="13"/>
    <d v="2025-01-21T00:00:00"/>
    <x v="0"/>
    <x v="4"/>
    <x v="0"/>
    <x v="0"/>
    <x v="3"/>
    <x v="6"/>
    <x v="2"/>
    <x v="0"/>
  </r>
  <r>
    <x v="322"/>
    <x v="10"/>
    <x v="3"/>
    <n v="24.4"/>
    <n v="170.79999999999998"/>
    <x v="13"/>
    <d v="2025-01-15T00:00:00"/>
    <x v="2"/>
    <x v="0"/>
    <x v="0"/>
    <x v="0"/>
    <x v="3"/>
    <x v="3"/>
    <x v="2"/>
    <x v="2"/>
  </r>
  <r>
    <x v="323"/>
    <x v="14"/>
    <x v="1"/>
    <n v="50.4"/>
    <n v="100.8"/>
    <x v="13"/>
    <d v="2025-01-20T00:00:00"/>
    <x v="1"/>
    <x v="0"/>
    <x v="1"/>
    <x v="0"/>
    <x v="3"/>
    <x v="4"/>
    <x v="2"/>
    <x v="1"/>
  </r>
  <r>
    <x v="324"/>
    <x v="1"/>
    <x v="1"/>
    <n v="100"/>
    <n v="200"/>
    <x v="13"/>
    <d v="2025-01-15T00:00:00"/>
    <x v="2"/>
    <x v="0"/>
    <x v="0"/>
    <x v="0"/>
    <x v="3"/>
    <x v="3"/>
    <x v="2"/>
    <x v="2"/>
  </r>
  <r>
    <x v="325"/>
    <x v="10"/>
    <x v="2"/>
    <n v="43"/>
    <n v="129"/>
    <x v="14"/>
    <d v="2025-01-15T00:00:00"/>
    <x v="2"/>
    <x v="2"/>
    <x v="1"/>
    <x v="0"/>
    <x v="3"/>
    <x v="7"/>
    <x v="2"/>
    <x v="2"/>
  </r>
  <r>
    <x v="326"/>
    <x v="1"/>
    <x v="9"/>
    <n v="64.400000000000006"/>
    <n v="322"/>
    <x v="14"/>
    <d v="2025-01-17T00:00:00"/>
    <x v="1"/>
    <x v="2"/>
    <x v="1"/>
    <x v="0"/>
    <x v="3"/>
    <x v="1"/>
    <x v="2"/>
    <x v="1"/>
  </r>
  <r>
    <x v="327"/>
    <x v="18"/>
    <x v="1"/>
    <n v="57.4"/>
    <n v="114.8"/>
    <x v="14"/>
    <d v="2025-01-16T00:00:00"/>
    <x v="1"/>
    <x v="2"/>
    <x v="1"/>
    <x v="0"/>
    <x v="3"/>
    <x v="3"/>
    <x v="2"/>
    <x v="1"/>
  </r>
  <r>
    <x v="328"/>
    <x v="2"/>
    <x v="2"/>
    <n v="55.1"/>
    <n v="165.3"/>
    <x v="14"/>
    <d v="2025-01-18T00:00:00"/>
    <x v="2"/>
    <x v="1"/>
    <x v="0"/>
    <x v="0"/>
    <x v="3"/>
    <x v="2"/>
    <x v="2"/>
    <x v="2"/>
  </r>
  <r>
    <x v="329"/>
    <x v="7"/>
    <x v="12"/>
    <n v="45.4"/>
    <n v="181.6"/>
    <x v="14"/>
    <d v="2025-01-16T00:00:00"/>
    <x v="2"/>
    <x v="1"/>
    <x v="0"/>
    <x v="0"/>
    <x v="3"/>
    <x v="3"/>
    <x v="2"/>
    <x v="2"/>
  </r>
  <r>
    <x v="330"/>
    <x v="3"/>
    <x v="2"/>
    <n v="93.3"/>
    <n v="279.89999999999998"/>
    <x v="14"/>
    <d v="2025-01-16T00:00:00"/>
    <x v="2"/>
    <x v="0"/>
    <x v="0"/>
    <x v="0"/>
    <x v="40"/>
    <x v="3"/>
    <x v="2"/>
    <x v="2"/>
  </r>
  <r>
    <x v="331"/>
    <x v="2"/>
    <x v="10"/>
    <n v="158.19999999999999"/>
    <n v="3005.7999999999997"/>
    <x v="14"/>
    <d v="2025-01-16T00:00:00"/>
    <x v="2"/>
    <x v="1"/>
    <x v="2"/>
    <x v="0"/>
    <x v="16"/>
    <x v="3"/>
    <x v="2"/>
    <x v="2"/>
  </r>
  <r>
    <x v="332"/>
    <x v="2"/>
    <x v="1"/>
    <n v="74.900000000000006"/>
    <n v="149.80000000000001"/>
    <x v="14"/>
    <d v="2025-01-17T00:00:00"/>
    <x v="1"/>
    <x v="3"/>
    <x v="0"/>
    <x v="0"/>
    <x v="6"/>
    <x v="1"/>
    <x v="2"/>
    <x v="1"/>
  </r>
  <r>
    <x v="333"/>
    <x v="8"/>
    <x v="3"/>
    <n v="26"/>
    <n v="182"/>
    <x v="14"/>
    <d v="2025-01-18T00:00:00"/>
    <x v="2"/>
    <x v="1"/>
    <x v="0"/>
    <x v="0"/>
    <x v="8"/>
    <x v="2"/>
    <x v="2"/>
    <x v="2"/>
  </r>
  <r>
    <x v="334"/>
    <x v="9"/>
    <x v="13"/>
    <n v="37.5"/>
    <n v="225"/>
    <x v="14"/>
    <d v="2025-01-16T00:00:00"/>
    <x v="2"/>
    <x v="0"/>
    <x v="1"/>
    <x v="0"/>
    <x v="8"/>
    <x v="3"/>
    <x v="2"/>
    <x v="2"/>
  </r>
  <r>
    <x v="335"/>
    <x v="6"/>
    <x v="1"/>
    <n v="75.8"/>
    <n v="151.6"/>
    <x v="14"/>
    <d v="2025-01-21T00:00:00"/>
    <x v="1"/>
    <x v="0"/>
    <x v="0"/>
    <x v="0"/>
    <x v="8"/>
    <x v="4"/>
    <x v="2"/>
    <x v="1"/>
  </r>
  <r>
    <x v="336"/>
    <x v="7"/>
    <x v="0"/>
    <n v="48.5"/>
    <n v="48.5"/>
    <x v="14"/>
    <d v="2025-01-27T00:00:00"/>
    <x v="0"/>
    <x v="4"/>
    <x v="2"/>
    <x v="0"/>
    <x v="8"/>
    <x v="13"/>
    <x v="2"/>
    <x v="0"/>
  </r>
  <r>
    <x v="337"/>
    <x v="6"/>
    <x v="2"/>
    <n v="98.9"/>
    <n v="296.70000000000005"/>
    <x v="14"/>
    <d v="2025-01-17T00:00:00"/>
    <x v="2"/>
    <x v="4"/>
    <x v="1"/>
    <x v="0"/>
    <x v="8"/>
    <x v="1"/>
    <x v="2"/>
    <x v="2"/>
  </r>
  <r>
    <x v="338"/>
    <x v="1"/>
    <x v="4"/>
    <n v="50.9"/>
    <n v="610.79999999999995"/>
    <x v="14"/>
    <d v="2025-01-15T00:00:00"/>
    <x v="1"/>
    <x v="4"/>
    <x v="0"/>
    <x v="0"/>
    <x v="8"/>
    <x v="7"/>
    <x v="2"/>
    <x v="1"/>
  </r>
  <r>
    <x v="339"/>
    <x v="12"/>
    <x v="13"/>
    <n v="84.7"/>
    <n v="508.20000000000005"/>
    <x v="14"/>
    <d v="2025-01-15T00:00:00"/>
    <x v="2"/>
    <x v="2"/>
    <x v="0"/>
    <x v="0"/>
    <x v="8"/>
    <x v="7"/>
    <x v="2"/>
    <x v="2"/>
  </r>
  <r>
    <x v="340"/>
    <x v="8"/>
    <x v="0"/>
    <n v="20.7"/>
    <n v="20.7"/>
    <x v="14"/>
    <d v="2025-01-17T00:00:00"/>
    <x v="2"/>
    <x v="3"/>
    <x v="2"/>
    <x v="0"/>
    <x v="8"/>
    <x v="1"/>
    <x v="2"/>
    <x v="2"/>
  </r>
  <r>
    <x v="341"/>
    <x v="12"/>
    <x v="11"/>
    <n v="57.8"/>
    <n v="520.19999999999993"/>
    <x v="14"/>
    <d v="2025-01-26T00:00:00"/>
    <x v="1"/>
    <x v="0"/>
    <x v="4"/>
    <x v="0"/>
    <x v="17"/>
    <x v="11"/>
    <x v="2"/>
    <x v="1"/>
  </r>
  <r>
    <x v="342"/>
    <x v="2"/>
    <x v="1"/>
    <n v="106.9"/>
    <n v="213.8"/>
    <x v="14"/>
    <d v="2025-01-17T00:00:00"/>
    <x v="2"/>
    <x v="0"/>
    <x v="2"/>
    <x v="0"/>
    <x v="41"/>
    <x v="1"/>
    <x v="2"/>
    <x v="2"/>
  </r>
  <r>
    <x v="343"/>
    <x v="3"/>
    <x v="9"/>
    <n v="45.2"/>
    <n v="226"/>
    <x v="14"/>
    <d v="2025-01-19T00:00:00"/>
    <x v="2"/>
    <x v="1"/>
    <x v="0"/>
    <x v="0"/>
    <x v="21"/>
    <x v="5"/>
    <x v="2"/>
    <x v="2"/>
  </r>
  <r>
    <x v="344"/>
    <x v="8"/>
    <x v="15"/>
    <n v="34.6"/>
    <n v="449.8"/>
    <x v="14"/>
    <d v="2025-01-15T00:00:00"/>
    <x v="2"/>
    <x v="1"/>
    <x v="1"/>
    <x v="0"/>
    <x v="21"/>
    <x v="7"/>
    <x v="2"/>
    <x v="2"/>
  </r>
  <r>
    <x v="345"/>
    <x v="15"/>
    <x v="0"/>
    <n v="43.8"/>
    <n v="43.8"/>
    <x v="14"/>
    <d v="2025-01-17T00:00:00"/>
    <x v="0"/>
    <x v="0"/>
    <x v="2"/>
    <x v="0"/>
    <x v="21"/>
    <x v="1"/>
    <x v="2"/>
    <x v="0"/>
  </r>
  <r>
    <x v="346"/>
    <x v="15"/>
    <x v="0"/>
    <n v="20.399999999999999"/>
    <n v="20.399999999999999"/>
    <x v="14"/>
    <d v="2025-01-17T00:00:00"/>
    <x v="1"/>
    <x v="4"/>
    <x v="1"/>
    <x v="0"/>
    <x v="21"/>
    <x v="1"/>
    <x v="2"/>
    <x v="1"/>
  </r>
  <r>
    <x v="347"/>
    <x v="1"/>
    <x v="0"/>
    <n v="36.700000000000003"/>
    <n v="36.700000000000003"/>
    <x v="14"/>
    <d v="2025-01-16T00:00:00"/>
    <x v="1"/>
    <x v="0"/>
    <x v="1"/>
    <x v="0"/>
    <x v="1"/>
    <x v="3"/>
    <x v="2"/>
    <x v="1"/>
  </r>
  <r>
    <x v="348"/>
    <x v="8"/>
    <x v="2"/>
    <n v="27.2"/>
    <n v="81.599999999999994"/>
    <x v="14"/>
    <d v="2025-01-19T00:00:00"/>
    <x v="1"/>
    <x v="0"/>
    <x v="2"/>
    <x v="0"/>
    <x v="1"/>
    <x v="5"/>
    <x v="2"/>
    <x v="1"/>
  </r>
  <r>
    <x v="349"/>
    <x v="6"/>
    <x v="0"/>
    <n v="58.2"/>
    <n v="58.2"/>
    <x v="14"/>
    <d v="2025-01-16T00:00:00"/>
    <x v="2"/>
    <x v="0"/>
    <x v="2"/>
    <x v="0"/>
    <x v="42"/>
    <x v="3"/>
    <x v="2"/>
    <x v="2"/>
  </r>
  <r>
    <x v="350"/>
    <x v="8"/>
    <x v="2"/>
    <n v="25.6"/>
    <n v="76.800000000000011"/>
    <x v="14"/>
    <d v="2025-01-16T00:00:00"/>
    <x v="1"/>
    <x v="4"/>
    <x v="4"/>
    <x v="0"/>
    <x v="2"/>
    <x v="3"/>
    <x v="2"/>
    <x v="1"/>
  </r>
  <r>
    <x v="351"/>
    <x v="10"/>
    <x v="0"/>
    <n v="21.2"/>
    <n v="21.2"/>
    <x v="14"/>
    <d v="2025-01-15T00:00:00"/>
    <x v="2"/>
    <x v="1"/>
    <x v="2"/>
    <x v="0"/>
    <x v="3"/>
    <x v="7"/>
    <x v="2"/>
    <x v="2"/>
  </r>
  <r>
    <x v="352"/>
    <x v="6"/>
    <x v="1"/>
    <n v="48.2"/>
    <n v="96.4"/>
    <x v="14"/>
    <d v="2025-01-23T00:00:00"/>
    <x v="2"/>
    <x v="0"/>
    <x v="2"/>
    <x v="0"/>
    <x v="3"/>
    <x v="9"/>
    <x v="2"/>
    <x v="2"/>
  </r>
  <r>
    <x v="353"/>
    <x v="1"/>
    <x v="12"/>
    <n v="83.4"/>
    <n v="333.6"/>
    <x v="15"/>
    <d v="2025-01-17T00:00:00"/>
    <x v="1"/>
    <x v="0"/>
    <x v="0"/>
    <x v="0"/>
    <x v="3"/>
    <x v="3"/>
    <x v="2"/>
    <x v="1"/>
  </r>
  <r>
    <x v="354"/>
    <x v="9"/>
    <x v="2"/>
    <n v="45.3"/>
    <n v="135.89999999999998"/>
    <x v="15"/>
    <d v="2025-01-22T00:00:00"/>
    <x v="1"/>
    <x v="2"/>
    <x v="1"/>
    <x v="0"/>
    <x v="3"/>
    <x v="4"/>
    <x v="2"/>
    <x v="1"/>
  </r>
  <r>
    <x v="355"/>
    <x v="17"/>
    <x v="0"/>
    <n v="42"/>
    <n v="42"/>
    <x v="15"/>
    <d v="2025-01-17T00:00:00"/>
    <x v="0"/>
    <x v="0"/>
    <x v="0"/>
    <x v="0"/>
    <x v="3"/>
    <x v="3"/>
    <x v="2"/>
    <x v="0"/>
  </r>
  <r>
    <x v="356"/>
    <x v="0"/>
    <x v="11"/>
    <n v="21.8"/>
    <n v="196.20000000000002"/>
    <x v="15"/>
    <d v="2025-01-18T00:00:00"/>
    <x v="2"/>
    <x v="1"/>
    <x v="0"/>
    <x v="0"/>
    <x v="3"/>
    <x v="1"/>
    <x v="2"/>
    <x v="2"/>
  </r>
  <r>
    <x v="357"/>
    <x v="8"/>
    <x v="16"/>
    <n v="21.4"/>
    <n v="385.2"/>
    <x v="15"/>
    <d v="2025-01-19T00:00:00"/>
    <x v="2"/>
    <x v="1"/>
    <x v="2"/>
    <x v="0"/>
    <x v="3"/>
    <x v="2"/>
    <x v="2"/>
    <x v="2"/>
  </r>
  <r>
    <x v="358"/>
    <x v="10"/>
    <x v="2"/>
    <n v="45"/>
    <n v="135"/>
    <x v="15"/>
    <d v="2025-01-16T00:00:00"/>
    <x v="2"/>
    <x v="1"/>
    <x v="2"/>
    <x v="0"/>
    <x v="3"/>
    <x v="7"/>
    <x v="2"/>
    <x v="2"/>
  </r>
  <r>
    <x v="359"/>
    <x v="14"/>
    <x v="0"/>
    <n v="39.6"/>
    <n v="39.6"/>
    <x v="15"/>
    <d v="2025-01-17T00:00:00"/>
    <x v="1"/>
    <x v="0"/>
    <x v="2"/>
    <x v="0"/>
    <x v="3"/>
    <x v="3"/>
    <x v="2"/>
    <x v="1"/>
  </r>
  <r>
    <x v="360"/>
    <x v="12"/>
    <x v="2"/>
    <n v="79.8"/>
    <n v="239.39999999999998"/>
    <x v="15"/>
    <d v="2025-01-22T00:00:00"/>
    <x v="2"/>
    <x v="1"/>
    <x v="4"/>
    <x v="0"/>
    <x v="3"/>
    <x v="4"/>
    <x v="2"/>
    <x v="2"/>
  </r>
  <r>
    <x v="361"/>
    <x v="1"/>
    <x v="12"/>
    <n v="63.6"/>
    <n v="254.4"/>
    <x v="15"/>
    <d v="2025-01-17T00:00:00"/>
    <x v="3"/>
    <x v="0"/>
    <x v="2"/>
    <x v="0"/>
    <x v="24"/>
    <x v="3"/>
    <x v="2"/>
    <x v="3"/>
  </r>
  <r>
    <x v="362"/>
    <x v="7"/>
    <x v="7"/>
    <n v="92.7"/>
    <n v="927"/>
    <x v="15"/>
    <d v="2025-01-20T00:00:00"/>
    <x v="1"/>
    <x v="1"/>
    <x v="2"/>
    <x v="0"/>
    <x v="6"/>
    <x v="5"/>
    <x v="2"/>
    <x v="1"/>
  </r>
  <r>
    <x v="363"/>
    <x v="1"/>
    <x v="12"/>
    <n v="48.4"/>
    <n v="193.6"/>
    <x v="15"/>
    <d v="2025-01-18T00:00:00"/>
    <x v="2"/>
    <x v="1"/>
    <x v="2"/>
    <x v="0"/>
    <x v="6"/>
    <x v="1"/>
    <x v="2"/>
    <x v="2"/>
  </r>
  <r>
    <x v="364"/>
    <x v="9"/>
    <x v="8"/>
    <n v="36"/>
    <n v="288"/>
    <x v="15"/>
    <d v="2025-01-19T00:00:00"/>
    <x v="1"/>
    <x v="2"/>
    <x v="2"/>
    <x v="0"/>
    <x v="8"/>
    <x v="2"/>
    <x v="2"/>
    <x v="1"/>
  </r>
  <r>
    <x v="365"/>
    <x v="8"/>
    <x v="4"/>
    <n v="27"/>
    <n v="324"/>
    <x v="15"/>
    <d v="2025-01-18T00:00:00"/>
    <x v="2"/>
    <x v="2"/>
    <x v="1"/>
    <x v="0"/>
    <x v="8"/>
    <x v="1"/>
    <x v="2"/>
    <x v="2"/>
  </r>
  <r>
    <x v="366"/>
    <x v="2"/>
    <x v="8"/>
    <n v="53.9"/>
    <n v="431.2"/>
    <x v="15"/>
    <d v="2025-01-17T00:00:00"/>
    <x v="0"/>
    <x v="0"/>
    <x v="0"/>
    <x v="0"/>
    <x v="8"/>
    <x v="3"/>
    <x v="2"/>
    <x v="0"/>
  </r>
  <r>
    <x v="367"/>
    <x v="3"/>
    <x v="11"/>
    <n v="48.4"/>
    <n v="435.59999999999997"/>
    <x v="15"/>
    <d v="2025-01-17T00:00:00"/>
    <x v="2"/>
    <x v="1"/>
    <x v="0"/>
    <x v="0"/>
    <x v="9"/>
    <x v="3"/>
    <x v="2"/>
    <x v="2"/>
  </r>
  <r>
    <x v="368"/>
    <x v="17"/>
    <x v="1"/>
    <n v="49.9"/>
    <n v="99.8"/>
    <x v="15"/>
    <d v="2025-01-21T00:00:00"/>
    <x v="1"/>
    <x v="4"/>
    <x v="4"/>
    <x v="0"/>
    <x v="10"/>
    <x v="0"/>
    <x v="2"/>
    <x v="1"/>
  </r>
  <r>
    <x v="369"/>
    <x v="1"/>
    <x v="2"/>
    <n v="51.7"/>
    <n v="155.10000000000002"/>
    <x v="15"/>
    <d v="2025-01-17T00:00:00"/>
    <x v="2"/>
    <x v="0"/>
    <x v="2"/>
    <x v="0"/>
    <x v="11"/>
    <x v="3"/>
    <x v="2"/>
    <x v="2"/>
  </r>
  <r>
    <x v="370"/>
    <x v="8"/>
    <x v="2"/>
    <n v="41.8"/>
    <n v="125.39999999999999"/>
    <x v="15"/>
    <d v="2025-01-18T00:00:00"/>
    <x v="2"/>
    <x v="2"/>
    <x v="0"/>
    <x v="0"/>
    <x v="18"/>
    <x v="1"/>
    <x v="2"/>
    <x v="2"/>
  </r>
  <r>
    <x v="371"/>
    <x v="4"/>
    <x v="12"/>
    <n v="36.200000000000003"/>
    <n v="144.80000000000001"/>
    <x v="16"/>
    <d v="2025-01-18T00:00:00"/>
    <x v="1"/>
    <x v="2"/>
    <x v="2"/>
    <x v="0"/>
    <x v="21"/>
    <x v="3"/>
    <x v="2"/>
    <x v="1"/>
  </r>
  <r>
    <x v="372"/>
    <x v="2"/>
    <x v="0"/>
    <n v="150.9"/>
    <n v="150.9"/>
    <x v="16"/>
    <d v="2025-01-27T00:00:00"/>
    <x v="1"/>
    <x v="0"/>
    <x v="0"/>
    <x v="0"/>
    <x v="1"/>
    <x v="14"/>
    <x v="2"/>
    <x v="1"/>
  </r>
  <r>
    <x v="373"/>
    <x v="18"/>
    <x v="12"/>
    <n v="77.599999999999994"/>
    <n v="310.39999999999998"/>
    <x v="16"/>
    <d v="2025-01-18T00:00:00"/>
    <x v="0"/>
    <x v="2"/>
    <x v="0"/>
    <x v="0"/>
    <x v="3"/>
    <x v="3"/>
    <x v="2"/>
    <x v="0"/>
  </r>
  <r>
    <x v="374"/>
    <x v="13"/>
    <x v="9"/>
    <n v="65.5"/>
    <n v="327.5"/>
    <x v="16"/>
    <d v="2025-01-17T00:00:00"/>
    <x v="1"/>
    <x v="1"/>
    <x v="0"/>
    <x v="0"/>
    <x v="3"/>
    <x v="7"/>
    <x v="2"/>
    <x v="1"/>
  </r>
  <r>
    <x v="375"/>
    <x v="6"/>
    <x v="2"/>
    <n v="90.1"/>
    <n v="270.29999999999995"/>
    <x v="16"/>
    <d v="2025-01-19T00:00:00"/>
    <x v="2"/>
    <x v="0"/>
    <x v="0"/>
    <x v="0"/>
    <x v="3"/>
    <x v="1"/>
    <x v="2"/>
    <x v="2"/>
  </r>
  <r>
    <x v="376"/>
    <x v="1"/>
    <x v="1"/>
    <n v="108.3"/>
    <n v="216.6"/>
    <x v="16"/>
    <d v="2025-01-20T00:00:00"/>
    <x v="3"/>
    <x v="4"/>
    <x v="0"/>
    <x v="0"/>
    <x v="3"/>
    <x v="2"/>
    <x v="2"/>
    <x v="3"/>
  </r>
  <r>
    <x v="377"/>
    <x v="5"/>
    <x v="2"/>
    <n v="59.9"/>
    <n v="179.7"/>
    <x v="16"/>
    <d v="2025-01-21T00:00:00"/>
    <x v="2"/>
    <x v="0"/>
    <x v="0"/>
    <x v="0"/>
    <x v="3"/>
    <x v="5"/>
    <x v="2"/>
    <x v="2"/>
  </r>
  <r>
    <x v="378"/>
    <x v="2"/>
    <x v="14"/>
    <n v="139"/>
    <n v="2363"/>
    <x v="16"/>
    <d v="2025-01-19T00:00:00"/>
    <x v="2"/>
    <x v="1"/>
    <x v="4"/>
    <x v="0"/>
    <x v="3"/>
    <x v="1"/>
    <x v="2"/>
    <x v="2"/>
  </r>
  <r>
    <x v="379"/>
    <x v="6"/>
    <x v="2"/>
    <n v="87.3"/>
    <n v="261.89999999999998"/>
    <x v="16"/>
    <d v="2025-01-18T00:00:00"/>
    <x v="2"/>
    <x v="0"/>
    <x v="0"/>
    <x v="0"/>
    <x v="3"/>
    <x v="3"/>
    <x v="2"/>
    <x v="2"/>
  </r>
  <r>
    <x v="380"/>
    <x v="11"/>
    <x v="12"/>
    <n v="42.3"/>
    <n v="169.2"/>
    <x v="16"/>
    <d v="2025-01-17T00:00:00"/>
    <x v="1"/>
    <x v="0"/>
    <x v="0"/>
    <x v="0"/>
    <x v="3"/>
    <x v="7"/>
    <x v="2"/>
    <x v="1"/>
  </r>
  <r>
    <x v="381"/>
    <x v="14"/>
    <x v="8"/>
    <n v="103.6"/>
    <n v="828.8"/>
    <x v="16"/>
    <d v="2025-01-18T00:00:00"/>
    <x v="3"/>
    <x v="0"/>
    <x v="1"/>
    <x v="0"/>
    <x v="3"/>
    <x v="3"/>
    <x v="2"/>
    <x v="3"/>
  </r>
  <r>
    <x v="382"/>
    <x v="6"/>
    <x v="1"/>
    <n v="90.9"/>
    <n v="181.8"/>
    <x v="16"/>
    <d v="2025-01-18T00:00:00"/>
    <x v="1"/>
    <x v="1"/>
    <x v="0"/>
    <x v="0"/>
    <x v="6"/>
    <x v="3"/>
    <x v="2"/>
    <x v="1"/>
  </r>
  <r>
    <x v="383"/>
    <x v="9"/>
    <x v="27"/>
    <n v="100.9"/>
    <n v="1614.4"/>
    <x v="16"/>
    <d v="2025-01-18T00:00:00"/>
    <x v="2"/>
    <x v="1"/>
    <x v="0"/>
    <x v="0"/>
    <x v="6"/>
    <x v="3"/>
    <x v="2"/>
    <x v="2"/>
  </r>
  <r>
    <x v="384"/>
    <x v="4"/>
    <x v="9"/>
    <n v="36"/>
    <n v="180"/>
    <x v="16"/>
    <d v="2025-01-19T00:00:00"/>
    <x v="2"/>
    <x v="1"/>
    <x v="0"/>
    <x v="0"/>
    <x v="7"/>
    <x v="1"/>
    <x v="2"/>
    <x v="2"/>
  </r>
  <r>
    <x v="385"/>
    <x v="6"/>
    <x v="13"/>
    <n v="83.3"/>
    <n v="499.79999999999995"/>
    <x v="16"/>
    <d v="2025-01-20T00:00:00"/>
    <x v="0"/>
    <x v="2"/>
    <x v="0"/>
    <x v="0"/>
    <x v="7"/>
    <x v="2"/>
    <x v="2"/>
    <x v="0"/>
  </r>
  <r>
    <x v="386"/>
    <x v="2"/>
    <x v="14"/>
    <n v="60.3"/>
    <n v="1025.0999999999999"/>
    <x v="16"/>
    <d v="2025-01-18T00:00:00"/>
    <x v="1"/>
    <x v="2"/>
    <x v="1"/>
    <x v="0"/>
    <x v="7"/>
    <x v="3"/>
    <x v="2"/>
    <x v="1"/>
  </r>
  <r>
    <x v="387"/>
    <x v="2"/>
    <x v="13"/>
    <n v="120.3"/>
    <n v="721.8"/>
    <x v="16"/>
    <d v="2025-01-18T00:00:00"/>
    <x v="1"/>
    <x v="2"/>
    <x v="0"/>
    <x v="0"/>
    <x v="8"/>
    <x v="3"/>
    <x v="2"/>
    <x v="1"/>
  </r>
  <r>
    <x v="388"/>
    <x v="4"/>
    <x v="7"/>
    <n v="34"/>
    <n v="340"/>
    <x v="16"/>
    <d v="2025-01-21T00:00:00"/>
    <x v="2"/>
    <x v="2"/>
    <x v="0"/>
    <x v="0"/>
    <x v="8"/>
    <x v="5"/>
    <x v="2"/>
    <x v="2"/>
  </r>
  <r>
    <x v="389"/>
    <x v="10"/>
    <x v="9"/>
    <n v="42.6"/>
    <n v="213"/>
    <x v="16"/>
    <d v="2025-01-20T00:00:00"/>
    <x v="1"/>
    <x v="1"/>
    <x v="0"/>
    <x v="0"/>
    <x v="8"/>
    <x v="2"/>
    <x v="2"/>
    <x v="1"/>
  </r>
  <r>
    <x v="390"/>
    <x v="5"/>
    <x v="28"/>
    <n v="47.4"/>
    <n v="948"/>
    <x v="16"/>
    <d v="2025-01-17T00:00:00"/>
    <x v="2"/>
    <x v="2"/>
    <x v="1"/>
    <x v="0"/>
    <x v="17"/>
    <x v="7"/>
    <x v="2"/>
    <x v="2"/>
  </r>
  <r>
    <x v="391"/>
    <x v="2"/>
    <x v="0"/>
    <n v="74"/>
    <n v="74"/>
    <x v="17"/>
    <d v="2025-01-19T00:00:00"/>
    <x v="1"/>
    <x v="1"/>
    <x v="0"/>
    <x v="0"/>
    <x v="11"/>
    <x v="3"/>
    <x v="2"/>
    <x v="1"/>
  </r>
  <r>
    <x v="392"/>
    <x v="2"/>
    <x v="9"/>
    <n v="60.4"/>
    <n v="302"/>
    <x v="17"/>
    <d v="2025-01-21T00:00:00"/>
    <x v="2"/>
    <x v="1"/>
    <x v="4"/>
    <x v="0"/>
    <x v="18"/>
    <x v="2"/>
    <x v="2"/>
    <x v="2"/>
  </r>
  <r>
    <x v="393"/>
    <x v="12"/>
    <x v="1"/>
    <n v="69.3"/>
    <n v="138.6"/>
    <x v="17"/>
    <d v="2025-01-21T00:00:00"/>
    <x v="1"/>
    <x v="1"/>
    <x v="1"/>
    <x v="0"/>
    <x v="13"/>
    <x v="2"/>
    <x v="2"/>
    <x v="1"/>
  </r>
  <r>
    <x v="394"/>
    <x v="5"/>
    <x v="9"/>
    <n v="81"/>
    <n v="405"/>
    <x v="17"/>
    <d v="2025-01-24T00:00:00"/>
    <x v="1"/>
    <x v="3"/>
    <x v="0"/>
    <x v="0"/>
    <x v="21"/>
    <x v="4"/>
    <x v="2"/>
    <x v="1"/>
  </r>
  <r>
    <x v="395"/>
    <x v="15"/>
    <x v="2"/>
    <n v="41.5"/>
    <n v="124.5"/>
    <x v="17"/>
    <d v="2025-01-20T00:00:00"/>
    <x v="3"/>
    <x v="1"/>
    <x v="0"/>
    <x v="0"/>
    <x v="21"/>
    <x v="1"/>
    <x v="2"/>
    <x v="3"/>
  </r>
  <r>
    <x v="396"/>
    <x v="18"/>
    <x v="1"/>
    <n v="69.7"/>
    <n v="139.4"/>
    <x v="17"/>
    <d v="2025-01-23T00:00:00"/>
    <x v="1"/>
    <x v="1"/>
    <x v="0"/>
    <x v="0"/>
    <x v="21"/>
    <x v="0"/>
    <x v="2"/>
    <x v="1"/>
  </r>
  <r>
    <x v="397"/>
    <x v="2"/>
    <x v="9"/>
    <n v="83.6"/>
    <n v="418"/>
    <x v="17"/>
    <d v="2025-01-18T00:00:00"/>
    <x v="2"/>
    <x v="4"/>
    <x v="0"/>
    <x v="0"/>
    <x v="1"/>
    <x v="7"/>
    <x v="2"/>
    <x v="2"/>
  </r>
  <r>
    <x v="398"/>
    <x v="8"/>
    <x v="3"/>
    <n v="21.5"/>
    <n v="150.5"/>
    <x v="17"/>
    <d v="2025-01-20T00:00:00"/>
    <x v="1"/>
    <x v="1"/>
    <x v="4"/>
    <x v="0"/>
    <x v="34"/>
    <x v="1"/>
    <x v="2"/>
    <x v="1"/>
  </r>
  <r>
    <x v="399"/>
    <x v="8"/>
    <x v="8"/>
    <n v="28.6"/>
    <n v="228.8"/>
    <x v="17"/>
    <d v="2025-01-19T00:00:00"/>
    <x v="1"/>
    <x v="0"/>
    <x v="0"/>
    <x v="0"/>
    <x v="3"/>
    <x v="3"/>
    <x v="2"/>
    <x v="1"/>
  </r>
  <r>
    <x v="400"/>
    <x v="8"/>
    <x v="13"/>
    <n v="18.8"/>
    <n v="112.80000000000001"/>
    <x v="17"/>
    <d v="2025-01-21T00:00:00"/>
    <x v="1"/>
    <x v="3"/>
    <x v="2"/>
    <x v="0"/>
    <x v="3"/>
    <x v="2"/>
    <x v="2"/>
    <x v="1"/>
  </r>
  <r>
    <x v="401"/>
    <x v="10"/>
    <x v="12"/>
    <n v="35.1"/>
    <n v="140.4"/>
    <x v="17"/>
    <d v="2025-01-18T00:00:00"/>
    <x v="2"/>
    <x v="1"/>
    <x v="1"/>
    <x v="0"/>
    <x v="3"/>
    <x v="7"/>
    <x v="2"/>
    <x v="2"/>
  </r>
  <r>
    <x v="402"/>
    <x v="0"/>
    <x v="1"/>
    <n v="12.7"/>
    <n v="25.4"/>
    <x v="17"/>
    <d v="2025-01-20T00:00:00"/>
    <x v="2"/>
    <x v="1"/>
    <x v="2"/>
    <x v="0"/>
    <x v="3"/>
    <x v="1"/>
    <x v="2"/>
    <x v="2"/>
  </r>
  <r>
    <x v="403"/>
    <x v="8"/>
    <x v="9"/>
    <n v="27.4"/>
    <n v="137"/>
    <x v="17"/>
    <d v="2025-01-20T00:00:00"/>
    <x v="3"/>
    <x v="0"/>
    <x v="0"/>
    <x v="0"/>
    <x v="3"/>
    <x v="1"/>
    <x v="2"/>
    <x v="3"/>
  </r>
  <r>
    <x v="404"/>
    <x v="10"/>
    <x v="1"/>
    <n v="61.3"/>
    <n v="122.6"/>
    <x v="17"/>
    <d v="2025-01-19T00:00:00"/>
    <x v="2"/>
    <x v="1"/>
    <x v="0"/>
    <x v="0"/>
    <x v="6"/>
    <x v="3"/>
    <x v="2"/>
    <x v="2"/>
  </r>
  <r>
    <x v="405"/>
    <x v="8"/>
    <x v="1"/>
    <n v="64.7"/>
    <n v="129.4"/>
    <x v="17"/>
    <d v="2025-01-20T00:00:00"/>
    <x v="2"/>
    <x v="3"/>
    <x v="2"/>
    <x v="0"/>
    <x v="6"/>
    <x v="1"/>
    <x v="2"/>
    <x v="2"/>
  </r>
  <r>
    <x v="406"/>
    <x v="7"/>
    <x v="12"/>
    <n v="91.4"/>
    <n v="365.6"/>
    <x v="17"/>
    <d v="2025-01-20T00:00:00"/>
    <x v="2"/>
    <x v="0"/>
    <x v="0"/>
    <x v="0"/>
    <x v="8"/>
    <x v="1"/>
    <x v="2"/>
    <x v="2"/>
  </r>
  <r>
    <x v="407"/>
    <x v="0"/>
    <x v="1"/>
    <n v="33.1"/>
    <n v="66.2"/>
    <x v="18"/>
    <d v="2025-01-20T00:00:00"/>
    <x v="1"/>
    <x v="0"/>
    <x v="2"/>
    <x v="0"/>
    <x v="8"/>
    <x v="3"/>
    <x v="3"/>
    <x v="1"/>
  </r>
  <r>
    <x v="408"/>
    <x v="3"/>
    <x v="1"/>
    <n v="105.6"/>
    <n v="211.2"/>
    <x v="18"/>
    <d v="2025-01-20T00:00:00"/>
    <x v="1"/>
    <x v="2"/>
    <x v="1"/>
    <x v="0"/>
    <x v="8"/>
    <x v="3"/>
    <x v="3"/>
    <x v="1"/>
  </r>
  <r>
    <x v="409"/>
    <x v="10"/>
    <x v="2"/>
    <n v="46.4"/>
    <n v="139.19999999999999"/>
    <x v="18"/>
    <d v="2025-01-20T00:00:00"/>
    <x v="1"/>
    <x v="2"/>
    <x v="0"/>
    <x v="0"/>
    <x v="9"/>
    <x v="3"/>
    <x v="3"/>
    <x v="1"/>
  </r>
  <r>
    <x v="410"/>
    <x v="9"/>
    <x v="21"/>
    <n v="35.299999999999997"/>
    <n v="494.19999999999993"/>
    <x v="18"/>
    <d v="2025-01-22T00:00:00"/>
    <x v="2"/>
    <x v="4"/>
    <x v="1"/>
    <x v="0"/>
    <x v="11"/>
    <x v="2"/>
    <x v="3"/>
    <x v="2"/>
  </r>
  <r>
    <x v="411"/>
    <x v="0"/>
    <x v="1"/>
    <n v="16.100000000000001"/>
    <n v="32.200000000000003"/>
    <x v="18"/>
    <d v="2025-01-21T00:00:00"/>
    <x v="1"/>
    <x v="3"/>
    <x v="2"/>
    <x v="0"/>
    <x v="32"/>
    <x v="1"/>
    <x v="3"/>
    <x v="1"/>
  </r>
  <r>
    <x v="412"/>
    <x v="4"/>
    <x v="1"/>
    <n v="27.9"/>
    <n v="55.8"/>
    <x v="18"/>
    <d v="2025-01-22T00:00:00"/>
    <x v="1"/>
    <x v="0"/>
    <x v="0"/>
    <x v="0"/>
    <x v="13"/>
    <x v="2"/>
    <x v="3"/>
    <x v="1"/>
  </r>
  <r>
    <x v="413"/>
    <x v="8"/>
    <x v="0"/>
    <n v="47.1"/>
    <n v="47.1"/>
    <x v="18"/>
    <d v="2025-01-27T00:00:00"/>
    <x v="2"/>
    <x v="1"/>
    <x v="0"/>
    <x v="0"/>
    <x v="2"/>
    <x v="9"/>
    <x v="3"/>
    <x v="2"/>
  </r>
  <r>
    <x v="414"/>
    <x v="6"/>
    <x v="1"/>
    <n v="85"/>
    <n v="170"/>
    <x v="18"/>
    <d v="2025-01-22T00:00:00"/>
    <x v="0"/>
    <x v="2"/>
    <x v="2"/>
    <x v="0"/>
    <x v="22"/>
    <x v="2"/>
    <x v="3"/>
    <x v="0"/>
  </r>
  <r>
    <x v="415"/>
    <x v="18"/>
    <x v="1"/>
    <n v="89"/>
    <n v="178"/>
    <x v="18"/>
    <d v="2025-01-21T00:00:00"/>
    <x v="2"/>
    <x v="0"/>
    <x v="0"/>
    <x v="0"/>
    <x v="3"/>
    <x v="1"/>
    <x v="3"/>
    <x v="2"/>
  </r>
  <r>
    <x v="416"/>
    <x v="16"/>
    <x v="2"/>
    <n v="36.6"/>
    <n v="109.80000000000001"/>
    <x v="18"/>
    <d v="2025-01-20T00:00:00"/>
    <x v="3"/>
    <x v="3"/>
    <x v="2"/>
    <x v="0"/>
    <x v="3"/>
    <x v="3"/>
    <x v="3"/>
    <x v="3"/>
  </r>
  <r>
    <x v="417"/>
    <x v="6"/>
    <x v="3"/>
    <n v="43.5"/>
    <n v="304.5"/>
    <x v="18"/>
    <d v="2025-01-20T00:00:00"/>
    <x v="1"/>
    <x v="1"/>
    <x v="2"/>
    <x v="0"/>
    <x v="3"/>
    <x v="3"/>
    <x v="3"/>
    <x v="1"/>
  </r>
  <r>
    <x v="418"/>
    <x v="9"/>
    <x v="10"/>
    <n v="30.5"/>
    <n v="579.5"/>
    <x v="18"/>
    <d v="2025-01-19T00:00:00"/>
    <x v="2"/>
    <x v="3"/>
    <x v="0"/>
    <x v="0"/>
    <x v="3"/>
    <x v="7"/>
    <x v="3"/>
    <x v="2"/>
  </r>
  <r>
    <x v="419"/>
    <x v="1"/>
    <x v="1"/>
    <n v="107.7"/>
    <n v="215.4"/>
    <x v="18"/>
    <d v="2025-01-23T00:00:00"/>
    <x v="1"/>
    <x v="3"/>
    <x v="4"/>
    <x v="0"/>
    <x v="3"/>
    <x v="5"/>
    <x v="3"/>
    <x v="1"/>
  </r>
  <r>
    <x v="420"/>
    <x v="17"/>
    <x v="18"/>
    <n v="57.1"/>
    <n v="1484.6000000000001"/>
    <x v="18"/>
    <d v="2025-01-20T00:00:00"/>
    <x v="1"/>
    <x v="1"/>
    <x v="0"/>
    <x v="0"/>
    <x v="3"/>
    <x v="3"/>
    <x v="3"/>
    <x v="1"/>
  </r>
  <r>
    <x v="421"/>
    <x v="2"/>
    <x v="7"/>
    <n v="111.7"/>
    <n v="1117"/>
    <x v="18"/>
    <d v="2025-01-20T00:00:00"/>
    <x v="2"/>
    <x v="4"/>
    <x v="2"/>
    <x v="0"/>
    <x v="3"/>
    <x v="3"/>
    <x v="3"/>
    <x v="2"/>
  </r>
  <r>
    <x v="422"/>
    <x v="18"/>
    <x v="3"/>
    <n v="44.3"/>
    <n v="310.09999999999997"/>
    <x v="18"/>
    <d v="2025-01-22T00:00:00"/>
    <x v="1"/>
    <x v="3"/>
    <x v="2"/>
    <x v="0"/>
    <x v="3"/>
    <x v="2"/>
    <x v="3"/>
    <x v="1"/>
  </r>
  <r>
    <x v="423"/>
    <x v="2"/>
    <x v="8"/>
    <n v="95.8"/>
    <n v="766.4"/>
    <x v="18"/>
    <d v="2025-01-25T00:00:00"/>
    <x v="3"/>
    <x v="0"/>
    <x v="0"/>
    <x v="0"/>
    <x v="3"/>
    <x v="4"/>
    <x v="3"/>
    <x v="3"/>
  </r>
  <r>
    <x v="424"/>
    <x v="10"/>
    <x v="3"/>
    <n v="22.6"/>
    <n v="158.20000000000002"/>
    <x v="18"/>
    <d v="2025-01-22T00:00:00"/>
    <x v="2"/>
    <x v="3"/>
    <x v="1"/>
    <x v="0"/>
    <x v="3"/>
    <x v="2"/>
    <x v="3"/>
    <x v="2"/>
  </r>
  <r>
    <x v="425"/>
    <x v="8"/>
    <x v="8"/>
    <n v="25.6"/>
    <n v="204.8"/>
    <x v="18"/>
    <d v="2025-01-21T00:00:00"/>
    <x v="2"/>
    <x v="4"/>
    <x v="0"/>
    <x v="0"/>
    <x v="3"/>
    <x v="1"/>
    <x v="3"/>
    <x v="2"/>
  </r>
  <r>
    <x v="426"/>
    <x v="6"/>
    <x v="27"/>
    <n v="54.3"/>
    <n v="868.8"/>
    <x v="18"/>
    <d v="2025-01-22T00:00:00"/>
    <x v="2"/>
    <x v="4"/>
    <x v="0"/>
    <x v="0"/>
    <x v="3"/>
    <x v="2"/>
    <x v="3"/>
    <x v="2"/>
  </r>
  <r>
    <x v="427"/>
    <x v="18"/>
    <x v="15"/>
    <n v="51.3"/>
    <n v="666.9"/>
    <x v="18"/>
    <d v="2025-01-21T00:00:00"/>
    <x v="1"/>
    <x v="0"/>
    <x v="2"/>
    <x v="0"/>
    <x v="3"/>
    <x v="1"/>
    <x v="3"/>
    <x v="1"/>
  </r>
  <r>
    <x v="428"/>
    <x v="0"/>
    <x v="8"/>
    <n v="25.6"/>
    <n v="204.8"/>
    <x v="18"/>
    <d v="2025-01-20T00:00:00"/>
    <x v="2"/>
    <x v="1"/>
    <x v="1"/>
    <x v="0"/>
    <x v="3"/>
    <x v="3"/>
    <x v="3"/>
    <x v="2"/>
  </r>
  <r>
    <x v="429"/>
    <x v="0"/>
    <x v="1"/>
    <n v="15.6"/>
    <n v="31.2"/>
    <x v="18"/>
    <d v="2025-01-20T00:00:00"/>
    <x v="2"/>
    <x v="2"/>
    <x v="2"/>
    <x v="0"/>
    <x v="3"/>
    <x v="3"/>
    <x v="3"/>
    <x v="2"/>
  </r>
  <r>
    <x v="430"/>
    <x v="8"/>
    <x v="2"/>
    <n v="30.3"/>
    <n v="90.9"/>
    <x v="18"/>
    <d v="2025-01-23T00:00:00"/>
    <x v="2"/>
    <x v="0"/>
    <x v="1"/>
    <x v="0"/>
    <x v="3"/>
    <x v="5"/>
    <x v="3"/>
    <x v="2"/>
  </r>
  <r>
    <x v="431"/>
    <x v="12"/>
    <x v="1"/>
    <n v="30.3"/>
    <n v="60.6"/>
    <x v="18"/>
    <d v="2025-01-24T00:00:00"/>
    <x v="2"/>
    <x v="0"/>
    <x v="2"/>
    <x v="0"/>
    <x v="37"/>
    <x v="0"/>
    <x v="3"/>
    <x v="2"/>
  </r>
  <r>
    <x v="432"/>
    <x v="10"/>
    <x v="2"/>
    <n v="53"/>
    <n v="159"/>
    <x v="18"/>
    <d v="2025-01-26T00:00:00"/>
    <x v="2"/>
    <x v="2"/>
    <x v="0"/>
    <x v="0"/>
    <x v="24"/>
    <x v="6"/>
    <x v="3"/>
    <x v="2"/>
  </r>
  <r>
    <x v="433"/>
    <x v="5"/>
    <x v="16"/>
    <n v="59.9"/>
    <n v="1078.2"/>
    <x v="18"/>
    <d v="2025-01-22T00:00:00"/>
    <x v="1"/>
    <x v="2"/>
    <x v="4"/>
    <x v="0"/>
    <x v="25"/>
    <x v="2"/>
    <x v="3"/>
    <x v="1"/>
  </r>
  <r>
    <x v="434"/>
    <x v="9"/>
    <x v="1"/>
    <n v="45.7"/>
    <n v="91.4"/>
    <x v="18"/>
    <d v="2025-01-20T00:00:00"/>
    <x v="2"/>
    <x v="1"/>
    <x v="2"/>
    <x v="0"/>
    <x v="6"/>
    <x v="3"/>
    <x v="3"/>
    <x v="2"/>
  </r>
  <r>
    <x v="435"/>
    <x v="8"/>
    <x v="12"/>
    <n v="46.1"/>
    <n v="184.4"/>
    <x v="18"/>
    <d v="2025-01-20T00:00:00"/>
    <x v="1"/>
    <x v="0"/>
    <x v="0"/>
    <x v="0"/>
    <x v="6"/>
    <x v="3"/>
    <x v="3"/>
    <x v="1"/>
  </r>
  <r>
    <x v="436"/>
    <x v="8"/>
    <x v="2"/>
    <n v="17.5"/>
    <n v="52.5"/>
    <x v="18"/>
    <d v="2025-01-20T00:00:00"/>
    <x v="2"/>
    <x v="0"/>
    <x v="2"/>
    <x v="0"/>
    <x v="8"/>
    <x v="3"/>
    <x v="3"/>
    <x v="2"/>
  </r>
  <r>
    <x v="437"/>
    <x v="10"/>
    <x v="2"/>
    <n v="36.5"/>
    <n v="109.5"/>
    <x v="18"/>
    <d v="2025-01-30T00:00:00"/>
    <x v="1"/>
    <x v="2"/>
    <x v="0"/>
    <x v="0"/>
    <x v="8"/>
    <x v="11"/>
    <x v="3"/>
    <x v="1"/>
  </r>
  <r>
    <x v="438"/>
    <x v="8"/>
    <x v="1"/>
    <n v="47.5"/>
    <n v="95"/>
    <x v="19"/>
    <d v="2025-01-22T00:00:00"/>
    <x v="2"/>
    <x v="1"/>
    <x v="0"/>
    <x v="0"/>
    <x v="8"/>
    <x v="1"/>
    <x v="3"/>
    <x v="2"/>
  </r>
  <r>
    <x v="439"/>
    <x v="6"/>
    <x v="9"/>
    <n v="45.6"/>
    <n v="228"/>
    <x v="19"/>
    <d v="2025-01-22T00:00:00"/>
    <x v="2"/>
    <x v="0"/>
    <x v="2"/>
    <x v="0"/>
    <x v="8"/>
    <x v="1"/>
    <x v="3"/>
    <x v="2"/>
  </r>
  <r>
    <x v="440"/>
    <x v="9"/>
    <x v="1"/>
    <n v="50.5"/>
    <n v="101"/>
    <x v="19"/>
    <d v="2025-01-22T00:00:00"/>
    <x v="1"/>
    <x v="0"/>
    <x v="1"/>
    <x v="0"/>
    <x v="17"/>
    <x v="1"/>
    <x v="3"/>
    <x v="1"/>
  </r>
  <r>
    <x v="441"/>
    <x v="2"/>
    <x v="7"/>
    <n v="99.8"/>
    <n v="998"/>
    <x v="19"/>
    <d v="2025-01-23T00:00:00"/>
    <x v="2"/>
    <x v="2"/>
    <x v="1"/>
    <x v="0"/>
    <x v="17"/>
    <x v="2"/>
    <x v="3"/>
    <x v="2"/>
  </r>
  <r>
    <x v="442"/>
    <x v="8"/>
    <x v="20"/>
    <n v="19.2"/>
    <n v="288"/>
    <x v="19"/>
    <d v="2025-01-22T00:00:00"/>
    <x v="3"/>
    <x v="4"/>
    <x v="1"/>
    <x v="0"/>
    <x v="26"/>
    <x v="1"/>
    <x v="3"/>
    <x v="3"/>
  </r>
  <r>
    <x v="443"/>
    <x v="17"/>
    <x v="2"/>
    <n v="22.6"/>
    <n v="67.800000000000011"/>
    <x v="19"/>
    <d v="2025-01-21T00:00:00"/>
    <x v="1"/>
    <x v="1"/>
    <x v="0"/>
    <x v="0"/>
    <x v="11"/>
    <x v="3"/>
    <x v="3"/>
    <x v="1"/>
  </r>
  <r>
    <x v="444"/>
    <x v="1"/>
    <x v="20"/>
    <n v="126.9"/>
    <n v="1903.5"/>
    <x v="19"/>
    <d v="2025-01-22T00:00:00"/>
    <x v="2"/>
    <x v="0"/>
    <x v="2"/>
    <x v="0"/>
    <x v="11"/>
    <x v="1"/>
    <x v="3"/>
    <x v="2"/>
  </r>
  <r>
    <x v="445"/>
    <x v="2"/>
    <x v="1"/>
    <n v="100.3"/>
    <n v="200.6"/>
    <x v="19"/>
    <d v="2025-01-21T00:00:00"/>
    <x v="2"/>
    <x v="0"/>
    <x v="1"/>
    <x v="0"/>
    <x v="11"/>
    <x v="3"/>
    <x v="3"/>
    <x v="2"/>
  </r>
  <r>
    <x v="446"/>
    <x v="4"/>
    <x v="16"/>
    <n v="24.6"/>
    <n v="442.8"/>
    <x v="19"/>
    <d v="2025-01-21T00:00:00"/>
    <x v="2"/>
    <x v="4"/>
    <x v="0"/>
    <x v="0"/>
    <x v="13"/>
    <x v="3"/>
    <x v="3"/>
    <x v="2"/>
  </r>
  <r>
    <x v="447"/>
    <x v="6"/>
    <x v="1"/>
    <n v="47.3"/>
    <n v="94.6"/>
    <x v="19"/>
    <d v="2025-01-21T00:00:00"/>
    <x v="1"/>
    <x v="1"/>
    <x v="2"/>
    <x v="0"/>
    <x v="13"/>
    <x v="3"/>
    <x v="3"/>
    <x v="1"/>
  </r>
  <r>
    <x v="448"/>
    <x v="6"/>
    <x v="3"/>
    <n v="40.799999999999997"/>
    <n v="285.59999999999997"/>
    <x v="19"/>
    <d v="2025-01-23T00:00:00"/>
    <x v="2"/>
    <x v="2"/>
    <x v="2"/>
    <x v="0"/>
    <x v="21"/>
    <x v="2"/>
    <x v="3"/>
    <x v="2"/>
  </r>
  <r>
    <x v="449"/>
    <x v="8"/>
    <x v="8"/>
    <n v="49.2"/>
    <n v="393.6"/>
    <x v="19"/>
    <d v="2025-01-22T00:00:00"/>
    <x v="2"/>
    <x v="0"/>
    <x v="0"/>
    <x v="0"/>
    <x v="1"/>
    <x v="1"/>
    <x v="3"/>
    <x v="2"/>
  </r>
  <r>
    <x v="450"/>
    <x v="8"/>
    <x v="0"/>
    <n v="28.5"/>
    <n v="28.5"/>
    <x v="19"/>
    <d v="2025-01-22T00:00:00"/>
    <x v="0"/>
    <x v="2"/>
    <x v="1"/>
    <x v="0"/>
    <x v="3"/>
    <x v="1"/>
    <x v="3"/>
    <x v="0"/>
  </r>
  <r>
    <x v="451"/>
    <x v="18"/>
    <x v="1"/>
    <n v="36.799999999999997"/>
    <n v="73.599999999999994"/>
    <x v="19"/>
    <d v="2025-01-26T00:00:00"/>
    <x v="2"/>
    <x v="0"/>
    <x v="2"/>
    <x v="0"/>
    <x v="3"/>
    <x v="4"/>
    <x v="3"/>
    <x v="2"/>
  </r>
  <r>
    <x v="452"/>
    <x v="7"/>
    <x v="2"/>
    <n v="33.5"/>
    <n v="100.5"/>
    <x v="19"/>
    <d v="2025-01-21T00:00:00"/>
    <x v="2"/>
    <x v="0"/>
    <x v="1"/>
    <x v="0"/>
    <x v="3"/>
    <x v="3"/>
    <x v="3"/>
    <x v="2"/>
  </r>
  <r>
    <x v="453"/>
    <x v="6"/>
    <x v="13"/>
    <n v="62.5"/>
    <n v="375"/>
    <x v="19"/>
    <d v="2025-01-22T00:00:00"/>
    <x v="2"/>
    <x v="0"/>
    <x v="0"/>
    <x v="0"/>
    <x v="3"/>
    <x v="1"/>
    <x v="3"/>
    <x v="2"/>
  </r>
  <r>
    <x v="454"/>
    <x v="8"/>
    <x v="29"/>
    <n v="47.9"/>
    <n v="1916"/>
    <x v="19"/>
    <d v="2025-01-21T00:00:00"/>
    <x v="2"/>
    <x v="3"/>
    <x v="0"/>
    <x v="0"/>
    <x v="3"/>
    <x v="3"/>
    <x v="3"/>
    <x v="2"/>
  </r>
  <r>
    <x v="455"/>
    <x v="6"/>
    <x v="13"/>
    <n v="92.9"/>
    <n v="557.40000000000009"/>
    <x v="19"/>
    <d v="2025-01-31T00:00:00"/>
    <x v="2"/>
    <x v="0"/>
    <x v="4"/>
    <x v="0"/>
    <x v="3"/>
    <x v="11"/>
    <x v="3"/>
    <x v="2"/>
  </r>
  <r>
    <x v="456"/>
    <x v="12"/>
    <x v="2"/>
    <n v="44.1"/>
    <n v="132.30000000000001"/>
    <x v="19"/>
    <d v="2025-01-20T00:00:00"/>
    <x v="2"/>
    <x v="1"/>
    <x v="1"/>
    <x v="0"/>
    <x v="43"/>
    <x v="7"/>
    <x v="3"/>
    <x v="2"/>
  </r>
  <r>
    <x v="457"/>
    <x v="0"/>
    <x v="0"/>
    <n v="11.4"/>
    <n v="11.4"/>
    <x v="20"/>
    <d v="2025-01-23T00:00:00"/>
    <x v="2"/>
    <x v="2"/>
    <x v="0"/>
    <x v="0"/>
    <x v="5"/>
    <x v="1"/>
    <x v="3"/>
    <x v="2"/>
  </r>
  <r>
    <x v="458"/>
    <x v="6"/>
    <x v="0"/>
    <n v="83.7"/>
    <n v="83.7"/>
    <x v="20"/>
    <d v="2025-01-23T00:00:00"/>
    <x v="2"/>
    <x v="0"/>
    <x v="2"/>
    <x v="0"/>
    <x v="6"/>
    <x v="1"/>
    <x v="3"/>
    <x v="2"/>
  </r>
  <r>
    <x v="459"/>
    <x v="10"/>
    <x v="1"/>
    <n v="23.2"/>
    <n v="46.4"/>
    <x v="20"/>
    <d v="2025-01-22T00:00:00"/>
    <x v="1"/>
    <x v="2"/>
    <x v="0"/>
    <x v="0"/>
    <x v="8"/>
    <x v="3"/>
    <x v="3"/>
    <x v="1"/>
  </r>
  <r>
    <x v="460"/>
    <x v="2"/>
    <x v="0"/>
    <n v="162.1"/>
    <n v="162.1"/>
    <x v="20"/>
    <d v="2025-01-24T00:00:00"/>
    <x v="2"/>
    <x v="0"/>
    <x v="2"/>
    <x v="0"/>
    <x v="9"/>
    <x v="2"/>
    <x v="3"/>
    <x v="2"/>
  </r>
  <r>
    <x v="461"/>
    <x v="6"/>
    <x v="12"/>
    <n v="49.2"/>
    <n v="196.8"/>
    <x v="20"/>
    <d v="2025-01-25T00:00:00"/>
    <x v="1"/>
    <x v="1"/>
    <x v="0"/>
    <x v="0"/>
    <x v="9"/>
    <x v="5"/>
    <x v="3"/>
    <x v="1"/>
  </r>
  <r>
    <x v="462"/>
    <x v="1"/>
    <x v="1"/>
    <n v="61"/>
    <n v="122"/>
    <x v="20"/>
    <d v="2025-01-22T00:00:00"/>
    <x v="1"/>
    <x v="3"/>
    <x v="0"/>
    <x v="0"/>
    <x v="10"/>
    <x v="3"/>
    <x v="3"/>
    <x v="1"/>
  </r>
  <r>
    <x v="463"/>
    <x v="2"/>
    <x v="7"/>
    <n v="53.1"/>
    <n v="531"/>
    <x v="20"/>
    <d v="2025-01-23T00:00:00"/>
    <x v="1"/>
    <x v="0"/>
    <x v="0"/>
    <x v="0"/>
    <x v="11"/>
    <x v="1"/>
    <x v="3"/>
    <x v="1"/>
  </r>
  <r>
    <x v="464"/>
    <x v="4"/>
    <x v="1"/>
    <n v="22.4"/>
    <n v="44.8"/>
    <x v="20"/>
    <d v="2025-01-23T00:00:00"/>
    <x v="0"/>
    <x v="1"/>
    <x v="2"/>
    <x v="0"/>
    <x v="13"/>
    <x v="1"/>
    <x v="3"/>
    <x v="0"/>
  </r>
  <r>
    <x v="465"/>
    <x v="1"/>
    <x v="9"/>
    <n v="75.3"/>
    <n v="376.5"/>
    <x v="20"/>
    <d v="2025-01-22T00:00:00"/>
    <x v="1"/>
    <x v="0"/>
    <x v="0"/>
    <x v="0"/>
    <x v="21"/>
    <x v="3"/>
    <x v="3"/>
    <x v="1"/>
  </r>
  <r>
    <x v="466"/>
    <x v="6"/>
    <x v="0"/>
    <n v="48.5"/>
    <n v="48.5"/>
    <x v="20"/>
    <d v="2025-01-22T00:00:00"/>
    <x v="2"/>
    <x v="0"/>
    <x v="1"/>
    <x v="0"/>
    <x v="21"/>
    <x v="3"/>
    <x v="3"/>
    <x v="2"/>
  </r>
  <r>
    <x v="467"/>
    <x v="6"/>
    <x v="0"/>
    <n v="42.6"/>
    <n v="42.6"/>
    <x v="20"/>
    <d v="2025-01-25T00:00:00"/>
    <x v="2"/>
    <x v="3"/>
    <x v="0"/>
    <x v="0"/>
    <x v="1"/>
    <x v="5"/>
    <x v="3"/>
    <x v="2"/>
  </r>
  <r>
    <x v="468"/>
    <x v="5"/>
    <x v="9"/>
    <n v="49"/>
    <n v="245"/>
    <x v="20"/>
    <d v="2025-01-22T00:00:00"/>
    <x v="1"/>
    <x v="0"/>
    <x v="0"/>
    <x v="0"/>
    <x v="22"/>
    <x v="3"/>
    <x v="3"/>
    <x v="1"/>
  </r>
  <r>
    <x v="469"/>
    <x v="8"/>
    <x v="2"/>
    <n v="31.3"/>
    <n v="93.9"/>
    <x v="20"/>
    <d v="2025-01-22T00:00:00"/>
    <x v="1"/>
    <x v="2"/>
    <x v="1"/>
    <x v="0"/>
    <x v="3"/>
    <x v="3"/>
    <x v="3"/>
    <x v="1"/>
  </r>
  <r>
    <x v="470"/>
    <x v="2"/>
    <x v="1"/>
    <n v="85.4"/>
    <n v="170.8"/>
    <x v="20"/>
    <d v="2025-01-22T00:00:00"/>
    <x v="2"/>
    <x v="2"/>
    <x v="0"/>
    <x v="0"/>
    <x v="3"/>
    <x v="3"/>
    <x v="3"/>
    <x v="2"/>
  </r>
  <r>
    <x v="471"/>
    <x v="8"/>
    <x v="12"/>
    <n v="40"/>
    <n v="160"/>
    <x v="20"/>
    <d v="2025-01-22T00:00:00"/>
    <x v="3"/>
    <x v="0"/>
    <x v="2"/>
    <x v="0"/>
    <x v="3"/>
    <x v="3"/>
    <x v="3"/>
    <x v="3"/>
  </r>
  <r>
    <x v="472"/>
    <x v="5"/>
    <x v="1"/>
    <n v="38.5"/>
    <n v="77"/>
    <x v="20"/>
    <d v="2025-01-24T00:00:00"/>
    <x v="1"/>
    <x v="1"/>
    <x v="2"/>
    <x v="0"/>
    <x v="3"/>
    <x v="2"/>
    <x v="3"/>
    <x v="1"/>
  </r>
  <r>
    <x v="473"/>
    <x v="2"/>
    <x v="1"/>
    <n v="57.8"/>
    <n v="115.6"/>
    <x v="20"/>
    <d v="2025-01-22T00:00:00"/>
    <x v="0"/>
    <x v="0"/>
    <x v="0"/>
    <x v="0"/>
    <x v="3"/>
    <x v="3"/>
    <x v="3"/>
    <x v="0"/>
  </r>
  <r>
    <x v="474"/>
    <x v="8"/>
    <x v="0"/>
    <n v="19.2"/>
    <n v="19.2"/>
    <x v="20"/>
    <d v="2025-01-22T00:00:00"/>
    <x v="2"/>
    <x v="0"/>
    <x v="4"/>
    <x v="0"/>
    <x v="3"/>
    <x v="3"/>
    <x v="3"/>
    <x v="2"/>
  </r>
  <r>
    <x v="475"/>
    <x v="6"/>
    <x v="13"/>
    <n v="114.8"/>
    <n v="688.8"/>
    <x v="20"/>
    <d v="2025-01-24T00:00:00"/>
    <x v="1"/>
    <x v="1"/>
    <x v="1"/>
    <x v="0"/>
    <x v="3"/>
    <x v="2"/>
    <x v="3"/>
    <x v="1"/>
  </r>
  <r>
    <x v="476"/>
    <x v="10"/>
    <x v="3"/>
    <n v="48.4"/>
    <n v="338.8"/>
    <x v="20"/>
    <d v="2025-01-24T00:00:00"/>
    <x v="2"/>
    <x v="3"/>
    <x v="1"/>
    <x v="0"/>
    <x v="3"/>
    <x v="2"/>
    <x v="3"/>
    <x v="2"/>
  </r>
  <r>
    <x v="477"/>
    <x v="9"/>
    <x v="9"/>
    <n v="73.2"/>
    <n v="366"/>
    <x v="20"/>
    <d v="2025-01-22T00:00:00"/>
    <x v="2"/>
    <x v="1"/>
    <x v="4"/>
    <x v="0"/>
    <x v="3"/>
    <x v="3"/>
    <x v="3"/>
    <x v="2"/>
  </r>
  <r>
    <x v="478"/>
    <x v="15"/>
    <x v="1"/>
    <n v="48.6"/>
    <n v="97.2"/>
    <x v="20"/>
    <d v="2025-01-25T00:00:00"/>
    <x v="2"/>
    <x v="3"/>
    <x v="0"/>
    <x v="0"/>
    <x v="3"/>
    <x v="5"/>
    <x v="3"/>
    <x v="2"/>
  </r>
  <r>
    <x v="479"/>
    <x v="0"/>
    <x v="13"/>
    <n v="48.7"/>
    <n v="292.20000000000005"/>
    <x v="20"/>
    <d v="2025-01-22T00:00:00"/>
    <x v="1"/>
    <x v="0"/>
    <x v="0"/>
    <x v="0"/>
    <x v="3"/>
    <x v="3"/>
    <x v="3"/>
    <x v="1"/>
  </r>
  <r>
    <x v="480"/>
    <x v="4"/>
    <x v="1"/>
    <n v="32.200000000000003"/>
    <n v="64.400000000000006"/>
    <x v="20"/>
    <d v="2025-01-24T00:00:00"/>
    <x v="1"/>
    <x v="2"/>
    <x v="2"/>
    <x v="0"/>
    <x v="3"/>
    <x v="2"/>
    <x v="3"/>
    <x v="1"/>
  </r>
  <r>
    <x v="481"/>
    <x v="15"/>
    <x v="8"/>
    <n v="25.8"/>
    <n v="206.4"/>
    <x v="20"/>
    <d v="2025-01-22T00:00:00"/>
    <x v="1"/>
    <x v="0"/>
    <x v="0"/>
    <x v="0"/>
    <x v="37"/>
    <x v="3"/>
    <x v="3"/>
    <x v="1"/>
  </r>
  <r>
    <x v="482"/>
    <x v="6"/>
    <x v="1"/>
    <n v="94.8"/>
    <n v="189.6"/>
    <x v="21"/>
    <d v="2025-01-25T00:00:00"/>
    <x v="2"/>
    <x v="1"/>
    <x v="1"/>
    <x v="0"/>
    <x v="25"/>
    <x v="2"/>
    <x v="3"/>
    <x v="2"/>
  </r>
  <r>
    <x v="483"/>
    <x v="15"/>
    <x v="30"/>
    <n v="56.8"/>
    <n v="1420"/>
    <x v="21"/>
    <d v="2025-01-25T00:00:00"/>
    <x v="1"/>
    <x v="0"/>
    <x v="0"/>
    <x v="0"/>
    <x v="25"/>
    <x v="2"/>
    <x v="3"/>
    <x v="1"/>
  </r>
  <r>
    <x v="484"/>
    <x v="8"/>
    <x v="27"/>
    <n v="18.3"/>
    <n v="292.8"/>
    <x v="21"/>
    <d v="2025-01-29T00:00:00"/>
    <x v="2"/>
    <x v="2"/>
    <x v="2"/>
    <x v="0"/>
    <x v="23"/>
    <x v="6"/>
    <x v="3"/>
    <x v="2"/>
  </r>
  <r>
    <x v="485"/>
    <x v="0"/>
    <x v="2"/>
    <n v="16.8"/>
    <n v="50.400000000000006"/>
    <x v="21"/>
    <d v="2025-01-27T00:00:00"/>
    <x v="2"/>
    <x v="2"/>
    <x v="2"/>
    <x v="0"/>
    <x v="8"/>
    <x v="0"/>
    <x v="3"/>
    <x v="2"/>
  </r>
  <r>
    <x v="486"/>
    <x v="5"/>
    <x v="5"/>
    <n v="35.799999999999997"/>
    <n v="393.79999999999995"/>
    <x v="21"/>
    <d v="2025-01-23T00:00:00"/>
    <x v="1"/>
    <x v="1"/>
    <x v="0"/>
    <x v="0"/>
    <x v="17"/>
    <x v="3"/>
    <x v="3"/>
    <x v="1"/>
  </r>
  <r>
    <x v="487"/>
    <x v="18"/>
    <x v="0"/>
    <n v="64.900000000000006"/>
    <n v="64.900000000000006"/>
    <x v="21"/>
    <d v="2025-01-23T00:00:00"/>
    <x v="1"/>
    <x v="0"/>
    <x v="1"/>
    <x v="0"/>
    <x v="17"/>
    <x v="3"/>
    <x v="3"/>
    <x v="1"/>
  </r>
  <r>
    <x v="488"/>
    <x v="18"/>
    <x v="0"/>
    <n v="28.5"/>
    <n v="28.5"/>
    <x v="21"/>
    <d v="2025-01-24T00:00:00"/>
    <x v="0"/>
    <x v="1"/>
    <x v="0"/>
    <x v="0"/>
    <x v="9"/>
    <x v="1"/>
    <x v="3"/>
    <x v="0"/>
  </r>
  <r>
    <x v="489"/>
    <x v="18"/>
    <x v="1"/>
    <n v="103.5"/>
    <n v="207"/>
    <x v="21"/>
    <d v="2025-01-24T00:00:00"/>
    <x v="2"/>
    <x v="1"/>
    <x v="0"/>
    <x v="0"/>
    <x v="10"/>
    <x v="1"/>
    <x v="3"/>
    <x v="2"/>
  </r>
  <r>
    <x v="490"/>
    <x v="4"/>
    <x v="1"/>
    <n v="41.2"/>
    <n v="82.4"/>
    <x v="21"/>
    <d v="2025-01-23T00:00:00"/>
    <x v="2"/>
    <x v="1"/>
    <x v="0"/>
    <x v="0"/>
    <x v="10"/>
    <x v="3"/>
    <x v="3"/>
    <x v="2"/>
  </r>
  <r>
    <x v="491"/>
    <x v="9"/>
    <x v="0"/>
    <n v="37.799999999999997"/>
    <n v="37.799999999999997"/>
    <x v="21"/>
    <d v="2025-01-24T00:00:00"/>
    <x v="2"/>
    <x v="3"/>
    <x v="3"/>
    <x v="0"/>
    <x v="11"/>
    <x v="1"/>
    <x v="3"/>
    <x v="2"/>
  </r>
  <r>
    <x v="492"/>
    <x v="8"/>
    <x v="1"/>
    <n v="42.6"/>
    <n v="85.2"/>
    <x v="21"/>
    <d v="2025-01-24T00:00:00"/>
    <x v="2"/>
    <x v="4"/>
    <x v="0"/>
    <x v="0"/>
    <x v="11"/>
    <x v="1"/>
    <x v="3"/>
    <x v="2"/>
  </r>
  <r>
    <x v="493"/>
    <x v="8"/>
    <x v="7"/>
    <n v="15.2"/>
    <n v="152"/>
    <x v="21"/>
    <d v="2025-01-24T00:00:00"/>
    <x v="2"/>
    <x v="2"/>
    <x v="0"/>
    <x v="0"/>
    <x v="11"/>
    <x v="1"/>
    <x v="3"/>
    <x v="2"/>
  </r>
  <r>
    <x v="494"/>
    <x v="7"/>
    <x v="12"/>
    <n v="83.4"/>
    <n v="333.6"/>
    <x v="21"/>
    <d v="2025-01-23T00:00:00"/>
    <x v="2"/>
    <x v="2"/>
    <x v="1"/>
    <x v="0"/>
    <x v="18"/>
    <x v="3"/>
    <x v="3"/>
    <x v="2"/>
  </r>
  <r>
    <x v="495"/>
    <x v="19"/>
    <x v="1"/>
    <n v="27.7"/>
    <n v="55.4"/>
    <x v="21"/>
    <d v="2025-01-23T00:00:00"/>
    <x v="2"/>
    <x v="0"/>
    <x v="1"/>
    <x v="0"/>
    <x v="13"/>
    <x v="3"/>
    <x v="3"/>
    <x v="2"/>
  </r>
  <r>
    <x v="496"/>
    <x v="10"/>
    <x v="4"/>
    <n v="20.8"/>
    <n v="249.60000000000002"/>
    <x v="21"/>
    <d v="2025-01-23T00:00:00"/>
    <x v="1"/>
    <x v="3"/>
    <x v="0"/>
    <x v="0"/>
    <x v="13"/>
    <x v="3"/>
    <x v="3"/>
    <x v="1"/>
  </r>
  <r>
    <x v="497"/>
    <x v="11"/>
    <x v="1"/>
    <n v="72.7"/>
    <n v="145.4"/>
    <x v="21"/>
    <d v="2025-01-26T00:00:00"/>
    <x v="2"/>
    <x v="4"/>
    <x v="2"/>
    <x v="0"/>
    <x v="44"/>
    <x v="5"/>
    <x v="3"/>
    <x v="2"/>
  </r>
  <r>
    <x v="498"/>
    <x v="10"/>
    <x v="12"/>
    <n v="38.6"/>
    <n v="154.4"/>
    <x v="21"/>
    <d v="2025-01-23T00:00:00"/>
    <x v="1"/>
    <x v="0"/>
    <x v="2"/>
    <x v="0"/>
    <x v="22"/>
    <x v="3"/>
    <x v="3"/>
    <x v="1"/>
  </r>
  <r>
    <x v="499"/>
    <x v="8"/>
    <x v="3"/>
    <n v="33.1"/>
    <n v="231.70000000000002"/>
    <x v="21"/>
    <d v="2025-01-23T00:00:00"/>
    <x v="3"/>
    <x v="4"/>
    <x v="3"/>
    <x v="0"/>
    <x v="3"/>
    <x v="3"/>
    <x v="3"/>
    <x v="3"/>
  </r>
  <r>
    <x v="500"/>
    <x v="10"/>
    <x v="1"/>
    <n v="30.5"/>
    <n v="61"/>
    <x v="21"/>
    <d v="2025-01-22T00:00:00"/>
    <x v="0"/>
    <x v="1"/>
    <x v="1"/>
    <x v="0"/>
    <x v="3"/>
    <x v="7"/>
    <x v="3"/>
    <x v="0"/>
  </r>
  <r>
    <x v="501"/>
    <x v="9"/>
    <x v="1"/>
    <n v="69.599999999999994"/>
    <n v="139.19999999999999"/>
    <x v="21"/>
    <d v="2025-01-23T00:00:00"/>
    <x v="1"/>
    <x v="0"/>
    <x v="1"/>
    <x v="0"/>
    <x v="3"/>
    <x v="3"/>
    <x v="3"/>
    <x v="1"/>
  </r>
  <r>
    <x v="502"/>
    <x v="11"/>
    <x v="0"/>
    <n v="42.4"/>
    <n v="42.4"/>
    <x v="21"/>
    <d v="2025-01-26T00:00:00"/>
    <x v="2"/>
    <x v="1"/>
    <x v="0"/>
    <x v="0"/>
    <x v="3"/>
    <x v="5"/>
    <x v="3"/>
    <x v="2"/>
  </r>
  <r>
    <x v="503"/>
    <x v="17"/>
    <x v="0"/>
    <n v="32.200000000000003"/>
    <n v="32.200000000000003"/>
    <x v="21"/>
    <d v="2025-01-25T00:00:00"/>
    <x v="2"/>
    <x v="2"/>
    <x v="1"/>
    <x v="0"/>
    <x v="3"/>
    <x v="2"/>
    <x v="3"/>
    <x v="2"/>
  </r>
  <r>
    <x v="504"/>
    <x v="6"/>
    <x v="1"/>
    <n v="41.5"/>
    <n v="83"/>
    <x v="21"/>
    <d v="2025-01-25T00:00:00"/>
    <x v="2"/>
    <x v="0"/>
    <x v="2"/>
    <x v="0"/>
    <x v="3"/>
    <x v="2"/>
    <x v="3"/>
    <x v="2"/>
  </r>
  <r>
    <x v="505"/>
    <x v="16"/>
    <x v="11"/>
    <n v="58.9"/>
    <n v="530.1"/>
    <x v="21"/>
    <d v="2025-01-26T00:00:00"/>
    <x v="2"/>
    <x v="3"/>
    <x v="0"/>
    <x v="0"/>
    <x v="3"/>
    <x v="5"/>
    <x v="3"/>
    <x v="2"/>
  </r>
  <r>
    <x v="506"/>
    <x v="2"/>
    <x v="0"/>
    <n v="57.1"/>
    <n v="57.1"/>
    <x v="21"/>
    <d v="2025-01-25T00:00:00"/>
    <x v="2"/>
    <x v="1"/>
    <x v="0"/>
    <x v="0"/>
    <x v="3"/>
    <x v="2"/>
    <x v="3"/>
    <x v="2"/>
  </r>
  <r>
    <x v="507"/>
    <x v="6"/>
    <x v="0"/>
    <n v="57.2"/>
    <n v="57.2"/>
    <x v="21"/>
    <d v="2025-01-24T00:00:00"/>
    <x v="1"/>
    <x v="1"/>
    <x v="0"/>
    <x v="0"/>
    <x v="3"/>
    <x v="1"/>
    <x v="3"/>
    <x v="1"/>
  </r>
  <r>
    <x v="508"/>
    <x v="8"/>
    <x v="1"/>
    <n v="35.1"/>
    <n v="70.2"/>
    <x v="21"/>
    <d v="2025-01-23T00:00:00"/>
    <x v="1"/>
    <x v="1"/>
    <x v="0"/>
    <x v="0"/>
    <x v="6"/>
    <x v="3"/>
    <x v="3"/>
    <x v="1"/>
  </r>
  <r>
    <x v="509"/>
    <x v="1"/>
    <x v="0"/>
    <n v="52.1"/>
    <n v="52.1"/>
    <x v="21"/>
    <d v="2025-01-24T00:00:00"/>
    <x v="2"/>
    <x v="4"/>
    <x v="1"/>
    <x v="0"/>
    <x v="8"/>
    <x v="1"/>
    <x v="3"/>
    <x v="2"/>
  </r>
  <r>
    <x v="510"/>
    <x v="13"/>
    <x v="2"/>
    <n v="59.8"/>
    <n v="179.39999999999998"/>
    <x v="21"/>
    <d v="2025-01-24T00:00:00"/>
    <x v="2"/>
    <x v="4"/>
    <x v="1"/>
    <x v="0"/>
    <x v="8"/>
    <x v="1"/>
    <x v="3"/>
    <x v="2"/>
  </r>
  <r>
    <x v="511"/>
    <x v="3"/>
    <x v="12"/>
    <n v="83.3"/>
    <n v="333.2"/>
    <x v="21"/>
    <d v="2025-01-22T00:00:00"/>
    <x v="0"/>
    <x v="2"/>
    <x v="0"/>
    <x v="0"/>
    <x v="8"/>
    <x v="7"/>
    <x v="3"/>
    <x v="0"/>
  </r>
  <r>
    <x v="512"/>
    <x v="15"/>
    <x v="4"/>
    <n v="41.3"/>
    <n v="495.59999999999997"/>
    <x v="21"/>
    <d v="2025-01-23T00:00:00"/>
    <x v="2"/>
    <x v="1"/>
    <x v="0"/>
    <x v="0"/>
    <x v="8"/>
    <x v="3"/>
    <x v="3"/>
    <x v="2"/>
  </r>
  <r>
    <x v="513"/>
    <x v="8"/>
    <x v="9"/>
    <n v="16"/>
    <n v="80"/>
    <x v="21"/>
    <d v="2025-01-24T00:00:00"/>
    <x v="1"/>
    <x v="4"/>
    <x v="1"/>
    <x v="0"/>
    <x v="9"/>
    <x v="1"/>
    <x v="3"/>
    <x v="1"/>
  </r>
  <r>
    <x v="514"/>
    <x v="10"/>
    <x v="1"/>
    <n v="20.8"/>
    <n v="41.6"/>
    <x v="22"/>
    <d v="2025-01-25T00:00:00"/>
    <x v="1"/>
    <x v="0"/>
    <x v="2"/>
    <x v="0"/>
    <x v="11"/>
    <x v="1"/>
    <x v="3"/>
    <x v="1"/>
  </r>
  <r>
    <x v="515"/>
    <x v="8"/>
    <x v="31"/>
    <n v="27.1"/>
    <n v="758.80000000000007"/>
    <x v="22"/>
    <d v="2025-01-24T00:00:00"/>
    <x v="0"/>
    <x v="3"/>
    <x v="2"/>
    <x v="0"/>
    <x v="11"/>
    <x v="3"/>
    <x v="3"/>
    <x v="0"/>
  </r>
  <r>
    <x v="516"/>
    <x v="10"/>
    <x v="1"/>
    <n v="38.9"/>
    <n v="77.8"/>
    <x v="22"/>
    <d v="2025-01-25T00:00:00"/>
    <x v="2"/>
    <x v="0"/>
    <x v="0"/>
    <x v="0"/>
    <x v="18"/>
    <x v="1"/>
    <x v="3"/>
    <x v="2"/>
  </r>
  <r>
    <x v="517"/>
    <x v="0"/>
    <x v="1"/>
    <n v="10.8"/>
    <n v="21.6"/>
    <x v="22"/>
    <d v="2025-01-26T00:00:00"/>
    <x v="2"/>
    <x v="1"/>
    <x v="2"/>
    <x v="0"/>
    <x v="45"/>
    <x v="2"/>
    <x v="3"/>
    <x v="2"/>
  </r>
  <r>
    <x v="518"/>
    <x v="4"/>
    <x v="15"/>
    <n v="48.4"/>
    <n v="629.19999999999993"/>
    <x v="22"/>
    <d v="2025-01-27T00:00:00"/>
    <x v="2"/>
    <x v="0"/>
    <x v="0"/>
    <x v="0"/>
    <x v="21"/>
    <x v="5"/>
    <x v="3"/>
    <x v="2"/>
  </r>
  <r>
    <x v="519"/>
    <x v="4"/>
    <x v="2"/>
    <n v="29.2"/>
    <n v="87.6"/>
    <x v="22"/>
    <d v="2025-01-26T00:00:00"/>
    <x v="2"/>
    <x v="1"/>
    <x v="1"/>
    <x v="0"/>
    <x v="2"/>
    <x v="2"/>
    <x v="3"/>
    <x v="2"/>
  </r>
  <r>
    <x v="520"/>
    <x v="4"/>
    <x v="1"/>
    <n v="25.1"/>
    <n v="50.2"/>
    <x v="22"/>
    <d v="2025-01-24T00:00:00"/>
    <x v="1"/>
    <x v="0"/>
    <x v="1"/>
    <x v="0"/>
    <x v="2"/>
    <x v="3"/>
    <x v="3"/>
    <x v="1"/>
  </r>
  <r>
    <x v="521"/>
    <x v="7"/>
    <x v="2"/>
    <n v="65.599999999999994"/>
    <n v="196.79999999999998"/>
    <x v="22"/>
    <d v="2025-01-23T00:00:00"/>
    <x v="2"/>
    <x v="2"/>
    <x v="1"/>
    <x v="0"/>
    <x v="3"/>
    <x v="7"/>
    <x v="3"/>
    <x v="2"/>
  </r>
  <r>
    <x v="522"/>
    <x v="2"/>
    <x v="1"/>
    <n v="57.3"/>
    <n v="114.6"/>
    <x v="22"/>
    <d v="2025-01-23T00:00:00"/>
    <x v="0"/>
    <x v="0"/>
    <x v="0"/>
    <x v="0"/>
    <x v="3"/>
    <x v="7"/>
    <x v="3"/>
    <x v="0"/>
  </r>
  <r>
    <x v="523"/>
    <x v="9"/>
    <x v="12"/>
    <n v="22.4"/>
    <n v="89.6"/>
    <x v="22"/>
    <d v="2025-01-24T00:00:00"/>
    <x v="2"/>
    <x v="2"/>
    <x v="2"/>
    <x v="0"/>
    <x v="3"/>
    <x v="3"/>
    <x v="3"/>
    <x v="2"/>
  </r>
  <r>
    <x v="524"/>
    <x v="12"/>
    <x v="11"/>
    <n v="45.7"/>
    <n v="411.3"/>
    <x v="22"/>
    <d v="2025-01-24T00:00:00"/>
    <x v="2"/>
    <x v="0"/>
    <x v="0"/>
    <x v="0"/>
    <x v="3"/>
    <x v="3"/>
    <x v="3"/>
    <x v="2"/>
  </r>
  <r>
    <x v="525"/>
    <x v="8"/>
    <x v="1"/>
    <n v="29.3"/>
    <n v="58.6"/>
    <x v="22"/>
    <d v="2025-01-24T00:00:00"/>
    <x v="1"/>
    <x v="1"/>
    <x v="0"/>
    <x v="0"/>
    <x v="3"/>
    <x v="3"/>
    <x v="3"/>
    <x v="1"/>
  </r>
  <r>
    <x v="526"/>
    <x v="18"/>
    <x v="32"/>
    <n v="74"/>
    <n v="1628"/>
    <x v="22"/>
    <d v="2025-01-24T00:00:00"/>
    <x v="1"/>
    <x v="0"/>
    <x v="2"/>
    <x v="0"/>
    <x v="3"/>
    <x v="3"/>
    <x v="3"/>
    <x v="1"/>
  </r>
  <r>
    <x v="527"/>
    <x v="14"/>
    <x v="1"/>
    <n v="39.200000000000003"/>
    <n v="78.400000000000006"/>
    <x v="22"/>
    <d v="2025-01-25T00:00:00"/>
    <x v="2"/>
    <x v="1"/>
    <x v="0"/>
    <x v="0"/>
    <x v="3"/>
    <x v="1"/>
    <x v="3"/>
    <x v="2"/>
  </r>
  <r>
    <x v="528"/>
    <x v="4"/>
    <x v="14"/>
    <n v="62.7"/>
    <n v="1065.9000000000001"/>
    <x v="22"/>
    <d v="2025-01-24T00:00:00"/>
    <x v="2"/>
    <x v="2"/>
    <x v="1"/>
    <x v="0"/>
    <x v="3"/>
    <x v="3"/>
    <x v="3"/>
    <x v="2"/>
  </r>
  <r>
    <x v="529"/>
    <x v="10"/>
    <x v="1"/>
    <n v="60.1"/>
    <n v="120.2"/>
    <x v="22"/>
    <d v="2025-01-24T00:00:00"/>
    <x v="2"/>
    <x v="3"/>
    <x v="0"/>
    <x v="0"/>
    <x v="3"/>
    <x v="3"/>
    <x v="3"/>
    <x v="2"/>
  </r>
  <r>
    <x v="530"/>
    <x v="0"/>
    <x v="12"/>
    <n v="11.2"/>
    <n v="44.8"/>
    <x v="22"/>
    <d v="2025-01-24T00:00:00"/>
    <x v="2"/>
    <x v="3"/>
    <x v="1"/>
    <x v="0"/>
    <x v="3"/>
    <x v="3"/>
    <x v="3"/>
    <x v="2"/>
  </r>
  <r>
    <x v="531"/>
    <x v="8"/>
    <x v="1"/>
    <n v="22.9"/>
    <n v="45.8"/>
    <x v="22"/>
    <d v="2025-01-24T00:00:00"/>
    <x v="2"/>
    <x v="0"/>
    <x v="0"/>
    <x v="0"/>
    <x v="6"/>
    <x v="3"/>
    <x v="3"/>
    <x v="2"/>
  </r>
  <r>
    <x v="532"/>
    <x v="1"/>
    <x v="1"/>
    <n v="37.6"/>
    <n v="75.2"/>
    <x v="22"/>
    <d v="2025-01-26T00:00:00"/>
    <x v="2"/>
    <x v="0"/>
    <x v="0"/>
    <x v="0"/>
    <x v="6"/>
    <x v="2"/>
    <x v="3"/>
    <x v="2"/>
  </r>
  <r>
    <x v="533"/>
    <x v="6"/>
    <x v="0"/>
    <n v="42.4"/>
    <n v="42.4"/>
    <x v="22"/>
    <d v="2025-01-24T00:00:00"/>
    <x v="2"/>
    <x v="3"/>
    <x v="2"/>
    <x v="0"/>
    <x v="6"/>
    <x v="3"/>
    <x v="3"/>
    <x v="2"/>
  </r>
  <r>
    <x v="534"/>
    <x v="8"/>
    <x v="1"/>
    <n v="19.600000000000001"/>
    <n v="39.200000000000003"/>
    <x v="22"/>
    <d v="2025-01-27T00:00:00"/>
    <x v="2"/>
    <x v="2"/>
    <x v="0"/>
    <x v="0"/>
    <x v="7"/>
    <x v="5"/>
    <x v="3"/>
    <x v="2"/>
  </r>
  <r>
    <x v="535"/>
    <x v="9"/>
    <x v="0"/>
    <n v="90.5"/>
    <n v="90.5"/>
    <x v="22"/>
    <d v="2025-01-26T00:00:00"/>
    <x v="2"/>
    <x v="2"/>
    <x v="0"/>
    <x v="0"/>
    <x v="7"/>
    <x v="2"/>
    <x v="3"/>
    <x v="2"/>
  </r>
  <r>
    <x v="536"/>
    <x v="16"/>
    <x v="5"/>
    <n v="33.9"/>
    <n v="372.9"/>
    <x v="22"/>
    <d v="2025-01-24T00:00:00"/>
    <x v="1"/>
    <x v="2"/>
    <x v="1"/>
    <x v="0"/>
    <x v="7"/>
    <x v="3"/>
    <x v="3"/>
    <x v="1"/>
  </r>
  <r>
    <x v="537"/>
    <x v="0"/>
    <x v="1"/>
    <n v="32.799999999999997"/>
    <n v="65.599999999999994"/>
    <x v="22"/>
    <d v="2025-01-25T00:00:00"/>
    <x v="2"/>
    <x v="4"/>
    <x v="4"/>
    <x v="0"/>
    <x v="8"/>
    <x v="1"/>
    <x v="3"/>
    <x v="2"/>
  </r>
  <r>
    <x v="538"/>
    <x v="15"/>
    <x v="0"/>
    <n v="49.9"/>
    <n v="49.9"/>
    <x v="22"/>
    <d v="2025-01-24T00:00:00"/>
    <x v="1"/>
    <x v="3"/>
    <x v="1"/>
    <x v="0"/>
    <x v="8"/>
    <x v="3"/>
    <x v="3"/>
    <x v="1"/>
  </r>
  <r>
    <x v="539"/>
    <x v="7"/>
    <x v="9"/>
    <n v="79.2"/>
    <n v="396"/>
    <x v="22"/>
    <d v="2025-01-24T00:00:00"/>
    <x v="2"/>
    <x v="4"/>
    <x v="0"/>
    <x v="0"/>
    <x v="8"/>
    <x v="3"/>
    <x v="3"/>
    <x v="2"/>
  </r>
  <r>
    <x v="540"/>
    <x v="8"/>
    <x v="27"/>
    <n v="19.5"/>
    <n v="312"/>
    <x v="22"/>
    <d v="2025-01-25T00:00:00"/>
    <x v="1"/>
    <x v="3"/>
    <x v="2"/>
    <x v="0"/>
    <x v="8"/>
    <x v="1"/>
    <x v="3"/>
    <x v="1"/>
  </r>
  <r>
    <x v="541"/>
    <x v="8"/>
    <x v="12"/>
    <n v="18"/>
    <n v="72"/>
    <x v="22"/>
    <d v="2025-01-24T00:00:00"/>
    <x v="1"/>
    <x v="1"/>
    <x v="0"/>
    <x v="0"/>
    <x v="10"/>
    <x v="3"/>
    <x v="3"/>
    <x v="1"/>
  </r>
  <r>
    <x v="542"/>
    <x v="9"/>
    <x v="2"/>
    <n v="45.9"/>
    <n v="137.69999999999999"/>
    <x v="22"/>
    <d v="2025-01-25T00:00:00"/>
    <x v="2"/>
    <x v="1"/>
    <x v="1"/>
    <x v="0"/>
    <x v="10"/>
    <x v="1"/>
    <x v="3"/>
    <x v="2"/>
  </r>
  <r>
    <x v="543"/>
    <x v="11"/>
    <x v="0"/>
    <n v="41.2"/>
    <n v="41.2"/>
    <x v="22"/>
    <d v="2025-01-25T00:00:00"/>
    <x v="2"/>
    <x v="1"/>
    <x v="2"/>
    <x v="0"/>
    <x v="11"/>
    <x v="1"/>
    <x v="3"/>
    <x v="2"/>
  </r>
  <r>
    <x v="544"/>
    <x v="2"/>
    <x v="7"/>
    <n v="167.2"/>
    <n v="1672"/>
    <x v="22"/>
    <d v="2025-01-25T00:00:00"/>
    <x v="2"/>
    <x v="2"/>
    <x v="2"/>
    <x v="0"/>
    <x v="32"/>
    <x v="1"/>
    <x v="3"/>
    <x v="2"/>
  </r>
  <r>
    <x v="545"/>
    <x v="6"/>
    <x v="17"/>
    <n v="74.5"/>
    <n v="2235"/>
    <x v="23"/>
    <d v="2025-01-27T00:00:00"/>
    <x v="2"/>
    <x v="1"/>
    <x v="2"/>
    <x v="0"/>
    <x v="38"/>
    <x v="2"/>
    <x v="3"/>
    <x v="2"/>
  </r>
  <r>
    <x v="546"/>
    <x v="7"/>
    <x v="12"/>
    <n v="39.299999999999997"/>
    <n v="157.19999999999999"/>
    <x v="23"/>
    <d v="2025-01-25T00:00:00"/>
    <x v="0"/>
    <x v="2"/>
    <x v="0"/>
    <x v="0"/>
    <x v="19"/>
    <x v="3"/>
    <x v="3"/>
    <x v="0"/>
  </r>
  <r>
    <x v="547"/>
    <x v="9"/>
    <x v="0"/>
    <n v="68.5"/>
    <n v="68.5"/>
    <x v="23"/>
    <d v="2025-01-27T00:00:00"/>
    <x v="1"/>
    <x v="1"/>
    <x v="2"/>
    <x v="0"/>
    <x v="12"/>
    <x v="2"/>
    <x v="3"/>
    <x v="1"/>
  </r>
  <r>
    <x v="548"/>
    <x v="0"/>
    <x v="2"/>
    <n v="22.5"/>
    <n v="67.5"/>
    <x v="23"/>
    <d v="2025-01-24T00:00:00"/>
    <x v="2"/>
    <x v="4"/>
    <x v="0"/>
    <x v="0"/>
    <x v="13"/>
    <x v="7"/>
    <x v="3"/>
    <x v="2"/>
  </r>
  <r>
    <x v="549"/>
    <x v="1"/>
    <x v="0"/>
    <n v="48"/>
    <n v="48"/>
    <x v="23"/>
    <d v="2025-01-25T00:00:00"/>
    <x v="3"/>
    <x v="4"/>
    <x v="1"/>
    <x v="0"/>
    <x v="46"/>
    <x v="3"/>
    <x v="3"/>
    <x v="3"/>
  </r>
  <r>
    <x v="550"/>
    <x v="6"/>
    <x v="0"/>
    <n v="94"/>
    <n v="94"/>
    <x v="23"/>
    <d v="2025-01-25T00:00:00"/>
    <x v="1"/>
    <x v="3"/>
    <x v="1"/>
    <x v="0"/>
    <x v="1"/>
    <x v="3"/>
    <x v="3"/>
    <x v="1"/>
  </r>
  <r>
    <x v="551"/>
    <x v="8"/>
    <x v="2"/>
    <n v="21.9"/>
    <n v="65.699999999999989"/>
    <x v="23"/>
    <d v="2025-01-25T00:00:00"/>
    <x v="2"/>
    <x v="0"/>
    <x v="0"/>
    <x v="0"/>
    <x v="44"/>
    <x v="3"/>
    <x v="3"/>
    <x v="2"/>
  </r>
  <r>
    <x v="552"/>
    <x v="6"/>
    <x v="3"/>
    <n v="64.900000000000006"/>
    <n v="454.30000000000007"/>
    <x v="23"/>
    <d v="2025-01-25T00:00:00"/>
    <x v="2"/>
    <x v="0"/>
    <x v="0"/>
    <x v="0"/>
    <x v="3"/>
    <x v="3"/>
    <x v="3"/>
    <x v="2"/>
  </r>
  <r>
    <x v="553"/>
    <x v="12"/>
    <x v="0"/>
    <n v="52.9"/>
    <n v="52.9"/>
    <x v="23"/>
    <d v="2025-01-24T00:00:00"/>
    <x v="2"/>
    <x v="1"/>
    <x v="1"/>
    <x v="0"/>
    <x v="3"/>
    <x v="7"/>
    <x v="3"/>
    <x v="2"/>
  </r>
  <r>
    <x v="554"/>
    <x v="8"/>
    <x v="2"/>
    <n v="25.5"/>
    <n v="76.5"/>
    <x v="23"/>
    <d v="2025-01-25T00:00:00"/>
    <x v="2"/>
    <x v="1"/>
    <x v="2"/>
    <x v="0"/>
    <x v="3"/>
    <x v="3"/>
    <x v="3"/>
    <x v="2"/>
  </r>
  <r>
    <x v="555"/>
    <x v="6"/>
    <x v="2"/>
    <n v="51.9"/>
    <n v="155.69999999999999"/>
    <x v="23"/>
    <d v="2025-01-25T00:00:00"/>
    <x v="2"/>
    <x v="3"/>
    <x v="0"/>
    <x v="0"/>
    <x v="3"/>
    <x v="3"/>
    <x v="3"/>
    <x v="2"/>
  </r>
  <r>
    <x v="556"/>
    <x v="5"/>
    <x v="0"/>
    <n v="46.3"/>
    <n v="46.3"/>
    <x v="23"/>
    <d v="2025-01-27T00:00:00"/>
    <x v="2"/>
    <x v="4"/>
    <x v="0"/>
    <x v="0"/>
    <x v="3"/>
    <x v="2"/>
    <x v="3"/>
    <x v="2"/>
  </r>
  <r>
    <x v="557"/>
    <x v="6"/>
    <x v="1"/>
    <n v="68.2"/>
    <n v="136.4"/>
    <x v="23"/>
    <d v="2025-01-26T00:00:00"/>
    <x v="2"/>
    <x v="3"/>
    <x v="0"/>
    <x v="0"/>
    <x v="3"/>
    <x v="1"/>
    <x v="3"/>
    <x v="2"/>
  </r>
  <r>
    <x v="558"/>
    <x v="1"/>
    <x v="0"/>
    <n v="40.299999999999997"/>
    <n v="40.299999999999997"/>
    <x v="23"/>
    <d v="2025-01-25T00:00:00"/>
    <x v="1"/>
    <x v="0"/>
    <x v="1"/>
    <x v="0"/>
    <x v="3"/>
    <x v="3"/>
    <x v="3"/>
    <x v="1"/>
  </r>
  <r>
    <x v="559"/>
    <x v="2"/>
    <x v="2"/>
    <n v="91.3"/>
    <n v="273.89999999999998"/>
    <x v="23"/>
    <d v="2025-01-29T00:00:00"/>
    <x v="1"/>
    <x v="0"/>
    <x v="2"/>
    <x v="0"/>
    <x v="6"/>
    <x v="0"/>
    <x v="3"/>
    <x v="1"/>
  </r>
  <r>
    <x v="560"/>
    <x v="0"/>
    <x v="2"/>
    <n v="11.9"/>
    <n v="35.700000000000003"/>
    <x v="23"/>
    <d v="2025-01-25T00:00:00"/>
    <x v="2"/>
    <x v="0"/>
    <x v="1"/>
    <x v="0"/>
    <x v="6"/>
    <x v="3"/>
    <x v="3"/>
    <x v="2"/>
  </r>
  <r>
    <x v="561"/>
    <x v="2"/>
    <x v="1"/>
    <n v="63.5"/>
    <n v="127"/>
    <x v="23"/>
    <d v="2025-01-26T00:00:00"/>
    <x v="1"/>
    <x v="1"/>
    <x v="0"/>
    <x v="0"/>
    <x v="6"/>
    <x v="1"/>
    <x v="3"/>
    <x v="1"/>
  </r>
  <r>
    <x v="562"/>
    <x v="4"/>
    <x v="1"/>
    <n v="27.1"/>
    <n v="54.2"/>
    <x v="23"/>
    <d v="2025-01-27T00:00:00"/>
    <x v="1"/>
    <x v="2"/>
    <x v="2"/>
    <x v="0"/>
    <x v="6"/>
    <x v="2"/>
    <x v="3"/>
    <x v="1"/>
  </r>
  <r>
    <x v="563"/>
    <x v="1"/>
    <x v="1"/>
    <n v="82.1"/>
    <n v="164.2"/>
    <x v="24"/>
    <d v="2025-01-28T00:00:00"/>
    <x v="1"/>
    <x v="1"/>
    <x v="1"/>
    <x v="0"/>
    <x v="7"/>
    <x v="2"/>
    <x v="3"/>
    <x v="1"/>
  </r>
  <r>
    <x v="564"/>
    <x v="3"/>
    <x v="9"/>
    <n v="42.9"/>
    <n v="214.5"/>
    <x v="24"/>
    <d v="2025-01-27T00:00:00"/>
    <x v="2"/>
    <x v="1"/>
    <x v="0"/>
    <x v="0"/>
    <x v="8"/>
    <x v="1"/>
    <x v="3"/>
    <x v="2"/>
  </r>
  <r>
    <x v="565"/>
    <x v="8"/>
    <x v="5"/>
    <n v="37.9"/>
    <n v="416.9"/>
    <x v="24"/>
    <d v="2025-02-01T00:00:00"/>
    <x v="1"/>
    <x v="0"/>
    <x v="0"/>
    <x v="0"/>
    <x v="8"/>
    <x v="6"/>
    <x v="3"/>
    <x v="1"/>
  </r>
  <r>
    <x v="566"/>
    <x v="0"/>
    <x v="0"/>
    <n v="22.4"/>
    <n v="22.4"/>
    <x v="24"/>
    <d v="2025-01-26T00:00:00"/>
    <x v="2"/>
    <x v="0"/>
    <x v="1"/>
    <x v="0"/>
    <x v="17"/>
    <x v="3"/>
    <x v="3"/>
    <x v="2"/>
  </r>
  <r>
    <x v="567"/>
    <x v="2"/>
    <x v="15"/>
    <n v="79.900000000000006"/>
    <n v="1038.7"/>
    <x v="24"/>
    <d v="2025-02-07T00:00:00"/>
    <x v="2"/>
    <x v="3"/>
    <x v="1"/>
    <x v="0"/>
    <x v="11"/>
    <x v="10"/>
    <x v="3"/>
    <x v="2"/>
  </r>
  <r>
    <x v="568"/>
    <x v="1"/>
    <x v="0"/>
    <n v="70.599999999999994"/>
    <n v="70.599999999999994"/>
    <x v="24"/>
    <d v="2025-01-28T00:00:00"/>
    <x v="2"/>
    <x v="0"/>
    <x v="1"/>
    <x v="0"/>
    <x v="11"/>
    <x v="2"/>
    <x v="3"/>
    <x v="2"/>
  </r>
  <r>
    <x v="569"/>
    <x v="6"/>
    <x v="0"/>
    <n v="49.5"/>
    <n v="49.5"/>
    <x v="24"/>
    <d v="2025-01-27T00:00:00"/>
    <x v="1"/>
    <x v="0"/>
    <x v="0"/>
    <x v="0"/>
    <x v="13"/>
    <x v="1"/>
    <x v="3"/>
    <x v="1"/>
  </r>
  <r>
    <x v="570"/>
    <x v="2"/>
    <x v="1"/>
    <n v="96.6"/>
    <n v="193.2"/>
    <x v="24"/>
    <d v="2025-01-27T00:00:00"/>
    <x v="1"/>
    <x v="0"/>
    <x v="0"/>
    <x v="0"/>
    <x v="21"/>
    <x v="1"/>
    <x v="3"/>
    <x v="1"/>
  </r>
  <r>
    <x v="571"/>
    <x v="6"/>
    <x v="1"/>
    <n v="52.8"/>
    <n v="105.6"/>
    <x v="24"/>
    <d v="2025-01-26T00:00:00"/>
    <x v="2"/>
    <x v="1"/>
    <x v="1"/>
    <x v="0"/>
    <x v="21"/>
    <x v="3"/>
    <x v="3"/>
    <x v="2"/>
  </r>
  <r>
    <x v="572"/>
    <x v="2"/>
    <x v="0"/>
    <n v="101.7"/>
    <n v="101.7"/>
    <x v="24"/>
    <d v="2025-01-26T00:00:00"/>
    <x v="1"/>
    <x v="0"/>
    <x v="0"/>
    <x v="0"/>
    <x v="1"/>
    <x v="3"/>
    <x v="3"/>
    <x v="1"/>
  </r>
  <r>
    <x v="573"/>
    <x v="4"/>
    <x v="9"/>
    <n v="26.9"/>
    <n v="134.5"/>
    <x v="24"/>
    <d v="2025-01-30T00:00:00"/>
    <x v="2"/>
    <x v="1"/>
    <x v="1"/>
    <x v="0"/>
    <x v="22"/>
    <x v="0"/>
    <x v="3"/>
    <x v="2"/>
  </r>
  <r>
    <x v="574"/>
    <x v="2"/>
    <x v="12"/>
    <n v="211"/>
    <n v="844"/>
    <x v="24"/>
    <d v="2025-01-25T00:00:00"/>
    <x v="2"/>
    <x v="1"/>
    <x v="1"/>
    <x v="0"/>
    <x v="3"/>
    <x v="7"/>
    <x v="3"/>
    <x v="2"/>
  </r>
  <r>
    <x v="575"/>
    <x v="0"/>
    <x v="12"/>
    <n v="21.1"/>
    <n v="84.4"/>
    <x v="24"/>
    <d v="2025-01-28T00:00:00"/>
    <x v="1"/>
    <x v="4"/>
    <x v="0"/>
    <x v="0"/>
    <x v="3"/>
    <x v="2"/>
    <x v="3"/>
    <x v="1"/>
  </r>
  <r>
    <x v="576"/>
    <x v="10"/>
    <x v="0"/>
    <n v="26.6"/>
    <n v="26.6"/>
    <x v="24"/>
    <d v="2025-01-27T00:00:00"/>
    <x v="1"/>
    <x v="0"/>
    <x v="4"/>
    <x v="0"/>
    <x v="3"/>
    <x v="1"/>
    <x v="3"/>
    <x v="1"/>
  </r>
  <r>
    <x v="577"/>
    <x v="12"/>
    <x v="12"/>
    <n v="51.2"/>
    <n v="204.8"/>
    <x v="24"/>
    <d v="2025-01-26T00:00:00"/>
    <x v="2"/>
    <x v="3"/>
    <x v="0"/>
    <x v="0"/>
    <x v="47"/>
    <x v="3"/>
    <x v="3"/>
    <x v="2"/>
  </r>
  <r>
    <x v="578"/>
    <x v="0"/>
    <x v="9"/>
    <n v="10.6"/>
    <n v="53"/>
    <x v="24"/>
    <d v="2025-01-29T00:00:00"/>
    <x v="2"/>
    <x v="0"/>
    <x v="0"/>
    <x v="0"/>
    <x v="8"/>
    <x v="5"/>
    <x v="3"/>
    <x v="2"/>
  </r>
  <r>
    <x v="579"/>
    <x v="6"/>
    <x v="2"/>
    <n v="43.4"/>
    <n v="130.19999999999999"/>
    <x v="24"/>
    <d v="2025-01-28T00:00:00"/>
    <x v="2"/>
    <x v="4"/>
    <x v="0"/>
    <x v="0"/>
    <x v="8"/>
    <x v="2"/>
    <x v="3"/>
    <x v="2"/>
  </r>
  <r>
    <x v="580"/>
    <x v="12"/>
    <x v="0"/>
    <n v="80"/>
    <n v="80"/>
    <x v="24"/>
    <d v="2025-01-25T00:00:00"/>
    <x v="2"/>
    <x v="0"/>
    <x v="2"/>
    <x v="0"/>
    <x v="8"/>
    <x v="7"/>
    <x v="3"/>
    <x v="2"/>
  </r>
  <r>
    <x v="581"/>
    <x v="10"/>
    <x v="12"/>
    <n v="64.7"/>
    <n v="258.8"/>
    <x v="24"/>
    <d v="2025-01-27T00:00:00"/>
    <x v="2"/>
    <x v="1"/>
    <x v="4"/>
    <x v="0"/>
    <x v="8"/>
    <x v="1"/>
    <x v="3"/>
    <x v="2"/>
  </r>
  <r>
    <x v="582"/>
    <x v="8"/>
    <x v="5"/>
    <n v="26.3"/>
    <n v="289.3"/>
    <x v="25"/>
    <d v="2025-01-26T00:00:00"/>
    <x v="2"/>
    <x v="4"/>
    <x v="1"/>
    <x v="0"/>
    <x v="26"/>
    <x v="7"/>
    <x v="4"/>
    <x v="2"/>
  </r>
  <r>
    <x v="583"/>
    <x v="10"/>
    <x v="0"/>
    <n v="28.5"/>
    <n v="28.5"/>
    <x v="25"/>
    <d v="2025-01-26T00:00:00"/>
    <x v="1"/>
    <x v="0"/>
    <x v="1"/>
    <x v="0"/>
    <x v="9"/>
    <x v="7"/>
    <x v="4"/>
    <x v="1"/>
  </r>
  <r>
    <x v="584"/>
    <x v="17"/>
    <x v="0"/>
    <n v="47.8"/>
    <n v="47.8"/>
    <x v="25"/>
    <d v="2025-01-28T00:00:00"/>
    <x v="2"/>
    <x v="0"/>
    <x v="1"/>
    <x v="0"/>
    <x v="9"/>
    <x v="1"/>
    <x v="4"/>
    <x v="2"/>
  </r>
  <r>
    <x v="585"/>
    <x v="10"/>
    <x v="2"/>
    <n v="42.8"/>
    <n v="128.39999999999998"/>
    <x v="25"/>
    <d v="2025-01-29T00:00:00"/>
    <x v="2"/>
    <x v="4"/>
    <x v="1"/>
    <x v="0"/>
    <x v="11"/>
    <x v="2"/>
    <x v="4"/>
    <x v="2"/>
  </r>
  <r>
    <x v="586"/>
    <x v="6"/>
    <x v="9"/>
    <n v="46.8"/>
    <n v="234"/>
    <x v="25"/>
    <d v="2025-01-31T00:00:00"/>
    <x v="2"/>
    <x v="1"/>
    <x v="2"/>
    <x v="0"/>
    <x v="11"/>
    <x v="0"/>
    <x v="4"/>
    <x v="2"/>
  </r>
  <r>
    <x v="587"/>
    <x v="1"/>
    <x v="7"/>
    <n v="64.099999999999994"/>
    <n v="641"/>
    <x v="25"/>
    <d v="2025-01-27T00:00:00"/>
    <x v="1"/>
    <x v="1"/>
    <x v="0"/>
    <x v="0"/>
    <x v="11"/>
    <x v="3"/>
    <x v="4"/>
    <x v="1"/>
  </r>
  <r>
    <x v="588"/>
    <x v="2"/>
    <x v="0"/>
    <n v="89.1"/>
    <n v="89.1"/>
    <x v="25"/>
    <d v="2025-01-27T00:00:00"/>
    <x v="2"/>
    <x v="0"/>
    <x v="1"/>
    <x v="0"/>
    <x v="20"/>
    <x v="3"/>
    <x v="4"/>
    <x v="2"/>
  </r>
  <r>
    <x v="589"/>
    <x v="2"/>
    <x v="2"/>
    <n v="83.1"/>
    <n v="249.29999999999998"/>
    <x v="25"/>
    <d v="2025-01-27T00:00:00"/>
    <x v="2"/>
    <x v="2"/>
    <x v="1"/>
    <x v="0"/>
    <x v="13"/>
    <x v="3"/>
    <x v="4"/>
    <x v="2"/>
  </r>
  <r>
    <x v="590"/>
    <x v="8"/>
    <x v="2"/>
    <n v="40.9"/>
    <n v="122.69999999999999"/>
    <x v="25"/>
    <d v="2025-01-27T00:00:00"/>
    <x v="1"/>
    <x v="0"/>
    <x v="0"/>
    <x v="0"/>
    <x v="1"/>
    <x v="3"/>
    <x v="4"/>
    <x v="1"/>
  </r>
  <r>
    <x v="591"/>
    <x v="2"/>
    <x v="1"/>
    <n v="125.7"/>
    <n v="251.4"/>
    <x v="25"/>
    <d v="2025-01-27T00:00:00"/>
    <x v="2"/>
    <x v="3"/>
    <x v="0"/>
    <x v="0"/>
    <x v="2"/>
    <x v="3"/>
    <x v="4"/>
    <x v="2"/>
  </r>
  <r>
    <x v="592"/>
    <x v="3"/>
    <x v="1"/>
    <n v="30.9"/>
    <n v="61.8"/>
    <x v="25"/>
    <d v="2025-01-26T00:00:00"/>
    <x v="2"/>
    <x v="2"/>
    <x v="2"/>
    <x v="0"/>
    <x v="22"/>
    <x v="7"/>
    <x v="4"/>
    <x v="2"/>
  </r>
  <r>
    <x v="593"/>
    <x v="8"/>
    <x v="1"/>
    <n v="18.3"/>
    <n v="36.6"/>
    <x v="25"/>
    <d v="2025-01-27T00:00:00"/>
    <x v="2"/>
    <x v="1"/>
    <x v="0"/>
    <x v="0"/>
    <x v="3"/>
    <x v="3"/>
    <x v="4"/>
    <x v="2"/>
  </r>
  <r>
    <x v="594"/>
    <x v="4"/>
    <x v="1"/>
    <n v="56.5"/>
    <n v="113"/>
    <x v="25"/>
    <d v="2025-01-30T00:00:00"/>
    <x v="1"/>
    <x v="2"/>
    <x v="2"/>
    <x v="0"/>
    <x v="3"/>
    <x v="5"/>
    <x v="4"/>
    <x v="1"/>
  </r>
  <r>
    <x v="595"/>
    <x v="10"/>
    <x v="3"/>
    <n v="29.9"/>
    <n v="209.29999999999998"/>
    <x v="25"/>
    <d v="2025-01-28T00:00:00"/>
    <x v="1"/>
    <x v="4"/>
    <x v="2"/>
    <x v="0"/>
    <x v="3"/>
    <x v="1"/>
    <x v="4"/>
    <x v="1"/>
  </r>
  <r>
    <x v="596"/>
    <x v="5"/>
    <x v="1"/>
    <n v="50.4"/>
    <n v="100.8"/>
    <x v="25"/>
    <d v="2025-01-27T00:00:00"/>
    <x v="2"/>
    <x v="2"/>
    <x v="0"/>
    <x v="0"/>
    <x v="3"/>
    <x v="3"/>
    <x v="4"/>
    <x v="2"/>
  </r>
  <r>
    <x v="597"/>
    <x v="2"/>
    <x v="0"/>
    <n v="85.8"/>
    <n v="85.8"/>
    <x v="25"/>
    <d v="2025-01-26T00:00:00"/>
    <x v="2"/>
    <x v="2"/>
    <x v="2"/>
    <x v="0"/>
    <x v="3"/>
    <x v="7"/>
    <x v="4"/>
    <x v="2"/>
  </r>
  <r>
    <x v="598"/>
    <x v="4"/>
    <x v="27"/>
    <n v="66.599999999999994"/>
    <n v="1065.5999999999999"/>
    <x v="25"/>
    <d v="2025-01-28T00:00:00"/>
    <x v="1"/>
    <x v="1"/>
    <x v="0"/>
    <x v="0"/>
    <x v="3"/>
    <x v="1"/>
    <x v="4"/>
    <x v="1"/>
  </r>
  <r>
    <x v="599"/>
    <x v="6"/>
    <x v="12"/>
    <n v="70.3"/>
    <n v="281.2"/>
    <x v="25"/>
    <d v="2025-01-27T00:00:00"/>
    <x v="2"/>
    <x v="0"/>
    <x v="1"/>
    <x v="0"/>
    <x v="3"/>
    <x v="3"/>
    <x v="4"/>
    <x v="2"/>
  </r>
  <r>
    <x v="600"/>
    <x v="8"/>
    <x v="12"/>
    <n v="31"/>
    <n v="124"/>
    <x v="25"/>
    <d v="2025-01-29T00:00:00"/>
    <x v="1"/>
    <x v="0"/>
    <x v="2"/>
    <x v="0"/>
    <x v="3"/>
    <x v="2"/>
    <x v="4"/>
    <x v="1"/>
  </r>
  <r>
    <x v="601"/>
    <x v="7"/>
    <x v="13"/>
    <n v="81.599999999999994"/>
    <n v="489.59999999999997"/>
    <x v="25"/>
    <d v="2025-01-27T00:00:00"/>
    <x v="2"/>
    <x v="1"/>
    <x v="1"/>
    <x v="0"/>
    <x v="37"/>
    <x v="3"/>
    <x v="4"/>
    <x v="2"/>
  </r>
  <r>
    <x v="602"/>
    <x v="1"/>
    <x v="30"/>
    <n v="58.3"/>
    <n v="1457.5"/>
    <x v="25"/>
    <d v="2025-01-27T00:00:00"/>
    <x v="2"/>
    <x v="0"/>
    <x v="0"/>
    <x v="0"/>
    <x v="16"/>
    <x v="3"/>
    <x v="4"/>
    <x v="2"/>
  </r>
  <r>
    <x v="603"/>
    <x v="1"/>
    <x v="12"/>
    <n v="35.1"/>
    <n v="140.4"/>
    <x v="25"/>
    <d v="2025-01-28T00:00:00"/>
    <x v="1"/>
    <x v="0"/>
    <x v="2"/>
    <x v="0"/>
    <x v="8"/>
    <x v="1"/>
    <x v="4"/>
    <x v="1"/>
  </r>
  <r>
    <x v="604"/>
    <x v="2"/>
    <x v="0"/>
    <n v="80.2"/>
    <n v="80.2"/>
    <x v="25"/>
    <d v="2025-01-27T00:00:00"/>
    <x v="1"/>
    <x v="3"/>
    <x v="2"/>
    <x v="0"/>
    <x v="8"/>
    <x v="3"/>
    <x v="4"/>
    <x v="1"/>
  </r>
  <r>
    <x v="605"/>
    <x v="14"/>
    <x v="2"/>
    <n v="39.200000000000003"/>
    <n v="117.60000000000001"/>
    <x v="25"/>
    <d v="2025-01-28T00:00:00"/>
    <x v="2"/>
    <x v="1"/>
    <x v="0"/>
    <x v="0"/>
    <x v="9"/>
    <x v="1"/>
    <x v="4"/>
    <x v="2"/>
  </r>
  <r>
    <x v="606"/>
    <x v="0"/>
    <x v="1"/>
    <n v="15.4"/>
    <n v="30.8"/>
    <x v="25"/>
    <d v="2025-01-26T00:00:00"/>
    <x v="2"/>
    <x v="3"/>
    <x v="0"/>
    <x v="0"/>
    <x v="48"/>
    <x v="7"/>
    <x v="4"/>
    <x v="2"/>
  </r>
  <r>
    <x v="607"/>
    <x v="3"/>
    <x v="2"/>
    <n v="65.400000000000006"/>
    <n v="196.20000000000002"/>
    <x v="25"/>
    <d v="2025-01-29T00:00:00"/>
    <x v="1"/>
    <x v="3"/>
    <x v="0"/>
    <x v="0"/>
    <x v="18"/>
    <x v="2"/>
    <x v="4"/>
    <x v="1"/>
  </r>
  <r>
    <x v="608"/>
    <x v="1"/>
    <x v="8"/>
    <n v="63.2"/>
    <n v="505.6"/>
    <x v="25"/>
    <d v="2025-01-28T00:00:00"/>
    <x v="2"/>
    <x v="1"/>
    <x v="0"/>
    <x v="0"/>
    <x v="19"/>
    <x v="1"/>
    <x v="4"/>
    <x v="2"/>
  </r>
  <r>
    <x v="609"/>
    <x v="1"/>
    <x v="13"/>
    <n v="35.700000000000003"/>
    <n v="214.20000000000002"/>
    <x v="25"/>
    <d v="2025-01-30T00:00:00"/>
    <x v="2"/>
    <x v="4"/>
    <x v="1"/>
    <x v="0"/>
    <x v="19"/>
    <x v="5"/>
    <x v="4"/>
    <x v="2"/>
  </r>
  <r>
    <x v="610"/>
    <x v="0"/>
    <x v="28"/>
    <n v="26.2"/>
    <n v="524"/>
    <x v="25"/>
    <d v="2025-01-27T00:00:00"/>
    <x v="2"/>
    <x v="3"/>
    <x v="0"/>
    <x v="0"/>
    <x v="21"/>
    <x v="3"/>
    <x v="4"/>
    <x v="2"/>
  </r>
  <r>
    <x v="611"/>
    <x v="7"/>
    <x v="1"/>
    <n v="31"/>
    <n v="62"/>
    <x v="25"/>
    <d v="2025-01-27T00:00:00"/>
    <x v="2"/>
    <x v="0"/>
    <x v="2"/>
    <x v="0"/>
    <x v="1"/>
    <x v="3"/>
    <x v="4"/>
    <x v="2"/>
  </r>
  <r>
    <x v="612"/>
    <x v="8"/>
    <x v="12"/>
    <n v="37.700000000000003"/>
    <n v="150.80000000000001"/>
    <x v="25"/>
    <d v="2025-01-27T00:00:00"/>
    <x v="2"/>
    <x v="1"/>
    <x v="0"/>
    <x v="0"/>
    <x v="22"/>
    <x v="3"/>
    <x v="4"/>
    <x v="2"/>
  </r>
  <r>
    <x v="613"/>
    <x v="10"/>
    <x v="33"/>
    <n v="43.6"/>
    <n v="1482.4"/>
    <x v="25"/>
    <d v="2025-01-28T00:00:00"/>
    <x v="2"/>
    <x v="4"/>
    <x v="1"/>
    <x v="0"/>
    <x v="3"/>
    <x v="1"/>
    <x v="4"/>
    <x v="2"/>
  </r>
  <r>
    <x v="614"/>
    <x v="9"/>
    <x v="12"/>
    <n v="26.5"/>
    <n v="106"/>
    <x v="25"/>
    <d v="2025-01-28T00:00:00"/>
    <x v="1"/>
    <x v="0"/>
    <x v="4"/>
    <x v="0"/>
    <x v="3"/>
    <x v="1"/>
    <x v="4"/>
    <x v="1"/>
  </r>
  <r>
    <x v="615"/>
    <x v="0"/>
    <x v="1"/>
    <n v="34.6"/>
    <n v="69.2"/>
    <x v="25"/>
    <d v="2025-01-27T00:00:00"/>
    <x v="1"/>
    <x v="4"/>
    <x v="1"/>
    <x v="0"/>
    <x v="3"/>
    <x v="3"/>
    <x v="4"/>
    <x v="1"/>
  </r>
  <r>
    <x v="616"/>
    <x v="8"/>
    <x v="1"/>
    <n v="58.2"/>
    <n v="116.4"/>
    <x v="25"/>
    <d v="2025-01-27T00:00:00"/>
    <x v="1"/>
    <x v="2"/>
    <x v="2"/>
    <x v="0"/>
    <x v="3"/>
    <x v="3"/>
    <x v="4"/>
    <x v="1"/>
  </r>
  <r>
    <x v="617"/>
    <x v="7"/>
    <x v="0"/>
    <n v="30.2"/>
    <n v="30.2"/>
    <x v="26"/>
    <d v="2025-01-28T00:00:00"/>
    <x v="2"/>
    <x v="2"/>
    <x v="1"/>
    <x v="0"/>
    <x v="3"/>
    <x v="3"/>
    <x v="4"/>
    <x v="2"/>
  </r>
  <r>
    <x v="618"/>
    <x v="1"/>
    <x v="7"/>
    <n v="53.2"/>
    <n v="532"/>
    <x v="26"/>
    <d v="2025-01-28T00:00:00"/>
    <x v="1"/>
    <x v="0"/>
    <x v="2"/>
    <x v="0"/>
    <x v="5"/>
    <x v="3"/>
    <x v="4"/>
    <x v="1"/>
  </r>
  <r>
    <x v="619"/>
    <x v="12"/>
    <x v="13"/>
    <n v="51.1"/>
    <n v="306.60000000000002"/>
    <x v="26"/>
    <d v="2025-01-27T00:00:00"/>
    <x v="1"/>
    <x v="1"/>
    <x v="2"/>
    <x v="0"/>
    <x v="5"/>
    <x v="7"/>
    <x v="4"/>
    <x v="1"/>
  </r>
  <r>
    <x v="620"/>
    <x v="1"/>
    <x v="0"/>
    <n v="105.4"/>
    <n v="105.4"/>
    <x v="26"/>
    <d v="2025-01-31T00:00:00"/>
    <x v="2"/>
    <x v="1"/>
    <x v="2"/>
    <x v="0"/>
    <x v="23"/>
    <x v="5"/>
    <x v="4"/>
    <x v="2"/>
  </r>
  <r>
    <x v="621"/>
    <x v="7"/>
    <x v="0"/>
    <n v="57.7"/>
    <n v="57.7"/>
    <x v="26"/>
    <d v="2025-01-27T00:00:00"/>
    <x v="1"/>
    <x v="0"/>
    <x v="4"/>
    <x v="0"/>
    <x v="8"/>
    <x v="7"/>
    <x v="4"/>
    <x v="1"/>
  </r>
  <r>
    <x v="622"/>
    <x v="15"/>
    <x v="1"/>
    <n v="72.400000000000006"/>
    <n v="144.80000000000001"/>
    <x v="26"/>
    <d v="2025-02-01T00:00:00"/>
    <x v="2"/>
    <x v="0"/>
    <x v="0"/>
    <x v="0"/>
    <x v="17"/>
    <x v="0"/>
    <x v="4"/>
    <x v="2"/>
  </r>
  <r>
    <x v="623"/>
    <x v="6"/>
    <x v="1"/>
    <n v="62.5"/>
    <n v="125"/>
    <x v="26"/>
    <d v="2025-01-28T00:00:00"/>
    <x v="0"/>
    <x v="0"/>
    <x v="2"/>
    <x v="0"/>
    <x v="11"/>
    <x v="3"/>
    <x v="4"/>
    <x v="0"/>
  </r>
  <r>
    <x v="624"/>
    <x v="0"/>
    <x v="32"/>
    <n v="11.6"/>
    <n v="255.2"/>
    <x v="26"/>
    <d v="2025-01-29T00:00:00"/>
    <x v="2"/>
    <x v="3"/>
    <x v="2"/>
    <x v="0"/>
    <x v="18"/>
    <x v="1"/>
    <x v="4"/>
    <x v="2"/>
  </r>
  <r>
    <x v="625"/>
    <x v="10"/>
    <x v="7"/>
    <n v="39.6"/>
    <n v="396"/>
    <x v="26"/>
    <d v="2025-01-29T00:00:00"/>
    <x v="2"/>
    <x v="2"/>
    <x v="2"/>
    <x v="0"/>
    <x v="18"/>
    <x v="1"/>
    <x v="4"/>
    <x v="2"/>
  </r>
  <r>
    <x v="626"/>
    <x v="8"/>
    <x v="1"/>
    <n v="40.1"/>
    <n v="80.2"/>
    <x v="26"/>
    <d v="2025-01-28T00:00:00"/>
    <x v="2"/>
    <x v="2"/>
    <x v="0"/>
    <x v="0"/>
    <x v="18"/>
    <x v="3"/>
    <x v="4"/>
    <x v="2"/>
  </r>
  <r>
    <x v="627"/>
    <x v="8"/>
    <x v="2"/>
    <n v="18.600000000000001"/>
    <n v="55.800000000000004"/>
    <x v="26"/>
    <d v="2025-01-28T00:00:00"/>
    <x v="2"/>
    <x v="2"/>
    <x v="0"/>
    <x v="0"/>
    <x v="21"/>
    <x v="3"/>
    <x v="4"/>
    <x v="2"/>
  </r>
  <r>
    <x v="628"/>
    <x v="4"/>
    <x v="0"/>
    <n v="58.8"/>
    <n v="58.8"/>
    <x v="26"/>
    <d v="2025-01-29T00:00:00"/>
    <x v="2"/>
    <x v="0"/>
    <x v="1"/>
    <x v="0"/>
    <x v="21"/>
    <x v="1"/>
    <x v="4"/>
    <x v="2"/>
  </r>
  <r>
    <x v="629"/>
    <x v="8"/>
    <x v="1"/>
    <n v="22.1"/>
    <n v="44.2"/>
    <x v="26"/>
    <d v="2025-01-30T00:00:00"/>
    <x v="1"/>
    <x v="1"/>
    <x v="2"/>
    <x v="0"/>
    <x v="21"/>
    <x v="2"/>
    <x v="4"/>
    <x v="1"/>
  </r>
  <r>
    <x v="630"/>
    <x v="2"/>
    <x v="0"/>
    <n v="114.9"/>
    <n v="114.9"/>
    <x v="27"/>
    <d v="2025-01-29T00:00:00"/>
    <x v="2"/>
    <x v="1"/>
    <x v="1"/>
    <x v="0"/>
    <x v="22"/>
    <x v="3"/>
    <x v="4"/>
    <x v="2"/>
  </r>
  <r>
    <x v="631"/>
    <x v="9"/>
    <x v="9"/>
    <n v="75.8"/>
    <n v="379"/>
    <x v="27"/>
    <d v="2025-01-29T00:00:00"/>
    <x v="1"/>
    <x v="0"/>
    <x v="2"/>
    <x v="0"/>
    <x v="3"/>
    <x v="3"/>
    <x v="4"/>
    <x v="1"/>
  </r>
  <r>
    <x v="632"/>
    <x v="14"/>
    <x v="9"/>
    <n v="20.6"/>
    <n v="103"/>
    <x v="27"/>
    <d v="2025-01-29T00:00:00"/>
    <x v="1"/>
    <x v="2"/>
    <x v="2"/>
    <x v="0"/>
    <x v="3"/>
    <x v="3"/>
    <x v="4"/>
    <x v="1"/>
  </r>
  <r>
    <x v="633"/>
    <x v="17"/>
    <x v="2"/>
    <n v="67.900000000000006"/>
    <n v="203.70000000000002"/>
    <x v="27"/>
    <d v="2025-01-29T00:00:00"/>
    <x v="2"/>
    <x v="1"/>
    <x v="1"/>
    <x v="0"/>
    <x v="3"/>
    <x v="3"/>
    <x v="4"/>
    <x v="2"/>
  </r>
  <r>
    <x v="634"/>
    <x v="0"/>
    <x v="9"/>
    <n v="27"/>
    <n v="135"/>
    <x v="27"/>
    <d v="2025-02-04T00:00:00"/>
    <x v="2"/>
    <x v="0"/>
    <x v="2"/>
    <x v="0"/>
    <x v="3"/>
    <x v="6"/>
    <x v="4"/>
    <x v="2"/>
  </r>
  <r>
    <x v="635"/>
    <x v="13"/>
    <x v="0"/>
    <n v="50.6"/>
    <n v="50.6"/>
    <x v="27"/>
    <d v="2025-01-28T00:00:00"/>
    <x v="1"/>
    <x v="0"/>
    <x v="1"/>
    <x v="0"/>
    <x v="3"/>
    <x v="7"/>
    <x v="4"/>
    <x v="1"/>
  </r>
  <r>
    <x v="636"/>
    <x v="4"/>
    <x v="9"/>
    <n v="22.1"/>
    <n v="110.5"/>
    <x v="27"/>
    <d v="2025-02-02T00:00:00"/>
    <x v="1"/>
    <x v="0"/>
    <x v="0"/>
    <x v="0"/>
    <x v="3"/>
    <x v="0"/>
    <x v="4"/>
    <x v="1"/>
  </r>
  <r>
    <x v="637"/>
    <x v="8"/>
    <x v="2"/>
    <n v="42.9"/>
    <n v="128.69999999999999"/>
    <x v="27"/>
    <d v="2025-01-30T00:00:00"/>
    <x v="2"/>
    <x v="0"/>
    <x v="0"/>
    <x v="0"/>
    <x v="3"/>
    <x v="1"/>
    <x v="4"/>
    <x v="2"/>
  </r>
  <r>
    <x v="638"/>
    <x v="1"/>
    <x v="5"/>
    <n v="62.4"/>
    <n v="686.4"/>
    <x v="27"/>
    <d v="2025-01-30T00:00:00"/>
    <x v="2"/>
    <x v="2"/>
    <x v="0"/>
    <x v="0"/>
    <x v="3"/>
    <x v="1"/>
    <x v="4"/>
    <x v="2"/>
  </r>
  <r>
    <x v="639"/>
    <x v="13"/>
    <x v="11"/>
    <n v="36.4"/>
    <n v="327.59999999999997"/>
    <x v="27"/>
    <d v="2025-01-30T00:00:00"/>
    <x v="2"/>
    <x v="0"/>
    <x v="2"/>
    <x v="0"/>
    <x v="3"/>
    <x v="1"/>
    <x v="4"/>
    <x v="2"/>
  </r>
  <r>
    <x v="640"/>
    <x v="0"/>
    <x v="1"/>
    <n v="22.5"/>
    <n v="45"/>
    <x v="27"/>
    <d v="2025-01-31T00:00:00"/>
    <x v="1"/>
    <x v="0"/>
    <x v="0"/>
    <x v="0"/>
    <x v="3"/>
    <x v="2"/>
    <x v="4"/>
    <x v="1"/>
  </r>
  <r>
    <x v="641"/>
    <x v="6"/>
    <x v="12"/>
    <n v="70.8"/>
    <n v="283.2"/>
    <x v="27"/>
    <d v="2025-01-30T00:00:00"/>
    <x v="2"/>
    <x v="4"/>
    <x v="0"/>
    <x v="0"/>
    <x v="3"/>
    <x v="1"/>
    <x v="4"/>
    <x v="2"/>
  </r>
  <r>
    <x v="642"/>
    <x v="6"/>
    <x v="9"/>
    <n v="56.6"/>
    <n v="283"/>
    <x v="27"/>
    <d v="2025-01-30T00:00:00"/>
    <x v="1"/>
    <x v="0"/>
    <x v="1"/>
    <x v="0"/>
    <x v="4"/>
    <x v="1"/>
    <x v="4"/>
    <x v="1"/>
  </r>
  <r>
    <x v="643"/>
    <x v="6"/>
    <x v="1"/>
    <n v="47.9"/>
    <n v="95.8"/>
    <x v="27"/>
    <d v="2025-01-29T00:00:00"/>
    <x v="2"/>
    <x v="0"/>
    <x v="0"/>
    <x v="0"/>
    <x v="6"/>
    <x v="3"/>
    <x v="4"/>
    <x v="2"/>
  </r>
  <r>
    <x v="644"/>
    <x v="6"/>
    <x v="8"/>
    <n v="78.400000000000006"/>
    <n v="627.20000000000005"/>
    <x v="27"/>
    <d v="2025-01-30T00:00:00"/>
    <x v="2"/>
    <x v="1"/>
    <x v="0"/>
    <x v="0"/>
    <x v="6"/>
    <x v="1"/>
    <x v="4"/>
    <x v="2"/>
  </r>
  <r>
    <x v="645"/>
    <x v="2"/>
    <x v="21"/>
    <n v="122.1"/>
    <n v="1709.3999999999999"/>
    <x v="27"/>
    <d v="2025-02-02T00:00:00"/>
    <x v="2"/>
    <x v="0"/>
    <x v="2"/>
    <x v="0"/>
    <x v="6"/>
    <x v="0"/>
    <x v="4"/>
    <x v="2"/>
  </r>
  <r>
    <x v="646"/>
    <x v="2"/>
    <x v="1"/>
    <n v="83.7"/>
    <n v="167.4"/>
    <x v="28"/>
    <d v="2025-01-29T00:00:00"/>
    <x v="0"/>
    <x v="1"/>
    <x v="2"/>
    <x v="0"/>
    <x v="7"/>
    <x v="7"/>
    <x v="4"/>
    <x v="0"/>
  </r>
  <r>
    <x v="647"/>
    <x v="3"/>
    <x v="12"/>
    <n v="97.9"/>
    <n v="391.6"/>
    <x v="28"/>
    <d v="2025-02-02T00:00:00"/>
    <x v="2"/>
    <x v="3"/>
    <x v="2"/>
    <x v="0"/>
    <x v="7"/>
    <x v="5"/>
    <x v="4"/>
    <x v="2"/>
  </r>
  <r>
    <x v="648"/>
    <x v="14"/>
    <x v="0"/>
    <n v="15"/>
    <n v="15"/>
    <x v="28"/>
    <d v="2025-02-03T00:00:00"/>
    <x v="2"/>
    <x v="3"/>
    <x v="0"/>
    <x v="0"/>
    <x v="8"/>
    <x v="0"/>
    <x v="4"/>
    <x v="2"/>
  </r>
  <r>
    <x v="649"/>
    <x v="12"/>
    <x v="2"/>
    <n v="94.6"/>
    <n v="283.79999999999995"/>
    <x v="28"/>
    <d v="2025-01-30T00:00:00"/>
    <x v="1"/>
    <x v="2"/>
    <x v="1"/>
    <x v="0"/>
    <x v="8"/>
    <x v="3"/>
    <x v="4"/>
    <x v="1"/>
  </r>
  <r>
    <x v="650"/>
    <x v="0"/>
    <x v="13"/>
    <n v="19.7"/>
    <n v="118.19999999999999"/>
    <x v="28"/>
    <d v="2025-02-09T00:00:00"/>
    <x v="2"/>
    <x v="0"/>
    <x v="2"/>
    <x v="0"/>
    <x v="8"/>
    <x v="11"/>
    <x v="4"/>
    <x v="2"/>
  </r>
  <r>
    <x v="651"/>
    <x v="7"/>
    <x v="0"/>
    <n v="46.7"/>
    <n v="46.7"/>
    <x v="28"/>
    <d v="2025-02-01T00:00:00"/>
    <x v="2"/>
    <x v="2"/>
    <x v="0"/>
    <x v="0"/>
    <x v="17"/>
    <x v="2"/>
    <x v="4"/>
    <x v="2"/>
  </r>
  <r>
    <x v="652"/>
    <x v="1"/>
    <x v="12"/>
    <n v="43"/>
    <n v="172"/>
    <x v="28"/>
    <d v="2025-01-30T00:00:00"/>
    <x v="1"/>
    <x v="2"/>
    <x v="2"/>
    <x v="0"/>
    <x v="17"/>
    <x v="3"/>
    <x v="4"/>
    <x v="1"/>
  </r>
  <r>
    <x v="653"/>
    <x v="6"/>
    <x v="2"/>
    <n v="68.2"/>
    <n v="204.60000000000002"/>
    <x v="28"/>
    <d v="2025-02-04T00:00:00"/>
    <x v="2"/>
    <x v="0"/>
    <x v="0"/>
    <x v="0"/>
    <x v="9"/>
    <x v="4"/>
    <x v="4"/>
    <x v="2"/>
  </r>
  <r>
    <x v="654"/>
    <x v="10"/>
    <x v="7"/>
    <n v="24.3"/>
    <n v="243"/>
    <x v="28"/>
    <d v="2025-01-30T00:00:00"/>
    <x v="1"/>
    <x v="0"/>
    <x v="2"/>
    <x v="0"/>
    <x v="10"/>
    <x v="3"/>
    <x v="4"/>
    <x v="1"/>
  </r>
  <r>
    <x v="655"/>
    <x v="7"/>
    <x v="1"/>
    <n v="86.8"/>
    <n v="173.6"/>
    <x v="28"/>
    <d v="2025-02-02T00:00:00"/>
    <x v="2"/>
    <x v="4"/>
    <x v="2"/>
    <x v="0"/>
    <x v="11"/>
    <x v="5"/>
    <x v="4"/>
    <x v="2"/>
  </r>
  <r>
    <x v="656"/>
    <x v="0"/>
    <x v="1"/>
    <n v="15.8"/>
    <n v="31.6"/>
    <x v="28"/>
    <d v="2025-01-31T00:00:00"/>
    <x v="1"/>
    <x v="1"/>
    <x v="0"/>
    <x v="0"/>
    <x v="11"/>
    <x v="1"/>
    <x v="4"/>
    <x v="1"/>
  </r>
  <r>
    <x v="657"/>
    <x v="2"/>
    <x v="12"/>
    <n v="61.6"/>
    <n v="246.4"/>
    <x v="28"/>
    <d v="2025-01-30T00:00:00"/>
    <x v="1"/>
    <x v="2"/>
    <x v="0"/>
    <x v="0"/>
    <x v="11"/>
    <x v="3"/>
    <x v="4"/>
    <x v="1"/>
  </r>
  <r>
    <x v="658"/>
    <x v="6"/>
    <x v="2"/>
    <n v="48.7"/>
    <n v="146.10000000000002"/>
    <x v="28"/>
    <d v="2025-02-04T00:00:00"/>
    <x v="2"/>
    <x v="1"/>
    <x v="2"/>
    <x v="0"/>
    <x v="45"/>
    <x v="4"/>
    <x v="4"/>
    <x v="2"/>
  </r>
  <r>
    <x v="659"/>
    <x v="8"/>
    <x v="12"/>
    <n v="24.3"/>
    <n v="97.2"/>
    <x v="28"/>
    <d v="2025-01-31T00:00:00"/>
    <x v="2"/>
    <x v="1"/>
    <x v="2"/>
    <x v="0"/>
    <x v="21"/>
    <x v="1"/>
    <x v="4"/>
    <x v="2"/>
  </r>
  <r>
    <x v="660"/>
    <x v="2"/>
    <x v="1"/>
    <n v="130.69999999999999"/>
    <n v="261.39999999999998"/>
    <x v="28"/>
    <d v="2025-01-30T00:00:00"/>
    <x v="2"/>
    <x v="2"/>
    <x v="0"/>
    <x v="0"/>
    <x v="44"/>
    <x v="3"/>
    <x v="4"/>
    <x v="2"/>
  </r>
  <r>
    <x v="661"/>
    <x v="10"/>
    <x v="0"/>
    <n v="26"/>
    <n v="26"/>
    <x v="28"/>
    <d v="2025-01-31T00:00:00"/>
    <x v="1"/>
    <x v="0"/>
    <x v="0"/>
    <x v="0"/>
    <x v="3"/>
    <x v="1"/>
    <x v="4"/>
    <x v="1"/>
  </r>
  <r>
    <x v="662"/>
    <x v="2"/>
    <x v="9"/>
    <n v="94.4"/>
    <n v="472"/>
    <x v="28"/>
    <d v="2025-01-30T00:00:00"/>
    <x v="2"/>
    <x v="0"/>
    <x v="0"/>
    <x v="0"/>
    <x v="3"/>
    <x v="3"/>
    <x v="4"/>
    <x v="2"/>
  </r>
  <r>
    <x v="663"/>
    <x v="0"/>
    <x v="13"/>
    <n v="23.7"/>
    <n v="142.19999999999999"/>
    <x v="28"/>
    <d v="2025-01-31T00:00:00"/>
    <x v="1"/>
    <x v="2"/>
    <x v="2"/>
    <x v="0"/>
    <x v="3"/>
    <x v="1"/>
    <x v="4"/>
    <x v="1"/>
  </r>
  <r>
    <x v="664"/>
    <x v="9"/>
    <x v="4"/>
    <n v="37.4"/>
    <n v="448.79999999999995"/>
    <x v="28"/>
    <d v="2025-01-31T00:00:00"/>
    <x v="1"/>
    <x v="2"/>
    <x v="0"/>
    <x v="0"/>
    <x v="3"/>
    <x v="1"/>
    <x v="4"/>
    <x v="1"/>
  </r>
  <r>
    <x v="665"/>
    <x v="1"/>
    <x v="34"/>
    <n v="55.2"/>
    <n v="1987.2"/>
    <x v="28"/>
    <d v="2025-01-29T00:00:00"/>
    <x v="2"/>
    <x v="3"/>
    <x v="1"/>
    <x v="0"/>
    <x v="3"/>
    <x v="7"/>
    <x v="4"/>
    <x v="2"/>
  </r>
  <r>
    <x v="666"/>
    <x v="2"/>
    <x v="11"/>
    <n v="57.1"/>
    <n v="513.9"/>
    <x v="28"/>
    <d v="2025-01-31T00:00:00"/>
    <x v="1"/>
    <x v="0"/>
    <x v="2"/>
    <x v="0"/>
    <x v="3"/>
    <x v="1"/>
    <x v="4"/>
    <x v="1"/>
  </r>
  <r>
    <x v="667"/>
    <x v="12"/>
    <x v="0"/>
    <n v="55.3"/>
    <n v="55.3"/>
    <x v="28"/>
    <d v="2025-01-30T00:00:00"/>
    <x v="2"/>
    <x v="2"/>
    <x v="2"/>
    <x v="0"/>
    <x v="3"/>
    <x v="3"/>
    <x v="4"/>
    <x v="2"/>
  </r>
  <r>
    <x v="668"/>
    <x v="15"/>
    <x v="3"/>
    <n v="23.9"/>
    <n v="167.29999999999998"/>
    <x v="28"/>
    <d v="2025-01-30T00:00:00"/>
    <x v="2"/>
    <x v="4"/>
    <x v="1"/>
    <x v="0"/>
    <x v="3"/>
    <x v="3"/>
    <x v="4"/>
    <x v="2"/>
  </r>
  <r>
    <x v="669"/>
    <x v="0"/>
    <x v="0"/>
    <n v="34.1"/>
    <n v="34.1"/>
    <x v="28"/>
    <d v="2025-02-05T00:00:00"/>
    <x v="2"/>
    <x v="2"/>
    <x v="0"/>
    <x v="0"/>
    <x v="3"/>
    <x v="6"/>
    <x v="4"/>
    <x v="2"/>
  </r>
  <r>
    <x v="670"/>
    <x v="12"/>
    <x v="12"/>
    <n v="38.5"/>
    <n v="154"/>
    <x v="28"/>
    <d v="2025-02-09T00:00:00"/>
    <x v="2"/>
    <x v="0"/>
    <x v="0"/>
    <x v="0"/>
    <x v="3"/>
    <x v="11"/>
    <x v="4"/>
    <x v="2"/>
  </r>
  <r>
    <x v="671"/>
    <x v="7"/>
    <x v="1"/>
    <n v="105"/>
    <n v="210"/>
    <x v="28"/>
    <d v="2025-02-04T00:00:00"/>
    <x v="2"/>
    <x v="0"/>
    <x v="2"/>
    <x v="0"/>
    <x v="3"/>
    <x v="4"/>
    <x v="4"/>
    <x v="2"/>
  </r>
  <r>
    <x v="672"/>
    <x v="8"/>
    <x v="9"/>
    <n v="45.2"/>
    <n v="226"/>
    <x v="28"/>
    <d v="2025-01-31T00:00:00"/>
    <x v="2"/>
    <x v="0"/>
    <x v="2"/>
    <x v="0"/>
    <x v="3"/>
    <x v="1"/>
    <x v="4"/>
    <x v="2"/>
  </r>
  <r>
    <x v="673"/>
    <x v="17"/>
    <x v="2"/>
    <n v="24.8"/>
    <n v="74.400000000000006"/>
    <x v="28"/>
    <d v="2025-01-29T00:00:00"/>
    <x v="0"/>
    <x v="0"/>
    <x v="1"/>
    <x v="0"/>
    <x v="3"/>
    <x v="7"/>
    <x v="4"/>
    <x v="0"/>
  </r>
  <r>
    <x v="674"/>
    <x v="11"/>
    <x v="12"/>
    <n v="43.8"/>
    <n v="175.2"/>
    <x v="28"/>
    <d v="2025-02-05T00:00:00"/>
    <x v="2"/>
    <x v="1"/>
    <x v="2"/>
    <x v="0"/>
    <x v="6"/>
    <x v="6"/>
    <x v="4"/>
    <x v="2"/>
  </r>
  <r>
    <x v="675"/>
    <x v="1"/>
    <x v="0"/>
    <n v="75"/>
    <n v="75"/>
    <x v="28"/>
    <d v="2025-01-31T00:00:00"/>
    <x v="2"/>
    <x v="4"/>
    <x v="1"/>
    <x v="0"/>
    <x v="6"/>
    <x v="1"/>
    <x v="4"/>
    <x v="2"/>
  </r>
  <r>
    <x v="676"/>
    <x v="2"/>
    <x v="0"/>
    <n v="169.9"/>
    <n v="169.9"/>
    <x v="28"/>
    <d v="2025-01-30T00:00:00"/>
    <x v="1"/>
    <x v="2"/>
    <x v="0"/>
    <x v="0"/>
    <x v="6"/>
    <x v="3"/>
    <x v="4"/>
    <x v="1"/>
  </r>
  <r>
    <x v="677"/>
    <x v="9"/>
    <x v="1"/>
    <n v="72.2"/>
    <n v="144.4"/>
    <x v="28"/>
    <d v="2025-01-31T00:00:00"/>
    <x v="2"/>
    <x v="4"/>
    <x v="1"/>
    <x v="0"/>
    <x v="6"/>
    <x v="1"/>
    <x v="4"/>
    <x v="2"/>
  </r>
  <r>
    <x v="678"/>
    <x v="0"/>
    <x v="0"/>
    <n v="20"/>
    <n v="20"/>
    <x v="29"/>
    <d v="2025-02-02T00:00:00"/>
    <x v="2"/>
    <x v="2"/>
    <x v="1"/>
    <x v="0"/>
    <x v="7"/>
    <x v="2"/>
    <x v="4"/>
    <x v="2"/>
  </r>
  <r>
    <x v="679"/>
    <x v="9"/>
    <x v="1"/>
    <n v="40.799999999999997"/>
    <n v="81.599999999999994"/>
    <x v="29"/>
    <d v="2025-02-01T00:00:00"/>
    <x v="2"/>
    <x v="3"/>
    <x v="2"/>
    <x v="0"/>
    <x v="8"/>
    <x v="1"/>
    <x v="4"/>
    <x v="2"/>
  </r>
  <r>
    <x v="680"/>
    <x v="10"/>
    <x v="12"/>
    <n v="58"/>
    <n v="232"/>
    <x v="29"/>
    <d v="2025-02-03T00:00:00"/>
    <x v="2"/>
    <x v="0"/>
    <x v="0"/>
    <x v="0"/>
    <x v="8"/>
    <x v="5"/>
    <x v="4"/>
    <x v="2"/>
  </r>
  <r>
    <x v="681"/>
    <x v="12"/>
    <x v="1"/>
    <n v="43.1"/>
    <n v="86.2"/>
    <x v="29"/>
    <d v="2025-01-31T00:00:00"/>
    <x v="2"/>
    <x v="1"/>
    <x v="2"/>
    <x v="0"/>
    <x v="8"/>
    <x v="3"/>
    <x v="4"/>
    <x v="2"/>
  </r>
  <r>
    <x v="682"/>
    <x v="6"/>
    <x v="11"/>
    <n v="74.7"/>
    <n v="672.30000000000007"/>
    <x v="29"/>
    <d v="2025-02-01T00:00:00"/>
    <x v="1"/>
    <x v="0"/>
    <x v="2"/>
    <x v="0"/>
    <x v="8"/>
    <x v="1"/>
    <x v="4"/>
    <x v="1"/>
  </r>
  <r>
    <x v="683"/>
    <x v="6"/>
    <x v="0"/>
    <n v="128.19999999999999"/>
    <n v="128.19999999999999"/>
    <x v="29"/>
    <d v="2025-01-30T00:00:00"/>
    <x v="1"/>
    <x v="1"/>
    <x v="0"/>
    <x v="0"/>
    <x v="8"/>
    <x v="7"/>
    <x v="4"/>
    <x v="1"/>
  </r>
  <r>
    <x v="684"/>
    <x v="14"/>
    <x v="12"/>
    <n v="26.7"/>
    <n v="106.8"/>
    <x v="29"/>
    <d v="2025-01-31T00:00:00"/>
    <x v="1"/>
    <x v="1"/>
    <x v="0"/>
    <x v="0"/>
    <x v="8"/>
    <x v="3"/>
    <x v="4"/>
    <x v="1"/>
  </r>
  <r>
    <x v="685"/>
    <x v="17"/>
    <x v="13"/>
    <n v="31.5"/>
    <n v="189"/>
    <x v="29"/>
    <d v="2025-01-31T00:00:00"/>
    <x v="2"/>
    <x v="2"/>
    <x v="0"/>
    <x v="0"/>
    <x v="17"/>
    <x v="3"/>
    <x v="4"/>
    <x v="2"/>
  </r>
  <r>
    <x v="686"/>
    <x v="3"/>
    <x v="3"/>
    <n v="64.7"/>
    <n v="452.90000000000003"/>
    <x v="29"/>
    <d v="2025-01-31T00:00:00"/>
    <x v="2"/>
    <x v="0"/>
    <x v="2"/>
    <x v="0"/>
    <x v="9"/>
    <x v="3"/>
    <x v="4"/>
    <x v="2"/>
  </r>
  <r>
    <x v="687"/>
    <x v="5"/>
    <x v="1"/>
    <n v="55.6"/>
    <n v="111.2"/>
    <x v="29"/>
    <d v="2025-02-02T00:00:00"/>
    <x v="2"/>
    <x v="3"/>
    <x v="0"/>
    <x v="0"/>
    <x v="11"/>
    <x v="2"/>
    <x v="4"/>
    <x v="2"/>
  </r>
  <r>
    <x v="688"/>
    <x v="3"/>
    <x v="1"/>
    <n v="36.200000000000003"/>
    <n v="72.400000000000006"/>
    <x v="29"/>
    <d v="2025-01-31T00:00:00"/>
    <x v="2"/>
    <x v="3"/>
    <x v="0"/>
    <x v="0"/>
    <x v="11"/>
    <x v="3"/>
    <x v="4"/>
    <x v="2"/>
  </r>
  <r>
    <x v="689"/>
    <x v="0"/>
    <x v="0"/>
    <n v="26.6"/>
    <n v="26.6"/>
    <x v="29"/>
    <d v="2025-01-31T00:00:00"/>
    <x v="0"/>
    <x v="1"/>
    <x v="1"/>
    <x v="0"/>
    <x v="19"/>
    <x v="3"/>
    <x v="4"/>
    <x v="0"/>
  </r>
  <r>
    <x v="690"/>
    <x v="10"/>
    <x v="12"/>
    <n v="31.5"/>
    <n v="126"/>
    <x v="29"/>
    <d v="2025-02-01T00:00:00"/>
    <x v="1"/>
    <x v="0"/>
    <x v="0"/>
    <x v="0"/>
    <x v="31"/>
    <x v="1"/>
    <x v="4"/>
    <x v="1"/>
  </r>
  <r>
    <x v="691"/>
    <x v="10"/>
    <x v="0"/>
    <n v="27"/>
    <n v="27"/>
    <x v="29"/>
    <d v="2025-02-01T00:00:00"/>
    <x v="2"/>
    <x v="1"/>
    <x v="2"/>
    <x v="0"/>
    <x v="13"/>
    <x v="1"/>
    <x v="4"/>
    <x v="2"/>
  </r>
  <r>
    <x v="692"/>
    <x v="4"/>
    <x v="0"/>
    <n v="32"/>
    <n v="32"/>
    <x v="29"/>
    <d v="2025-02-02T00:00:00"/>
    <x v="1"/>
    <x v="3"/>
    <x v="0"/>
    <x v="0"/>
    <x v="21"/>
    <x v="2"/>
    <x v="4"/>
    <x v="1"/>
  </r>
  <r>
    <x v="693"/>
    <x v="1"/>
    <x v="2"/>
    <n v="48.1"/>
    <n v="144.30000000000001"/>
    <x v="29"/>
    <d v="2025-02-01T00:00:00"/>
    <x v="1"/>
    <x v="2"/>
    <x v="1"/>
    <x v="0"/>
    <x v="1"/>
    <x v="1"/>
    <x v="4"/>
    <x v="1"/>
  </r>
  <r>
    <x v="694"/>
    <x v="9"/>
    <x v="1"/>
    <n v="43.4"/>
    <n v="86.8"/>
    <x v="29"/>
    <d v="2025-01-31T00:00:00"/>
    <x v="1"/>
    <x v="1"/>
    <x v="1"/>
    <x v="0"/>
    <x v="22"/>
    <x v="3"/>
    <x v="4"/>
    <x v="1"/>
  </r>
  <r>
    <x v="695"/>
    <x v="6"/>
    <x v="1"/>
    <n v="42.6"/>
    <n v="85.2"/>
    <x v="29"/>
    <d v="2025-02-02T00:00:00"/>
    <x v="2"/>
    <x v="3"/>
    <x v="0"/>
    <x v="0"/>
    <x v="22"/>
    <x v="2"/>
    <x v="4"/>
    <x v="2"/>
  </r>
  <r>
    <x v="696"/>
    <x v="8"/>
    <x v="1"/>
    <n v="15.9"/>
    <n v="31.8"/>
    <x v="29"/>
    <d v="2025-01-31T00:00:00"/>
    <x v="2"/>
    <x v="0"/>
    <x v="0"/>
    <x v="0"/>
    <x v="34"/>
    <x v="3"/>
    <x v="4"/>
    <x v="2"/>
  </r>
  <r>
    <x v="697"/>
    <x v="9"/>
    <x v="1"/>
    <n v="63.2"/>
    <n v="126.4"/>
    <x v="29"/>
    <d v="2025-01-31T00:00:00"/>
    <x v="1"/>
    <x v="1"/>
    <x v="0"/>
    <x v="0"/>
    <x v="3"/>
    <x v="3"/>
    <x v="4"/>
    <x v="1"/>
  </r>
  <r>
    <x v="698"/>
    <x v="7"/>
    <x v="12"/>
    <n v="64.8"/>
    <n v="259.2"/>
    <x v="29"/>
    <d v="2025-02-01T00:00:00"/>
    <x v="0"/>
    <x v="4"/>
    <x v="1"/>
    <x v="0"/>
    <x v="3"/>
    <x v="1"/>
    <x v="4"/>
    <x v="0"/>
  </r>
  <r>
    <x v="699"/>
    <x v="7"/>
    <x v="2"/>
    <n v="79.8"/>
    <n v="239.39999999999998"/>
    <x v="29"/>
    <d v="2025-01-31T00:00:00"/>
    <x v="1"/>
    <x v="0"/>
    <x v="0"/>
    <x v="0"/>
    <x v="3"/>
    <x v="3"/>
    <x v="4"/>
    <x v="1"/>
  </r>
  <r>
    <x v="700"/>
    <x v="9"/>
    <x v="0"/>
    <n v="54.4"/>
    <n v="54.4"/>
    <x v="29"/>
    <d v="2025-02-01T00:00:00"/>
    <x v="2"/>
    <x v="4"/>
    <x v="2"/>
    <x v="0"/>
    <x v="3"/>
    <x v="1"/>
    <x v="4"/>
    <x v="2"/>
  </r>
  <r>
    <x v="701"/>
    <x v="6"/>
    <x v="0"/>
    <n v="87.3"/>
    <n v="87.3"/>
    <x v="29"/>
    <d v="2025-01-31T00:00:00"/>
    <x v="1"/>
    <x v="1"/>
    <x v="0"/>
    <x v="0"/>
    <x v="3"/>
    <x v="3"/>
    <x v="4"/>
    <x v="1"/>
  </r>
  <r>
    <x v="702"/>
    <x v="8"/>
    <x v="12"/>
    <n v="32.4"/>
    <n v="129.6"/>
    <x v="29"/>
    <d v="2025-01-30T00:00:00"/>
    <x v="1"/>
    <x v="1"/>
    <x v="0"/>
    <x v="0"/>
    <x v="3"/>
    <x v="7"/>
    <x v="4"/>
    <x v="1"/>
  </r>
  <r>
    <x v="703"/>
    <x v="2"/>
    <x v="0"/>
    <n v="177.4"/>
    <n v="177.4"/>
    <x v="29"/>
    <d v="2025-02-03T00:00:00"/>
    <x v="1"/>
    <x v="0"/>
    <x v="2"/>
    <x v="0"/>
    <x v="3"/>
    <x v="5"/>
    <x v="4"/>
    <x v="1"/>
  </r>
  <r>
    <x v="704"/>
    <x v="7"/>
    <x v="1"/>
    <n v="70.099999999999994"/>
    <n v="140.19999999999999"/>
    <x v="29"/>
    <d v="2025-01-31T00:00:00"/>
    <x v="1"/>
    <x v="3"/>
    <x v="1"/>
    <x v="0"/>
    <x v="3"/>
    <x v="3"/>
    <x v="4"/>
    <x v="1"/>
  </r>
  <r>
    <x v="705"/>
    <x v="9"/>
    <x v="13"/>
    <n v="51.1"/>
    <n v="306.60000000000002"/>
    <x v="29"/>
    <d v="2025-01-31T00:00:00"/>
    <x v="2"/>
    <x v="0"/>
    <x v="0"/>
    <x v="0"/>
    <x v="3"/>
    <x v="3"/>
    <x v="4"/>
    <x v="2"/>
  </r>
  <r>
    <x v="706"/>
    <x v="2"/>
    <x v="9"/>
    <n v="79.900000000000006"/>
    <n v="399.5"/>
    <x v="29"/>
    <d v="2025-02-01T00:00:00"/>
    <x v="1"/>
    <x v="3"/>
    <x v="2"/>
    <x v="0"/>
    <x v="24"/>
    <x v="1"/>
    <x v="4"/>
    <x v="1"/>
  </r>
  <r>
    <x v="707"/>
    <x v="6"/>
    <x v="0"/>
    <n v="57.6"/>
    <n v="57.6"/>
    <x v="30"/>
    <d v="2025-02-05T00:00:00"/>
    <x v="1"/>
    <x v="0"/>
    <x v="2"/>
    <x v="0"/>
    <x v="49"/>
    <x v="0"/>
    <x v="4"/>
    <x v="1"/>
  </r>
  <r>
    <x v="708"/>
    <x v="8"/>
    <x v="7"/>
    <n v="59.7"/>
    <n v="597"/>
    <x v="30"/>
    <d v="2025-02-04T00:00:00"/>
    <x v="1"/>
    <x v="2"/>
    <x v="0"/>
    <x v="0"/>
    <x v="25"/>
    <x v="5"/>
    <x v="4"/>
    <x v="1"/>
  </r>
  <r>
    <x v="709"/>
    <x v="8"/>
    <x v="9"/>
    <n v="30"/>
    <n v="150"/>
    <x v="30"/>
    <d v="2025-02-02T00:00:00"/>
    <x v="1"/>
    <x v="1"/>
    <x v="0"/>
    <x v="0"/>
    <x v="6"/>
    <x v="1"/>
    <x v="4"/>
    <x v="1"/>
  </r>
  <r>
    <x v="710"/>
    <x v="10"/>
    <x v="1"/>
    <n v="69.2"/>
    <n v="138.4"/>
    <x v="30"/>
    <d v="2025-02-02T00:00:00"/>
    <x v="0"/>
    <x v="2"/>
    <x v="1"/>
    <x v="0"/>
    <x v="6"/>
    <x v="1"/>
    <x v="4"/>
    <x v="0"/>
  </r>
  <r>
    <x v="711"/>
    <x v="0"/>
    <x v="8"/>
    <n v="10.9"/>
    <n v="87.2"/>
    <x v="30"/>
    <d v="2025-02-01T00:00:00"/>
    <x v="2"/>
    <x v="0"/>
    <x v="2"/>
    <x v="0"/>
    <x v="6"/>
    <x v="3"/>
    <x v="4"/>
    <x v="2"/>
  </r>
  <r>
    <x v="712"/>
    <x v="16"/>
    <x v="1"/>
    <n v="48.6"/>
    <n v="97.2"/>
    <x v="30"/>
    <d v="2025-02-04T00:00:00"/>
    <x v="1"/>
    <x v="1"/>
    <x v="2"/>
    <x v="0"/>
    <x v="6"/>
    <x v="5"/>
    <x v="4"/>
    <x v="1"/>
  </r>
  <r>
    <x v="713"/>
    <x v="2"/>
    <x v="1"/>
    <n v="61.1"/>
    <n v="122.2"/>
    <x v="30"/>
    <d v="2025-02-03T00:00:00"/>
    <x v="2"/>
    <x v="1"/>
    <x v="2"/>
    <x v="0"/>
    <x v="7"/>
    <x v="2"/>
    <x v="4"/>
    <x v="2"/>
  </r>
  <r>
    <x v="714"/>
    <x v="8"/>
    <x v="1"/>
    <n v="23.2"/>
    <n v="46.4"/>
    <x v="30"/>
    <d v="2025-02-01T00:00:00"/>
    <x v="1"/>
    <x v="3"/>
    <x v="2"/>
    <x v="0"/>
    <x v="8"/>
    <x v="3"/>
    <x v="4"/>
    <x v="1"/>
  </r>
  <r>
    <x v="715"/>
    <x v="12"/>
    <x v="12"/>
    <n v="55.8"/>
    <n v="223.2"/>
    <x v="30"/>
    <d v="2025-02-01T00:00:00"/>
    <x v="1"/>
    <x v="0"/>
    <x v="0"/>
    <x v="0"/>
    <x v="8"/>
    <x v="3"/>
    <x v="4"/>
    <x v="1"/>
  </r>
  <r>
    <x v="716"/>
    <x v="9"/>
    <x v="12"/>
    <n v="24.8"/>
    <n v="99.2"/>
    <x v="30"/>
    <d v="2025-02-01T00:00:00"/>
    <x v="2"/>
    <x v="0"/>
    <x v="2"/>
    <x v="0"/>
    <x v="8"/>
    <x v="3"/>
    <x v="4"/>
    <x v="2"/>
  </r>
  <r>
    <x v="717"/>
    <x v="10"/>
    <x v="1"/>
    <n v="27.9"/>
    <n v="55.8"/>
    <x v="30"/>
    <d v="2025-01-31T00:00:00"/>
    <x v="1"/>
    <x v="2"/>
    <x v="2"/>
    <x v="0"/>
    <x v="8"/>
    <x v="7"/>
    <x v="4"/>
    <x v="1"/>
  </r>
  <r>
    <x v="718"/>
    <x v="10"/>
    <x v="13"/>
    <n v="51.1"/>
    <n v="306.60000000000002"/>
    <x v="30"/>
    <d v="2025-01-31T00:00:00"/>
    <x v="2"/>
    <x v="3"/>
    <x v="0"/>
    <x v="0"/>
    <x v="8"/>
    <x v="7"/>
    <x v="4"/>
    <x v="2"/>
  </r>
  <r>
    <x v="719"/>
    <x v="17"/>
    <x v="5"/>
    <n v="32.700000000000003"/>
    <n v="359.70000000000005"/>
    <x v="30"/>
    <d v="2025-02-01T00:00:00"/>
    <x v="1"/>
    <x v="4"/>
    <x v="2"/>
    <x v="0"/>
    <x v="17"/>
    <x v="3"/>
    <x v="4"/>
    <x v="1"/>
  </r>
  <r>
    <x v="720"/>
    <x v="8"/>
    <x v="12"/>
    <n v="22.5"/>
    <n v="90"/>
    <x v="30"/>
    <d v="2025-01-31T00:00:00"/>
    <x v="1"/>
    <x v="0"/>
    <x v="2"/>
    <x v="0"/>
    <x v="26"/>
    <x v="7"/>
    <x v="4"/>
    <x v="1"/>
  </r>
  <r>
    <x v="721"/>
    <x v="0"/>
    <x v="3"/>
    <n v="14.6"/>
    <n v="102.2"/>
    <x v="30"/>
    <d v="2025-02-01T00:00:00"/>
    <x v="2"/>
    <x v="2"/>
    <x v="0"/>
    <x v="0"/>
    <x v="41"/>
    <x v="3"/>
    <x v="4"/>
    <x v="2"/>
  </r>
  <r>
    <x v="722"/>
    <x v="5"/>
    <x v="2"/>
    <n v="32.5"/>
    <n v="97.5"/>
    <x v="30"/>
    <d v="2025-02-03T00:00:00"/>
    <x v="1"/>
    <x v="0"/>
    <x v="0"/>
    <x v="0"/>
    <x v="10"/>
    <x v="2"/>
    <x v="4"/>
    <x v="1"/>
  </r>
  <r>
    <x v="723"/>
    <x v="18"/>
    <x v="0"/>
    <n v="78.099999999999994"/>
    <n v="78.099999999999994"/>
    <x v="30"/>
    <d v="2025-02-03T00:00:00"/>
    <x v="1"/>
    <x v="0"/>
    <x v="2"/>
    <x v="0"/>
    <x v="11"/>
    <x v="2"/>
    <x v="4"/>
    <x v="1"/>
  </r>
  <r>
    <x v="724"/>
    <x v="12"/>
    <x v="13"/>
    <n v="110.2"/>
    <n v="661.2"/>
    <x v="30"/>
    <d v="2025-01-31T00:00:00"/>
    <x v="1"/>
    <x v="1"/>
    <x v="4"/>
    <x v="0"/>
    <x v="13"/>
    <x v="7"/>
    <x v="4"/>
    <x v="1"/>
  </r>
  <r>
    <x v="725"/>
    <x v="6"/>
    <x v="2"/>
    <n v="86.3"/>
    <n v="258.89999999999998"/>
    <x v="30"/>
    <d v="2025-02-02T00:00:00"/>
    <x v="2"/>
    <x v="3"/>
    <x v="0"/>
    <x v="0"/>
    <x v="21"/>
    <x v="1"/>
    <x v="4"/>
    <x v="2"/>
  </r>
  <r>
    <x v="726"/>
    <x v="1"/>
    <x v="13"/>
    <n v="73.599999999999994"/>
    <n v="441.59999999999997"/>
    <x v="30"/>
    <d v="2025-02-02T00:00:00"/>
    <x v="3"/>
    <x v="3"/>
    <x v="4"/>
    <x v="0"/>
    <x v="44"/>
    <x v="1"/>
    <x v="4"/>
    <x v="3"/>
  </r>
  <r>
    <x v="727"/>
    <x v="6"/>
    <x v="15"/>
    <n v="67.7"/>
    <n v="880.1"/>
    <x v="30"/>
    <d v="2025-02-02T00:00:00"/>
    <x v="2"/>
    <x v="0"/>
    <x v="2"/>
    <x v="0"/>
    <x v="3"/>
    <x v="1"/>
    <x v="4"/>
    <x v="2"/>
  </r>
  <r>
    <x v="728"/>
    <x v="7"/>
    <x v="13"/>
    <n v="142.19999999999999"/>
    <n v="853.19999999999993"/>
    <x v="30"/>
    <d v="2025-02-01T00:00:00"/>
    <x v="2"/>
    <x v="2"/>
    <x v="4"/>
    <x v="0"/>
    <x v="3"/>
    <x v="3"/>
    <x v="4"/>
    <x v="2"/>
  </r>
  <r>
    <x v="729"/>
    <x v="1"/>
    <x v="11"/>
    <n v="45.8"/>
    <n v="412.2"/>
    <x v="30"/>
    <d v="2025-02-02T00:00:00"/>
    <x v="2"/>
    <x v="1"/>
    <x v="2"/>
    <x v="0"/>
    <x v="3"/>
    <x v="1"/>
    <x v="4"/>
    <x v="2"/>
  </r>
  <r>
    <x v="730"/>
    <x v="10"/>
    <x v="1"/>
    <n v="24.2"/>
    <n v="48.4"/>
    <x v="31"/>
    <d v="2025-02-04T00:00:00"/>
    <x v="2"/>
    <x v="3"/>
    <x v="2"/>
    <x v="0"/>
    <x v="3"/>
    <x v="2"/>
    <x v="4"/>
    <x v="2"/>
  </r>
  <r>
    <x v="731"/>
    <x v="2"/>
    <x v="2"/>
    <n v="144.9"/>
    <n v="434.70000000000005"/>
    <x v="31"/>
    <d v="2025-02-02T00:00:00"/>
    <x v="3"/>
    <x v="2"/>
    <x v="2"/>
    <x v="0"/>
    <x v="3"/>
    <x v="3"/>
    <x v="4"/>
    <x v="3"/>
  </r>
  <r>
    <x v="732"/>
    <x v="11"/>
    <x v="9"/>
    <n v="32.799999999999997"/>
    <n v="164"/>
    <x v="31"/>
    <d v="2025-02-04T00:00:00"/>
    <x v="2"/>
    <x v="2"/>
    <x v="0"/>
    <x v="0"/>
    <x v="23"/>
    <x v="2"/>
    <x v="4"/>
    <x v="2"/>
  </r>
  <r>
    <x v="733"/>
    <x v="7"/>
    <x v="7"/>
    <n v="35.700000000000003"/>
    <n v="357"/>
    <x v="31"/>
    <d v="2025-02-01T00:00:00"/>
    <x v="2"/>
    <x v="0"/>
    <x v="1"/>
    <x v="0"/>
    <x v="6"/>
    <x v="7"/>
    <x v="4"/>
    <x v="2"/>
  </r>
  <r>
    <x v="734"/>
    <x v="9"/>
    <x v="1"/>
    <n v="54.6"/>
    <n v="109.2"/>
    <x v="31"/>
    <d v="2025-02-02T00:00:00"/>
    <x v="2"/>
    <x v="2"/>
    <x v="0"/>
    <x v="0"/>
    <x v="6"/>
    <x v="3"/>
    <x v="4"/>
    <x v="2"/>
  </r>
  <r>
    <x v="735"/>
    <x v="8"/>
    <x v="1"/>
    <n v="35.700000000000003"/>
    <n v="71.400000000000006"/>
    <x v="31"/>
    <d v="2025-02-04T00:00:00"/>
    <x v="0"/>
    <x v="0"/>
    <x v="1"/>
    <x v="0"/>
    <x v="6"/>
    <x v="2"/>
    <x v="4"/>
    <x v="0"/>
  </r>
  <r>
    <x v="736"/>
    <x v="10"/>
    <x v="1"/>
    <n v="52.4"/>
    <n v="104.8"/>
    <x v="31"/>
    <d v="2025-02-01T00:00:00"/>
    <x v="2"/>
    <x v="0"/>
    <x v="3"/>
    <x v="0"/>
    <x v="6"/>
    <x v="7"/>
    <x v="4"/>
    <x v="2"/>
  </r>
  <r>
    <x v="737"/>
    <x v="8"/>
    <x v="21"/>
    <n v="16.2"/>
    <n v="226.79999999999998"/>
    <x v="31"/>
    <d v="2025-02-02T00:00:00"/>
    <x v="0"/>
    <x v="0"/>
    <x v="1"/>
    <x v="0"/>
    <x v="8"/>
    <x v="3"/>
    <x v="4"/>
    <x v="0"/>
  </r>
  <r>
    <x v="738"/>
    <x v="6"/>
    <x v="35"/>
    <n v="42.8"/>
    <n v="2011.6"/>
    <x v="31"/>
    <d v="2025-02-02T00:00:00"/>
    <x v="2"/>
    <x v="0"/>
    <x v="0"/>
    <x v="0"/>
    <x v="8"/>
    <x v="3"/>
    <x v="4"/>
    <x v="2"/>
  </r>
  <r>
    <x v="739"/>
    <x v="6"/>
    <x v="11"/>
    <n v="144.4"/>
    <n v="1299.6000000000001"/>
    <x v="31"/>
    <d v="2025-02-04T00:00:00"/>
    <x v="2"/>
    <x v="4"/>
    <x v="0"/>
    <x v="0"/>
    <x v="8"/>
    <x v="2"/>
    <x v="4"/>
    <x v="2"/>
  </r>
  <r>
    <x v="740"/>
    <x v="3"/>
    <x v="34"/>
    <n v="30.6"/>
    <n v="1101.6000000000001"/>
    <x v="31"/>
    <d v="2025-02-05T00:00:00"/>
    <x v="2"/>
    <x v="2"/>
    <x v="2"/>
    <x v="0"/>
    <x v="11"/>
    <x v="5"/>
    <x v="4"/>
    <x v="2"/>
  </r>
  <r>
    <x v="741"/>
    <x v="2"/>
    <x v="1"/>
    <n v="117.5"/>
    <n v="235"/>
    <x v="31"/>
    <d v="2025-02-02T00:00:00"/>
    <x v="1"/>
    <x v="0"/>
    <x v="0"/>
    <x v="0"/>
    <x v="19"/>
    <x v="3"/>
    <x v="4"/>
    <x v="1"/>
  </r>
  <r>
    <x v="742"/>
    <x v="6"/>
    <x v="1"/>
    <n v="105.7"/>
    <n v="211.4"/>
    <x v="31"/>
    <d v="2025-02-02T00:00:00"/>
    <x v="2"/>
    <x v="2"/>
    <x v="2"/>
    <x v="0"/>
    <x v="21"/>
    <x v="3"/>
    <x v="4"/>
    <x v="2"/>
  </r>
  <r>
    <x v="743"/>
    <x v="3"/>
    <x v="2"/>
    <n v="133.69999999999999"/>
    <n v="401.09999999999997"/>
    <x v="31"/>
    <d v="2025-02-02T00:00:00"/>
    <x v="0"/>
    <x v="4"/>
    <x v="2"/>
    <x v="0"/>
    <x v="21"/>
    <x v="3"/>
    <x v="4"/>
    <x v="0"/>
  </r>
  <r>
    <x v="744"/>
    <x v="4"/>
    <x v="9"/>
    <n v="46.8"/>
    <n v="234"/>
    <x v="32"/>
    <d v="2025-02-10T00:00:00"/>
    <x v="2"/>
    <x v="0"/>
    <x v="1"/>
    <x v="0"/>
    <x v="21"/>
    <x v="9"/>
    <x v="5"/>
    <x v="2"/>
  </r>
  <r>
    <x v="745"/>
    <x v="10"/>
    <x v="2"/>
    <n v="58.4"/>
    <n v="175.2"/>
    <x v="32"/>
    <d v="2025-02-04T00:00:00"/>
    <x v="2"/>
    <x v="0"/>
    <x v="0"/>
    <x v="0"/>
    <x v="1"/>
    <x v="1"/>
    <x v="5"/>
    <x v="2"/>
  </r>
  <r>
    <x v="746"/>
    <x v="6"/>
    <x v="11"/>
    <n v="65.099999999999994"/>
    <n v="585.9"/>
    <x v="32"/>
    <d v="2025-02-06T00:00:00"/>
    <x v="1"/>
    <x v="1"/>
    <x v="2"/>
    <x v="0"/>
    <x v="22"/>
    <x v="5"/>
    <x v="5"/>
    <x v="1"/>
  </r>
  <r>
    <x v="747"/>
    <x v="8"/>
    <x v="0"/>
    <n v="18.600000000000001"/>
    <n v="18.600000000000001"/>
    <x v="32"/>
    <d v="2025-02-05T00:00:00"/>
    <x v="2"/>
    <x v="0"/>
    <x v="4"/>
    <x v="0"/>
    <x v="22"/>
    <x v="2"/>
    <x v="5"/>
    <x v="2"/>
  </r>
  <r>
    <x v="748"/>
    <x v="1"/>
    <x v="5"/>
    <n v="92.3"/>
    <n v="1015.3"/>
    <x v="32"/>
    <d v="2025-02-04T00:00:00"/>
    <x v="1"/>
    <x v="1"/>
    <x v="0"/>
    <x v="0"/>
    <x v="3"/>
    <x v="1"/>
    <x v="5"/>
    <x v="1"/>
  </r>
  <r>
    <x v="749"/>
    <x v="6"/>
    <x v="2"/>
    <n v="81.7"/>
    <n v="245.10000000000002"/>
    <x v="32"/>
    <d v="2025-02-03T00:00:00"/>
    <x v="0"/>
    <x v="4"/>
    <x v="4"/>
    <x v="0"/>
    <x v="3"/>
    <x v="3"/>
    <x v="5"/>
    <x v="0"/>
  </r>
  <r>
    <x v="750"/>
    <x v="8"/>
    <x v="1"/>
    <n v="40.9"/>
    <n v="81.8"/>
    <x v="32"/>
    <d v="2025-02-04T00:00:00"/>
    <x v="1"/>
    <x v="0"/>
    <x v="1"/>
    <x v="0"/>
    <x v="3"/>
    <x v="1"/>
    <x v="5"/>
    <x v="1"/>
  </r>
  <r>
    <x v="751"/>
    <x v="6"/>
    <x v="12"/>
    <n v="43.2"/>
    <n v="172.8"/>
    <x v="32"/>
    <d v="2025-02-08T00:00:00"/>
    <x v="2"/>
    <x v="0"/>
    <x v="1"/>
    <x v="0"/>
    <x v="3"/>
    <x v="4"/>
    <x v="5"/>
    <x v="2"/>
  </r>
  <r>
    <x v="752"/>
    <x v="8"/>
    <x v="5"/>
    <n v="25.8"/>
    <n v="283.8"/>
    <x v="32"/>
    <d v="2025-02-05T00:00:00"/>
    <x v="1"/>
    <x v="2"/>
    <x v="1"/>
    <x v="0"/>
    <x v="3"/>
    <x v="2"/>
    <x v="5"/>
    <x v="1"/>
  </r>
  <r>
    <x v="753"/>
    <x v="15"/>
    <x v="12"/>
    <n v="36.4"/>
    <n v="145.6"/>
    <x v="32"/>
    <d v="2025-02-03T00:00:00"/>
    <x v="1"/>
    <x v="0"/>
    <x v="0"/>
    <x v="0"/>
    <x v="3"/>
    <x v="3"/>
    <x v="5"/>
    <x v="1"/>
  </r>
  <r>
    <x v="754"/>
    <x v="10"/>
    <x v="0"/>
    <n v="59.1"/>
    <n v="59.1"/>
    <x v="32"/>
    <d v="2025-02-03T00:00:00"/>
    <x v="2"/>
    <x v="2"/>
    <x v="0"/>
    <x v="0"/>
    <x v="7"/>
    <x v="3"/>
    <x v="5"/>
    <x v="2"/>
  </r>
  <r>
    <x v="755"/>
    <x v="2"/>
    <x v="14"/>
    <n v="74.5"/>
    <n v="1266.5"/>
    <x v="32"/>
    <d v="2025-02-04T00:00:00"/>
    <x v="1"/>
    <x v="4"/>
    <x v="0"/>
    <x v="0"/>
    <x v="18"/>
    <x v="1"/>
    <x v="5"/>
    <x v="1"/>
  </r>
  <r>
    <x v="756"/>
    <x v="5"/>
    <x v="0"/>
    <n v="72.8"/>
    <n v="72.8"/>
    <x v="32"/>
    <d v="2025-02-03T00:00:00"/>
    <x v="2"/>
    <x v="0"/>
    <x v="1"/>
    <x v="0"/>
    <x v="19"/>
    <x v="3"/>
    <x v="5"/>
    <x v="2"/>
  </r>
  <r>
    <x v="757"/>
    <x v="6"/>
    <x v="12"/>
    <n v="137.30000000000001"/>
    <n v="549.20000000000005"/>
    <x v="32"/>
    <d v="2025-02-05T00:00:00"/>
    <x v="2"/>
    <x v="0"/>
    <x v="0"/>
    <x v="0"/>
    <x v="13"/>
    <x v="2"/>
    <x v="5"/>
    <x v="2"/>
  </r>
  <r>
    <x v="758"/>
    <x v="1"/>
    <x v="2"/>
    <n v="48.7"/>
    <n v="146.10000000000002"/>
    <x v="32"/>
    <d v="2025-02-07T00:00:00"/>
    <x v="2"/>
    <x v="0"/>
    <x v="1"/>
    <x v="0"/>
    <x v="21"/>
    <x v="0"/>
    <x v="5"/>
    <x v="2"/>
  </r>
  <r>
    <x v="759"/>
    <x v="6"/>
    <x v="12"/>
    <n v="53.7"/>
    <n v="214.8"/>
    <x v="32"/>
    <d v="2025-02-06T00:00:00"/>
    <x v="1"/>
    <x v="1"/>
    <x v="4"/>
    <x v="0"/>
    <x v="2"/>
    <x v="5"/>
    <x v="5"/>
    <x v="1"/>
  </r>
  <r>
    <x v="760"/>
    <x v="2"/>
    <x v="3"/>
    <n v="100.9"/>
    <n v="706.30000000000007"/>
    <x v="32"/>
    <d v="2025-02-04T00:00:00"/>
    <x v="2"/>
    <x v="0"/>
    <x v="1"/>
    <x v="0"/>
    <x v="2"/>
    <x v="1"/>
    <x v="5"/>
    <x v="2"/>
  </r>
  <r>
    <x v="761"/>
    <x v="10"/>
    <x v="1"/>
    <n v="41.8"/>
    <n v="83.6"/>
    <x v="32"/>
    <d v="2025-02-06T00:00:00"/>
    <x v="1"/>
    <x v="3"/>
    <x v="2"/>
    <x v="0"/>
    <x v="22"/>
    <x v="5"/>
    <x v="5"/>
    <x v="1"/>
  </r>
  <r>
    <x v="762"/>
    <x v="4"/>
    <x v="8"/>
    <n v="28.5"/>
    <n v="228"/>
    <x v="32"/>
    <d v="2025-02-04T00:00:00"/>
    <x v="1"/>
    <x v="2"/>
    <x v="1"/>
    <x v="0"/>
    <x v="3"/>
    <x v="1"/>
    <x v="5"/>
    <x v="1"/>
  </r>
  <r>
    <x v="763"/>
    <x v="7"/>
    <x v="12"/>
    <n v="88.9"/>
    <n v="355.6"/>
    <x v="32"/>
    <d v="2025-02-05T00:00:00"/>
    <x v="2"/>
    <x v="0"/>
    <x v="2"/>
    <x v="0"/>
    <x v="3"/>
    <x v="2"/>
    <x v="5"/>
    <x v="2"/>
  </r>
  <r>
    <x v="764"/>
    <x v="6"/>
    <x v="0"/>
    <n v="62.5"/>
    <n v="62.5"/>
    <x v="32"/>
    <d v="2025-02-11T00:00:00"/>
    <x v="2"/>
    <x v="0"/>
    <x v="2"/>
    <x v="0"/>
    <x v="3"/>
    <x v="8"/>
    <x v="5"/>
    <x v="2"/>
  </r>
  <r>
    <x v="765"/>
    <x v="1"/>
    <x v="2"/>
    <n v="46.9"/>
    <n v="140.69999999999999"/>
    <x v="32"/>
    <d v="2025-02-03T00:00:00"/>
    <x v="1"/>
    <x v="0"/>
    <x v="2"/>
    <x v="0"/>
    <x v="3"/>
    <x v="3"/>
    <x v="5"/>
    <x v="1"/>
  </r>
  <r>
    <x v="766"/>
    <x v="8"/>
    <x v="2"/>
    <n v="45"/>
    <n v="135"/>
    <x v="32"/>
    <d v="2025-02-16T00:00:00"/>
    <x v="1"/>
    <x v="1"/>
    <x v="0"/>
    <x v="0"/>
    <x v="3"/>
    <x v="12"/>
    <x v="5"/>
    <x v="1"/>
  </r>
  <r>
    <x v="767"/>
    <x v="6"/>
    <x v="2"/>
    <n v="45.2"/>
    <n v="135.60000000000002"/>
    <x v="32"/>
    <d v="2025-02-04T00:00:00"/>
    <x v="1"/>
    <x v="4"/>
    <x v="2"/>
    <x v="0"/>
    <x v="3"/>
    <x v="1"/>
    <x v="5"/>
    <x v="1"/>
  </r>
  <r>
    <x v="768"/>
    <x v="4"/>
    <x v="1"/>
    <n v="60.1"/>
    <n v="120.2"/>
    <x v="32"/>
    <d v="2025-02-03T00:00:00"/>
    <x v="2"/>
    <x v="0"/>
    <x v="2"/>
    <x v="0"/>
    <x v="3"/>
    <x v="3"/>
    <x v="5"/>
    <x v="2"/>
  </r>
  <r>
    <x v="769"/>
    <x v="12"/>
    <x v="12"/>
    <n v="118.7"/>
    <n v="474.8"/>
    <x v="32"/>
    <d v="2025-02-04T00:00:00"/>
    <x v="2"/>
    <x v="0"/>
    <x v="0"/>
    <x v="0"/>
    <x v="3"/>
    <x v="1"/>
    <x v="5"/>
    <x v="2"/>
  </r>
  <r>
    <x v="770"/>
    <x v="9"/>
    <x v="0"/>
    <n v="57.8"/>
    <n v="57.8"/>
    <x v="32"/>
    <d v="2025-02-11T00:00:00"/>
    <x v="2"/>
    <x v="1"/>
    <x v="0"/>
    <x v="0"/>
    <x v="3"/>
    <x v="8"/>
    <x v="5"/>
    <x v="2"/>
  </r>
  <r>
    <x v="771"/>
    <x v="4"/>
    <x v="0"/>
    <n v="19.5"/>
    <n v="19.5"/>
    <x v="32"/>
    <d v="2025-02-03T00:00:00"/>
    <x v="1"/>
    <x v="1"/>
    <x v="1"/>
    <x v="0"/>
    <x v="3"/>
    <x v="3"/>
    <x v="5"/>
    <x v="1"/>
  </r>
  <r>
    <x v="772"/>
    <x v="12"/>
    <x v="0"/>
    <n v="42.6"/>
    <n v="42.6"/>
    <x v="32"/>
    <d v="2025-02-03T00:00:00"/>
    <x v="1"/>
    <x v="0"/>
    <x v="1"/>
    <x v="0"/>
    <x v="3"/>
    <x v="3"/>
    <x v="5"/>
    <x v="1"/>
  </r>
  <r>
    <x v="773"/>
    <x v="6"/>
    <x v="1"/>
    <n v="74.8"/>
    <n v="149.6"/>
    <x v="32"/>
    <d v="2025-02-03T00:00:00"/>
    <x v="2"/>
    <x v="3"/>
    <x v="2"/>
    <x v="0"/>
    <x v="37"/>
    <x v="3"/>
    <x v="5"/>
    <x v="2"/>
  </r>
  <r>
    <x v="774"/>
    <x v="8"/>
    <x v="2"/>
    <n v="32.5"/>
    <n v="97.5"/>
    <x v="32"/>
    <d v="2025-02-03T00:00:00"/>
    <x v="1"/>
    <x v="2"/>
    <x v="4"/>
    <x v="0"/>
    <x v="16"/>
    <x v="3"/>
    <x v="5"/>
    <x v="1"/>
  </r>
  <r>
    <x v="775"/>
    <x v="2"/>
    <x v="2"/>
    <n v="60.5"/>
    <n v="181.5"/>
    <x v="32"/>
    <d v="2025-02-02T00:00:00"/>
    <x v="2"/>
    <x v="1"/>
    <x v="2"/>
    <x v="0"/>
    <x v="25"/>
    <x v="7"/>
    <x v="5"/>
    <x v="2"/>
  </r>
  <r>
    <x v="776"/>
    <x v="1"/>
    <x v="3"/>
    <n v="57.2"/>
    <n v="400.40000000000003"/>
    <x v="32"/>
    <d v="2025-02-04T00:00:00"/>
    <x v="0"/>
    <x v="2"/>
    <x v="0"/>
    <x v="0"/>
    <x v="25"/>
    <x v="1"/>
    <x v="5"/>
    <x v="0"/>
  </r>
  <r>
    <x v="777"/>
    <x v="16"/>
    <x v="1"/>
    <n v="112"/>
    <n v="224"/>
    <x v="32"/>
    <d v="2025-02-03T00:00:00"/>
    <x v="2"/>
    <x v="1"/>
    <x v="1"/>
    <x v="0"/>
    <x v="5"/>
    <x v="3"/>
    <x v="5"/>
    <x v="2"/>
  </r>
  <r>
    <x v="778"/>
    <x v="7"/>
    <x v="7"/>
    <n v="49"/>
    <n v="490"/>
    <x v="32"/>
    <d v="2025-02-03T00:00:00"/>
    <x v="3"/>
    <x v="2"/>
    <x v="1"/>
    <x v="0"/>
    <x v="6"/>
    <x v="3"/>
    <x v="5"/>
    <x v="3"/>
  </r>
  <r>
    <x v="779"/>
    <x v="0"/>
    <x v="1"/>
    <n v="33.700000000000003"/>
    <n v="67.400000000000006"/>
    <x v="32"/>
    <d v="2025-02-06T00:00:00"/>
    <x v="2"/>
    <x v="3"/>
    <x v="0"/>
    <x v="0"/>
    <x v="6"/>
    <x v="5"/>
    <x v="5"/>
    <x v="2"/>
  </r>
  <r>
    <x v="780"/>
    <x v="4"/>
    <x v="2"/>
    <n v="35.6"/>
    <n v="106.80000000000001"/>
    <x v="32"/>
    <d v="2025-02-05T00:00:00"/>
    <x v="2"/>
    <x v="0"/>
    <x v="2"/>
    <x v="0"/>
    <x v="6"/>
    <x v="2"/>
    <x v="5"/>
    <x v="2"/>
  </r>
  <r>
    <x v="781"/>
    <x v="4"/>
    <x v="36"/>
    <n v="30.4"/>
    <n v="1064"/>
    <x v="33"/>
    <d v="2025-02-03T00:00:00"/>
    <x v="2"/>
    <x v="0"/>
    <x v="1"/>
    <x v="0"/>
    <x v="7"/>
    <x v="7"/>
    <x v="5"/>
    <x v="2"/>
  </r>
  <r>
    <x v="782"/>
    <x v="10"/>
    <x v="4"/>
    <n v="50.2"/>
    <n v="602.40000000000009"/>
    <x v="33"/>
    <d v="2025-02-04T00:00:00"/>
    <x v="1"/>
    <x v="4"/>
    <x v="0"/>
    <x v="0"/>
    <x v="8"/>
    <x v="3"/>
    <x v="5"/>
    <x v="1"/>
  </r>
  <r>
    <x v="783"/>
    <x v="1"/>
    <x v="1"/>
    <n v="43.7"/>
    <n v="87.4"/>
    <x v="33"/>
    <d v="2025-02-05T00:00:00"/>
    <x v="2"/>
    <x v="0"/>
    <x v="0"/>
    <x v="0"/>
    <x v="8"/>
    <x v="1"/>
    <x v="5"/>
    <x v="2"/>
  </r>
  <r>
    <x v="784"/>
    <x v="10"/>
    <x v="0"/>
    <n v="33.299999999999997"/>
    <n v="33.299999999999997"/>
    <x v="33"/>
    <d v="2025-02-04T00:00:00"/>
    <x v="2"/>
    <x v="2"/>
    <x v="1"/>
    <x v="0"/>
    <x v="8"/>
    <x v="3"/>
    <x v="5"/>
    <x v="2"/>
  </r>
  <r>
    <x v="785"/>
    <x v="8"/>
    <x v="12"/>
    <n v="15.1"/>
    <n v="60.4"/>
    <x v="33"/>
    <d v="2025-02-05T00:00:00"/>
    <x v="2"/>
    <x v="4"/>
    <x v="2"/>
    <x v="0"/>
    <x v="8"/>
    <x v="1"/>
    <x v="5"/>
    <x v="2"/>
  </r>
  <r>
    <x v="786"/>
    <x v="6"/>
    <x v="9"/>
    <n v="118.2"/>
    <n v="591"/>
    <x v="33"/>
    <d v="2025-02-04T00:00:00"/>
    <x v="2"/>
    <x v="3"/>
    <x v="4"/>
    <x v="0"/>
    <x v="8"/>
    <x v="3"/>
    <x v="5"/>
    <x v="2"/>
  </r>
  <r>
    <x v="787"/>
    <x v="10"/>
    <x v="2"/>
    <n v="28.9"/>
    <n v="86.699999999999989"/>
    <x v="33"/>
    <d v="2025-02-05T00:00:00"/>
    <x v="2"/>
    <x v="2"/>
    <x v="1"/>
    <x v="0"/>
    <x v="8"/>
    <x v="1"/>
    <x v="5"/>
    <x v="2"/>
  </r>
  <r>
    <x v="788"/>
    <x v="4"/>
    <x v="2"/>
    <n v="55.6"/>
    <n v="166.8"/>
    <x v="33"/>
    <d v="2025-02-04T00:00:00"/>
    <x v="1"/>
    <x v="0"/>
    <x v="1"/>
    <x v="0"/>
    <x v="8"/>
    <x v="3"/>
    <x v="5"/>
    <x v="1"/>
  </r>
  <r>
    <x v="789"/>
    <x v="9"/>
    <x v="12"/>
    <n v="25.6"/>
    <n v="102.4"/>
    <x v="33"/>
    <d v="2025-02-05T00:00:00"/>
    <x v="2"/>
    <x v="0"/>
    <x v="1"/>
    <x v="0"/>
    <x v="8"/>
    <x v="1"/>
    <x v="5"/>
    <x v="2"/>
  </r>
  <r>
    <x v="790"/>
    <x v="7"/>
    <x v="2"/>
    <n v="31.3"/>
    <n v="93.9"/>
    <x v="33"/>
    <d v="2025-02-04T00:00:00"/>
    <x v="1"/>
    <x v="0"/>
    <x v="0"/>
    <x v="0"/>
    <x v="17"/>
    <x v="3"/>
    <x v="5"/>
    <x v="1"/>
  </r>
  <r>
    <x v="791"/>
    <x v="0"/>
    <x v="2"/>
    <n v="22.1"/>
    <n v="66.300000000000011"/>
    <x v="33"/>
    <d v="2025-02-07T00:00:00"/>
    <x v="1"/>
    <x v="0"/>
    <x v="0"/>
    <x v="0"/>
    <x v="17"/>
    <x v="5"/>
    <x v="5"/>
    <x v="1"/>
  </r>
  <r>
    <x v="792"/>
    <x v="2"/>
    <x v="21"/>
    <n v="99.4"/>
    <n v="1391.6000000000001"/>
    <x v="33"/>
    <d v="2025-02-04T00:00:00"/>
    <x v="1"/>
    <x v="1"/>
    <x v="0"/>
    <x v="0"/>
    <x v="11"/>
    <x v="3"/>
    <x v="5"/>
    <x v="1"/>
  </r>
  <r>
    <x v="793"/>
    <x v="7"/>
    <x v="13"/>
    <n v="66.599999999999994"/>
    <n v="399.59999999999997"/>
    <x v="33"/>
    <d v="2025-02-04T00:00:00"/>
    <x v="2"/>
    <x v="0"/>
    <x v="0"/>
    <x v="0"/>
    <x v="11"/>
    <x v="3"/>
    <x v="5"/>
    <x v="2"/>
  </r>
  <r>
    <x v="794"/>
    <x v="8"/>
    <x v="1"/>
    <n v="22.6"/>
    <n v="45.2"/>
    <x v="33"/>
    <d v="2025-02-06T00:00:00"/>
    <x v="1"/>
    <x v="0"/>
    <x v="0"/>
    <x v="0"/>
    <x v="11"/>
    <x v="2"/>
    <x v="5"/>
    <x v="1"/>
  </r>
  <r>
    <x v="795"/>
    <x v="2"/>
    <x v="16"/>
    <n v="66.8"/>
    <n v="1202.3999999999999"/>
    <x v="33"/>
    <d v="2025-02-04T00:00:00"/>
    <x v="2"/>
    <x v="0"/>
    <x v="4"/>
    <x v="0"/>
    <x v="13"/>
    <x v="3"/>
    <x v="5"/>
    <x v="2"/>
  </r>
  <r>
    <x v="796"/>
    <x v="0"/>
    <x v="12"/>
    <n v="20.8"/>
    <n v="83.2"/>
    <x v="33"/>
    <d v="2025-02-10T00:00:00"/>
    <x v="1"/>
    <x v="1"/>
    <x v="4"/>
    <x v="0"/>
    <x v="1"/>
    <x v="6"/>
    <x v="5"/>
    <x v="1"/>
  </r>
  <r>
    <x v="797"/>
    <x v="2"/>
    <x v="3"/>
    <n v="102.5"/>
    <n v="717.5"/>
    <x v="33"/>
    <d v="2025-02-04T00:00:00"/>
    <x v="2"/>
    <x v="4"/>
    <x v="2"/>
    <x v="0"/>
    <x v="3"/>
    <x v="3"/>
    <x v="5"/>
    <x v="2"/>
  </r>
  <r>
    <x v="798"/>
    <x v="0"/>
    <x v="16"/>
    <n v="24.8"/>
    <n v="446.40000000000003"/>
    <x v="33"/>
    <d v="2025-02-07T00:00:00"/>
    <x v="2"/>
    <x v="0"/>
    <x v="0"/>
    <x v="0"/>
    <x v="3"/>
    <x v="5"/>
    <x v="5"/>
    <x v="2"/>
  </r>
  <r>
    <x v="799"/>
    <x v="4"/>
    <x v="37"/>
    <n v="31.4"/>
    <n v="973.4"/>
    <x v="33"/>
    <d v="2025-02-04T00:00:00"/>
    <x v="2"/>
    <x v="3"/>
    <x v="0"/>
    <x v="0"/>
    <x v="3"/>
    <x v="3"/>
    <x v="5"/>
    <x v="2"/>
  </r>
  <r>
    <x v="800"/>
    <x v="9"/>
    <x v="9"/>
    <n v="59.3"/>
    <n v="296.5"/>
    <x v="33"/>
    <d v="2025-02-06T00:00:00"/>
    <x v="1"/>
    <x v="1"/>
    <x v="2"/>
    <x v="0"/>
    <x v="43"/>
    <x v="2"/>
    <x v="5"/>
    <x v="1"/>
  </r>
  <r>
    <x v="801"/>
    <x v="11"/>
    <x v="13"/>
    <n v="39"/>
    <n v="234"/>
    <x v="33"/>
    <d v="2025-02-06T00:00:00"/>
    <x v="1"/>
    <x v="1"/>
    <x v="0"/>
    <x v="0"/>
    <x v="6"/>
    <x v="2"/>
    <x v="5"/>
    <x v="1"/>
  </r>
  <r>
    <x v="802"/>
    <x v="5"/>
    <x v="13"/>
    <n v="98.6"/>
    <n v="591.59999999999991"/>
    <x v="33"/>
    <d v="2025-02-05T00:00:00"/>
    <x v="2"/>
    <x v="1"/>
    <x v="0"/>
    <x v="0"/>
    <x v="6"/>
    <x v="1"/>
    <x v="5"/>
    <x v="2"/>
  </r>
  <r>
    <x v="803"/>
    <x v="8"/>
    <x v="0"/>
    <n v="20"/>
    <n v="20"/>
    <x v="34"/>
    <d v="2025-02-05T00:00:00"/>
    <x v="1"/>
    <x v="3"/>
    <x v="2"/>
    <x v="0"/>
    <x v="8"/>
    <x v="3"/>
    <x v="5"/>
    <x v="1"/>
  </r>
  <r>
    <x v="804"/>
    <x v="1"/>
    <x v="1"/>
    <n v="42.9"/>
    <n v="85.8"/>
    <x v="34"/>
    <d v="2025-02-06T00:00:00"/>
    <x v="2"/>
    <x v="0"/>
    <x v="2"/>
    <x v="0"/>
    <x v="8"/>
    <x v="1"/>
    <x v="5"/>
    <x v="2"/>
  </r>
  <r>
    <x v="805"/>
    <x v="7"/>
    <x v="3"/>
    <n v="55.6"/>
    <n v="389.2"/>
    <x v="34"/>
    <d v="2025-02-06T00:00:00"/>
    <x v="2"/>
    <x v="2"/>
    <x v="1"/>
    <x v="0"/>
    <x v="8"/>
    <x v="1"/>
    <x v="5"/>
    <x v="2"/>
  </r>
  <r>
    <x v="806"/>
    <x v="8"/>
    <x v="12"/>
    <n v="19.2"/>
    <n v="76.8"/>
    <x v="34"/>
    <d v="2025-02-09T00:00:00"/>
    <x v="2"/>
    <x v="0"/>
    <x v="0"/>
    <x v="0"/>
    <x v="41"/>
    <x v="0"/>
    <x v="5"/>
    <x v="2"/>
  </r>
  <r>
    <x v="807"/>
    <x v="5"/>
    <x v="1"/>
    <n v="28.8"/>
    <n v="57.6"/>
    <x v="34"/>
    <d v="2025-02-06T00:00:00"/>
    <x v="1"/>
    <x v="1"/>
    <x v="0"/>
    <x v="0"/>
    <x v="18"/>
    <x v="1"/>
    <x v="5"/>
    <x v="1"/>
  </r>
  <r>
    <x v="808"/>
    <x v="4"/>
    <x v="0"/>
    <n v="29.7"/>
    <n v="29.7"/>
    <x v="34"/>
    <d v="2025-02-06T00:00:00"/>
    <x v="2"/>
    <x v="2"/>
    <x v="4"/>
    <x v="0"/>
    <x v="20"/>
    <x v="1"/>
    <x v="5"/>
    <x v="2"/>
  </r>
  <r>
    <x v="809"/>
    <x v="6"/>
    <x v="13"/>
    <n v="63.3"/>
    <n v="379.79999999999995"/>
    <x v="34"/>
    <d v="2025-02-05T00:00:00"/>
    <x v="0"/>
    <x v="0"/>
    <x v="2"/>
    <x v="0"/>
    <x v="21"/>
    <x v="3"/>
    <x v="5"/>
    <x v="0"/>
  </r>
  <r>
    <x v="810"/>
    <x v="4"/>
    <x v="0"/>
    <n v="46"/>
    <n v="46"/>
    <x v="34"/>
    <d v="2025-02-05T00:00:00"/>
    <x v="2"/>
    <x v="0"/>
    <x v="2"/>
    <x v="0"/>
    <x v="21"/>
    <x v="3"/>
    <x v="5"/>
    <x v="2"/>
  </r>
  <r>
    <x v="811"/>
    <x v="11"/>
    <x v="2"/>
    <n v="38"/>
    <n v="114"/>
    <x v="34"/>
    <d v="2025-02-06T00:00:00"/>
    <x v="2"/>
    <x v="1"/>
    <x v="2"/>
    <x v="0"/>
    <x v="21"/>
    <x v="1"/>
    <x v="5"/>
    <x v="2"/>
  </r>
  <r>
    <x v="812"/>
    <x v="10"/>
    <x v="15"/>
    <n v="34.6"/>
    <n v="449.8"/>
    <x v="34"/>
    <d v="2025-02-06T00:00:00"/>
    <x v="2"/>
    <x v="0"/>
    <x v="1"/>
    <x v="0"/>
    <x v="21"/>
    <x v="1"/>
    <x v="5"/>
    <x v="2"/>
  </r>
  <r>
    <x v="813"/>
    <x v="3"/>
    <x v="7"/>
    <n v="79.7"/>
    <n v="797"/>
    <x v="34"/>
    <d v="2025-02-05T00:00:00"/>
    <x v="2"/>
    <x v="4"/>
    <x v="1"/>
    <x v="0"/>
    <x v="21"/>
    <x v="3"/>
    <x v="5"/>
    <x v="2"/>
  </r>
  <r>
    <x v="814"/>
    <x v="8"/>
    <x v="8"/>
    <n v="30.5"/>
    <n v="244"/>
    <x v="34"/>
    <d v="2025-02-08T00:00:00"/>
    <x v="1"/>
    <x v="3"/>
    <x v="0"/>
    <x v="0"/>
    <x v="1"/>
    <x v="5"/>
    <x v="5"/>
    <x v="1"/>
  </r>
  <r>
    <x v="815"/>
    <x v="0"/>
    <x v="1"/>
    <n v="20.8"/>
    <n v="41.6"/>
    <x v="34"/>
    <d v="2025-02-05T00:00:00"/>
    <x v="2"/>
    <x v="0"/>
    <x v="0"/>
    <x v="0"/>
    <x v="2"/>
    <x v="3"/>
    <x v="5"/>
    <x v="2"/>
  </r>
  <r>
    <x v="816"/>
    <x v="11"/>
    <x v="3"/>
    <n v="48.5"/>
    <n v="339.5"/>
    <x v="34"/>
    <d v="2025-02-08T00:00:00"/>
    <x v="2"/>
    <x v="2"/>
    <x v="2"/>
    <x v="0"/>
    <x v="2"/>
    <x v="5"/>
    <x v="5"/>
    <x v="2"/>
  </r>
  <r>
    <x v="817"/>
    <x v="2"/>
    <x v="12"/>
    <n v="61.8"/>
    <n v="247.2"/>
    <x v="34"/>
    <d v="2025-02-08T00:00:00"/>
    <x v="2"/>
    <x v="4"/>
    <x v="0"/>
    <x v="0"/>
    <x v="22"/>
    <x v="5"/>
    <x v="5"/>
    <x v="2"/>
  </r>
  <r>
    <x v="818"/>
    <x v="10"/>
    <x v="0"/>
    <n v="46.1"/>
    <n v="46.1"/>
    <x v="34"/>
    <d v="2025-02-05T00:00:00"/>
    <x v="3"/>
    <x v="2"/>
    <x v="0"/>
    <x v="0"/>
    <x v="3"/>
    <x v="3"/>
    <x v="5"/>
    <x v="3"/>
  </r>
  <r>
    <x v="819"/>
    <x v="4"/>
    <x v="13"/>
    <n v="44"/>
    <n v="264"/>
    <x v="34"/>
    <d v="2025-02-05T00:00:00"/>
    <x v="2"/>
    <x v="0"/>
    <x v="0"/>
    <x v="0"/>
    <x v="3"/>
    <x v="3"/>
    <x v="5"/>
    <x v="2"/>
  </r>
  <r>
    <x v="820"/>
    <x v="18"/>
    <x v="1"/>
    <n v="95.7"/>
    <n v="191.4"/>
    <x v="34"/>
    <d v="2025-02-10T00:00:00"/>
    <x v="2"/>
    <x v="3"/>
    <x v="2"/>
    <x v="0"/>
    <x v="3"/>
    <x v="4"/>
    <x v="5"/>
    <x v="2"/>
  </r>
  <r>
    <x v="821"/>
    <x v="7"/>
    <x v="9"/>
    <n v="46.4"/>
    <n v="232"/>
    <x v="34"/>
    <d v="2025-02-07T00:00:00"/>
    <x v="2"/>
    <x v="0"/>
    <x v="0"/>
    <x v="0"/>
    <x v="3"/>
    <x v="2"/>
    <x v="5"/>
    <x v="2"/>
  </r>
  <r>
    <x v="822"/>
    <x v="6"/>
    <x v="1"/>
    <n v="47.2"/>
    <n v="94.4"/>
    <x v="34"/>
    <d v="2025-02-06T00:00:00"/>
    <x v="2"/>
    <x v="0"/>
    <x v="2"/>
    <x v="0"/>
    <x v="3"/>
    <x v="1"/>
    <x v="5"/>
    <x v="2"/>
  </r>
  <r>
    <x v="823"/>
    <x v="7"/>
    <x v="1"/>
    <n v="58.6"/>
    <n v="117.2"/>
    <x v="34"/>
    <d v="2025-02-05T00:00:00"/>
    <x v="2"/>
    <x v="2"/>
    <x v="1"/>
    <x v="0"/>
    <x v="3"/>
    <x v="3"/>
    <x v="5"/>
    <x v="2"/>
  </r>
  <r>
    <x v="824"/>
    <x v="4"/>
    <x v="2"/>
    <n v="57"/>
    <n v="171"/>
    <x v="34"/>
    <d v="2025-02-05T00:00:00"/>
    <x v="1"/>
    <x v="0"/>
    <x v="2"/>
    <x v="0"/>
    <x v="3"/>
    <x v="3"/>
    <x v="5"/>
    <x v="1"/>
  </r>
  <r>
    <x v="825"/>
    <x v="8"/>
    <x v="12"/>
    <n v="28.9"/>
    <n v="115.6"/>
    <x v="34"/>
    <d v="2025-02-08T00:00:00"/>
    <x v="1"/>
    <x v="2"/>
    <x v="0"/>
    <x v="0"/>
    <x v="3"/>
    <x v="5"/>
    <x v="5"/>
    <x v="1"/>
  </r>
  <r>
    <x v="826"/>
    <x v="12"/>
    <x v="9"/>
    <n v="60.7"/>
    <n v="303.5"/>
    <x v="34"/>
    <d v="2025-02-08T00:00:00"/>
    <x v="0"/>
    <x v="1"/>
    <x v="1"/>
    <x v="0"/>
    <x v="3"/>
    <x v="5"/>
    <x v="5"/>
    <x v="0"/>
  </r>
  <r>
    <x v="827"/>
    <x v="6"/>
    <x v="9"/>
    <n v="60.8"/>
    <n v="304"/>
    <x v="34"/>
    <d v="2025-02-08T00:00:00"/>
    <x v="1"/>
    <x v="0"/>
    <x v="1"/>
    <x v="0"/>
    <x v="3"/>
    <x v="5"/>
    <x v="5"/>
    <x v="1"/>
  </r>
  <r>
    <x v="828"/>
    <x v="6"/>
    <x v="9"/>
    <n v="64.599999999999994"/>
    <n v="323"/>
    <x v="34"/>
    <d v="2025-02-05T00:00:00"/>
    <x v="2"/>
    <x v="3"/>
    <x v="0"/>
    <x v="0"/>
    <x v="3"/>
    <x v="3"/>
    <x v="5"/>
    <x v="2"/>
  </r>
  <r>
    <x v="829"/>
    <x v="8"/>
    <x v="0"/>
    <n v="21.9"/>
    <n v="21.9"/>
    <x v="34"/>
    <d v="2025-02-07T00:00:00"/>
    <x v="1"/>
    <x v="1"/>
    <x v="2"/>
    <x v="0"/>
    <x v="4"/>
    <x v="2"/>
    <x v="5"/>
    <x v="1"/>
  </r>
  <r>
    <x v="830"/>
    <x v="4"/>
    <x v="4"/>
    <n v="33.4"/>
    <n v="400.79999999999995"/>
    <x v="34"/>
    <d v="2025-02-06T00:00:00"/>
    <x v="2"/>
    <x v="0"/>
    <x v="0"/>
    <x v="0"/>
    <x v="23"/>
    <x v="1"/>
    <x v="5"/>
    <x v="2"/>
  </r>
  <r>
    <x v="831"/>
    <x v="2"/>
    <x v="0"/>
    <n v="51.7"/>
    <n v="51.7"/>
    <x v="34"/>
    <d v="2025-02-05T00:00:00"/>
    <x v="0"/>
    <x v="0"/>
    <x v="0"/>
    <x v="0"/>
    <x v="6"/>
    <x v="3"/>
    <x v="5"/>
    <x v="0"/>
  </r>
  <r>
    <x v="832"/>
    <x v="1"/>
    <x v="12"/>
    <n v="84.9"/>
    <n v="339.6"/>
    <x v="34"/>
    <d v="2025-02-05T00:00:00"/>
    <x v="2"/>
    <x v="1"/>
    <x v="1"/>
    <x v="0"/>
    <x v="6"/>
    <x v="3"/>
    <x v="5"/>
    <x v="2"/>
  </r>
  <r>
    <x v="833"/>
    <x v="1"/>
    <x v="5"/>
    <n v="62.3"/>
    <n v="685.3"/>
    <x v="34"/>
    <d v="2025-02-05T00:00:00"/>
    <x v="2"/>
    <x v="2"/>
    <x v="2"/>
    <x v="0"/>
    <x v="7"/>
    <x v="3"/>
    <x v="5"/>
    <x v="2"/>
  </r>
  <r>
    <x v="834"/>
    <x v="4"/>
    <x v="0"/>
    <n v="50.7"/>
    <n v="50.7"/>
    <x v="34"/>
    <d v="2025-02-06T00:00:00"/>
    <x v="1"/>
    <x v="2"/>
    <x v="2"/>
    <x v="0"/>
    <x v="8"/>
    <x v="1"/>
    <x v="5"/>
    <x v="1"/>
  </r>
  <r>
    <x v="835"/>
    <x v="18"/>
    <x v="0"/>
    <n v="39.5"/>
    <n v="39.5"/>
    <x v="34"/>
    <d v="2025-02-05T00:00:00"/>
    <x v="1"/>
    <x v="4"/>
    <x v="1"/>
    <x v="0"/>
    <x v="8"/>
    <x v="3"/>
    <x v="5"/>
    <x v="1"/>
  </r>
  <r>
    <x v="836"/>
    <x v="12"/>
    <x v="2"/>
    <n v="30.9"/>
    <n v="92.699999999999989"/>
    <x v="34"/>
    <d v="2025-02-05T00:00:00"/>
    <x v="0"/>
    <x v="4"/>
    <x v="2"/>
    <x v="0"/>
    <x v="8"/>
    <x v="3"/>
    <x v="5"/>
    <x v="0"/>
  </r>
  <r>
    <x v="837"/>
    <x v="1"/>
    <x v="3"/>
    <n v="36.4"/>
    <n v="254.79999999999998"/>
    <x v="34"/>
    <d v="2025-02-07T00:00:00"/>
    <x v="2"/>
    <x v="0"/>
    <x v="2"/>
    <x v="0"/>
    <x v="8"/>
    <x v="2"/>
    <x v="5"/>
    <x v="2"/>
  </r>
  <r>
    <x v="838"/>
    <x v="6"/>
    <x v="8"/>
    <n v="105.6"/>
    <n v="844.8"/>
    <x v="34"/>
    <d v="2025-02-14T00:00:00"/>
    <x v="2"/>
    <x v="0"/>
    <x v="0"/>
    <x v="0"/>
    <x v="8"/>
    <x v="14"/>
    <x v="5"/>
    <x v="2"/>
  </r>
  <r>
    <x v="839"/>
    <x v="8"/>
    <x v="1"/>
    <n v="22.1"/>
    <n v="44.2"/>
    <x v="34"/>
    <d v="2025-02-05T00:00:00"/>
    <x v="2"/>
    <x v="0"/>
    <x v="2"/>
    <x v="0"/>
    <x v="17"/>
    <x v="3"/>
    <x v="5"/>
    <x v="2"/>
  </r>
  <r>
    <x v="840"/>
    <x v="0"/>
    <x v="2"/>
    <n v="22.6"/>
    <n v="67.800000000000011"/>
    <x v="34"/>
    <d v="2025-02-05T00:00:00"/>
    <x v="2"/>
    <x v="2"/>
    <x v="0"/>
    <x v="0"/>
    <x v="17"/>
    <x v="3"/>
    <x v="5"/>
    <x v="2"/>
  </r>
  <r>
    <x v="841"/>
    <x v="10"/>
    <x v="13"/>
    <n v="26.3"/>
    <n v="157.80000000000001"/>
    <x v="34"/>
    <d v="2025-02-04T00:00:00"/>
    <x v="2"/>
    <x v="2"/>
    <x v="0"/>
    <x v="0"/>
    <x v="9"/>
    <x v="7"/>
    <x v="5"/>
    <x v="2"/>
  </r>
  <r>
    <x v="842"/>
    <x v="1"/>
    <x v="12"/>
    <n v="37.799999999999997"/>
    <n v="151.19999999999999"/>
    <x v="34"/>
    <d v="2025-02-05T00:00:00"/>
    <x v="2"/>
    <x v="0"/>
    <x v="2"/>
    <x v="0"/>
    <x v="11"/>
    <x v="3"/>
    <x v="5"/>
    <x v="2"/>
  </r>
  <r>
    <x v="843"/>
    <x v="6"/>
    <x v="14"/>
    <n v="96"/>
    <n v="1632"/>
    <x v="34"/>
    <d v="2025-02-07T00:00:00"/>
    <x v="2"/>
    <x v="4"/>
    <x v="1"/>
    <x v="0"/>
    <x v="18"/>
    <x v="2"/>
    <x v="5"/>
    <x v="2"/>
  </r>
  <r>
    <x v="844"/>
    <x v="1"/>
    <x v="0"/>
    <n v="83.6"/>
    <n v="83.6"/>
    <x v="34"/>
    <d v="2025-02-07T00:00:00"/>
    <x v="2"/>
    <x v="2"/>
    <x v="1"/>
    <x v="0"/>
    <x v="19"/>
    <x v="2"/>
    <x v="5"/>
    <x v="2"/>
  </r>
  <r>
    <x v="845"/>
    <x v="2"/>
    <x v="13"/>
    <n v="72.599999999999994"/>
    <n v="435.59999999999997"/>
    <x v="34"/>
    <d v="2025-02-05T00:00:00"/>
    <x v="2"/>
    <x v="0"/>
    <x v="0"/>
    <x v="0"/>
    <x v="21"/>
    <x v="3"/>
    <x v="5"/>
    <x v="2"/>
  </r>
  <r>
    <x v="846"/>
    <x v="5"/>
    <x v="28"/>
    <n v="69.099999999999994"/>
    <n v="1382"/>
    <x v="35"/>
    <d v="2025-02-11T00:00:00"/>
    <x v="1"/>
    <x v="0"/>
    <x v="2"/>
    <x v="0"/>
    <x v="21"/>
    <x v="4"/>
    <x v="5"/>
    <x v="1"/>
  </r>
  <r>
    <x v="847"/>
    <x v="4"/>
    <x v="1"/>
    <n v="22.6"/>
    <n v="45.2"/>
    <x v="35"/>
    <d v="2025-02-07T00:00:00"/>
    <x v="2"/>
    <x v="1"/>
    <x v="2"/>
    <x v="0"/>
    <x v="21"/>
    <x v="1"/>
    <x v="5"/>
    <x v="2"/>
  </r>
  <r>
    <x v="848"/>
    <x v="6"/>
    <x v="1"/>
    <n v="45.3"/>
    <n v="90.6"/>
    <x v="35"/>
    <d v="2025-02-09T00:00:00"/>
    <x v="1"/>
    <x v="4"/>
    <x v="2"/>
    <x v="0"/>
    <x v="21"/>
    <x v="5"/>
    <x v="5"/>
    <x v="1"/>
  </r>
  <r>
    <x v="849"/>
    <x v="2"/>
    <x v="1"/>
    <n v="115.1"/>
    <n v="230.2"/>
    <x v="35"/>
    <d v="2025-02-06T00:00:00"/>
    <x v="2"/>
    <x v="1"/>
    <x v="0"/>
    <x v="0"/>
    <x v="1"/>
    <x v="3"/>
    <x v="5"/>
    <x v="2"/>
  </r>
  <r>
    <x v="850"/>
    <x v="18"/>
    <x v="12"/>
    <n v="79"/>
    <n v="316"/>
    <x v="35"/>
    <d v="2025-02-07T00:00:00"/>
    <x v="1"/>
    <x v="2"/>
    <x v="4"/>
    <x v="0"/>
    <x v="1"/>
    <x v="1"/>
    <x v="5"/>
    <x v="1"/>
  </r>
  <r>
    <x v="851"/>
    <x v="6"/>
    <x v="9"/>
    <n v="52.8"/>
    <n v="264"/>
    <x v="35"/>
    <d v="2025-02-06T00:00:00"/>
    <x v="2"/>
    <x v="0"/>
    <x v="0"/>
    <x v="0"/>
    <x v="42"/>
    <x v="3"/>
    <x v="5"/>
    <x v="2"/>
  </r>
  <r>
    <x v="852"/>
    <x v="8"/>
    <x v="1"/>
    <n v="34.1"/>
    <n v="68.2"/>
    <x v="35"/>
    <d v="2025-02-06T00:00:00"/>
    <x v="1"/>
    <x v="3"/>
    <x v="2"/>
    <x v="0"/>
    <x v="44"/>
    <x v="3"/>
    <x v="5"/>
    <x v="1"/>
  </r>
  <r>
    <x v="853"/>
    <x v="6"/>
    <x v="9"/>
    <n v="107.9"/>
    <n v="539.5"/>
    <x v="35"/>
    <d v="2025-02-05T00:00:00"/>
    <x v="2"/>
    <x v="0"/>
    <x v="2"/>
    <x v="0"/>
    <x v="50"/>
    <x v="7"/>
    <x v="5"/>
    <x v="2"/>
  </r>
  <r>
    <x v="854"/>
    <x v="8"/>
    <x v="15"/>
    <n v="48.5"/>
    <n v="630.5"/>
    <x v="35"/>
    <d v="2025-02-05T00:00:00"/>
    <x v="1"/>
    <x v="2"/>
    <x v="2"/>
    <x v="0"/>
    <x v="3"/>
    <x v="7"/>
    <x v="5"/>
    <x v="1"/>
  </r>
  <r>
    <x v="855"/>
    <x v="5"/>
    <x v="2"/>
    <n v="34.700000000000003"/>
    <n v="104.10000000000001"/>
    <x v="35"/>
    <d v="2025-02-06T00:00:00"/>
    <x v="0"/>
    <x v="4"/>
    <x v="1"/>
    <x v="0"/>
    <x v="3"/>
    <x v="3"/>
    <x v="5"/>
    <x v="0"/>
  </r>
  <r>
    <x v="856"/>
    <x v="8"/>
    <x v="0"/>
    <n v="16.8"/>
    <n v="16.8"/>
    <x v="35"/>
    <d v="2025-02-07T00:00:00"/>
    <x v="2"/>
    <x v="3"/>
    <x v="0"/>
    <x v="0"/>
    <x v="3"/>
    <x v="1"/>
    <x v="5"/>
    <x v="2"/>
  </r>
  <r>
    <x v="857"/>
    <x v="8"/>
    <x v="13"/>
    <n v="18.3"/>
    <n v="109.80000000000001"/>
    <x v="35"/>
    <d v="2025-02-08T00:00:00"/>
    <x v="2"/>
    <x v="0"/>
    <x v="0"/>
    <x v="0"/>
    <x v="3"/>
    <x v="2"/>
    <x v="5"/>
    <x v="2"/>
  </r>
  <r>
    <x v="858"/>
    <x v="18"/>
    <x v="2"/>
    <n v="55.9"/>
    <n v="167.7"/>
    <x v="35"/>
    <d v="2025-02-11T00:00:00"/>
    <x v="1"/>
    <x v="3"/>
    <x v="1"/>
    <x v="0"/>
    <x v="3"/>
    <x v="4"/>
    <x v="5"/>
    <x v="1"/>
  </r>
  <r>
    <x v="859"/>
    <x v="8"/>
    <x v="2"/>
    <n v="39.200000000000003"/>
    <n v="117.60000000000001"/>
    <x v="35"/>
    <d v="2025-02-07T00:00:00"/>
    <x v="2"/>
    <x v="0"/>
    <x v="1"/>
    <x v="0"/>
    <x v="3"/>
    <x v="1"/>
    <x v="5"/>
    <x v="2"/>
  </r>
  <r>
    <x v="860"/>
    <x v="15"/>
    <x v="12"/>
    <n v="66.5"/>
    <n v="266"/>
    <x v="35"/>
    <d v="2025-02-07T00:00:00"/>
    <x v="0"/>
    <x v="3"/>
    <x v="1"/>
    <x v="0"/>
    <x v="3"/>
    <x v="1"/>
    <x v="5"/>
    <x v="0"/>
  </r>
  <r>
    <x v="861"/>
    <x v="6"/>
    <x v="13"/>
    <n v="52.1"/>
    <n v="312.60000000000002"/>
    <x v="35"/>
    <d v="2025-02-07T00:00:00"/>
    <x v="1"/>
    <x v="1"/>
    <x v="1"/>
    <x v="0"/>
    <x v="16"/>
    <x v="1"/>
    <x v="5"/>
    <x v="1"/>
  </r>
  <r>
    <x v="862"/>
    <x v="8"/>
    <x v="1"/>
    <n v="19"/>
    <n v="38"/>
    <x v="35"/>
    <d v="2025-02-06T00:00:00"/>
    <x v="1"/>
    <x v="4"/>
    <x v="2"/>
    <x v="0"/>
    <x v="6"/>
    <x v="3"/>
    <x v="5"/>
    <x v="1"/>
  </r>
  <r>
    <x v="863"/>
    <x v="7"/>
    <x v="2"/>
    <n v="84.8"/>
    <n v="254.39999999999998"/>
    <x v="35"/>
    <d v="2025-02-07T00:00:00"/>
    <x v="2"/>
    <x v="2"/>
    <x v="0"/>
    <x v="0"/>
    <x v="8"/>
    <x v="1"/>
    <x v="5"/>
    <x v="2"/>
  </r>
  <r>
    <x v="864"/>
    <x v="2"/>
    <x v="12"/>
    <n v="63.9"/>
    <n v="255.6"/>
    <x v="35"/>
    <d v="2025-02-08T00:00:00"/>
    <x v="2"/>
    <x v="0"/>
    <x v="0"/>
    <x v="0"/>
    <x v="8"/>
    <x v="2"/>
    <x v="5"/>
    <x v="2"/>
  </r>
  <r>
    <x v="865"/>
    <x v="2"/>
    <x v="2"/>
    <n v="65.5"/>
    <n v="196.5"/>
    <x v="35"/>
    <d v="2025-02-05T00:00:00"/>
    <x v="2"/>
    <x v="1"/>
    <x v="1"/>
    <x v="0"/>
    <x v="8"/>
    <x v="7"/>
    <x v="5"/>
    <x v="2"/>
  </r>
  <r>
    <x v="866"/>
    <x v="12"/>
    <x v="1"/>
    <n v="116.2"/>
    <n v="232.4"/>
    <x v="35"/>
    <d v="2025-02-11T00:00:00"/>
    <x v="1"/>
    <x v="3"/>
    <x v="0"/>
    <x v="0"/>
    <x v="17"/>
    <x v="4"/>
    <x v="5"/>
    <x v="1"/>
  </r>
  <r>
    <x v="867"/>
    <x v="10"/>
    <x v="12"/>
    <n v="22.9"/>
    <n v="91.6"/>
    <x v="35"/>
    <d v="2025-02-07T00:00:00"/>
    <x v="2"/>
    <x v="2"/>
    <x v="1"/>
    <x v="0"/>
    <x v="38"/>
    <x v="1"/>
    <x v="5"/>
    <x v="2"/>
  </r>
  <r>
    <x v="868"/>
    <x v="10"/>
    <x v="2"/>
    <n v="53.7"/>
    <n v="161.10000000000002"/>
    <x v="35"/>
    <d v="2025-02-06T00:00:00"/>
    <x v="1"/>
    <x v="0"/>
    <x v="4"/>
    <x v="0"/>
    <x v="18"/>
    <x v="3"/>
    <x v="5"/>
    <x v="1"/>
  </r>
  <r>
    <x v="869"/>
    <x v="6"/>
    <x v="9"/>
    <n v="43.2"/>
    <n v="216"/>
    <x v="35"/>
    <d v="2025-02-07T00:00:00"/>
    <x v="2"/>
    <x v="0"/>
    <x v="0"/>
    <x v="0"/>
    <x v="19"/>
    <x v="1"/>
    <x v="5"/>
    <x v="2"/>
  </r>
  <r>
    <x v="870"/>
    <x v="1"/>
    <x v="2"/>
    <n v="84.5"/>
    <n v="253.5"/>
    <x v="35"/>
    <d v="2025-02-07T00:00:00"/>
    <x v="1"/>
    <x v="2"/>
    <x v="2"/>
    <x v="0"/>
    <x v="51"/>
    <x v="1"/>
    <x v="5"/>
    <x v="1"/>
  </r>
  <r>
    <x v="871"/>
    <x v="3"/>
    <x v="1"/>
    <n v="42.2"/>
    <n v="84.4"/>
    <x v="35"/>
    <d v="2025-02-06T00:00:00"/>
    <x v="2"/>
    <x v="1"/>
    <x v="2"/>
    <x v="0"/>
    <x v="1"/>
    <x v="3"/>
    <x v="5"/>
    <x v="2"/>
  </r>
  <r>
    <x v="872"/>
    <x v="2"/>
    <x v="13"/>
    <n v="94.7"/>
    <n v="568.20000000000005"/>
    <x v="35"/>
    <d v="2025-02-08T00:00:00"/>
    <x v="2"/>
    <x v="1"/>
    <x v="2"/>
    <x v="0"/>
    <x v="2"/>
    <x v="2"/>
    <x v="5"/>
    <x v="2"/>
  </r>
  <r>
    <x v="873"/>
    <x v="8"/>
    <x v="16"/>
    <n v="16.7"/>
    <n v="300.59999999999997"/>
    <x v="35"/>
    <d v="2025-02-17T00:00:00"/>
    <x v="2"/>
    <x v="0"/>
    <x v="2"/>
    <x v="0"/>
    <x v="2"/>
    <x v="13"/>
    <x v="5"/>
    <x v="2"/>
  </r>
  <r>
    <x v="874"/>
    <x v="2"/>
    <x v="1"/>
    <n v="83.6"/>
    <n v="167.2"/>
    <x v="35"/>
    <d v="2025-02-11T00:00:00"/>
    <x v="2"/>
    <x v="1"/>
    <x v="0"/>
    <x v="0"/>
    <x v="3"/>
    <x v="4"/>
    <x v="5"/>
    <x v="2"/>
  </r>
  <r>
    <x v="875"/>
    <x v="7"/>
    <x v="13"/>
    <n v="33.6"/>
    <n v="201.60000000000002"/>
    <x v="36"/>
    <d v="2025-02-07T00:00:00"/>
    <x v="2"/>
    <x v="3"/>
    <x v="0"/>
    <x v="0"/>
    <x v="3"/>
    <x v="3"/>
    <x v="5"/>
    <x v="2"/>
  </r>
  <r>
    <x v="876"/>
    <x v="7"/>
    <x v="1"/>
    <n v="64.7"/>
    <n v="129.4"/>
    <x v="36"/>
    <d v="2025-02-08T00:00:00"/>
    <x v="1"/>
    <x v="1"/>
    <x v="2"/>
    <x v="0"/>
    <x v="3"/>
    <x v="1"/>
    <x v="5"/>
    <x v="1"/>
  </r>
  <r>
    <x v="877"/>
    <x v="0"/>
    <x v="2"/>
    <n v="15.7"/>
    <n v="47.099999999999994"/>
    <x v="36"/>
    <d v="2025-02-12T00:00:00"/>
    <x v="2"/>
    <x v="0"/>
    <x v="0"/>
    <x v="0"/>
    <x v="3"/>
    <x v="4"/>
    <x v="5"/>
    <x v="2"/>
  </r>
  <r>
    <x v="878"/>
    <x v="15"/>
    <x v="13"/>
    <n v="49.4"/>
    <n v="296.39999999999998"/>
    <x v="36"/>
    <d v="2025-02-06T00:00:00"/>
    <x v="1"/>
    <x v="1"/>
    <x v="0"/>
    <x v="0"/>
    <x v="3"/>
    <x v="7"/>
    <x v="5"/>
    <x v="1"/>
  </r>
  <r>
    <x v="879"/>
    <x v="10"/>
    <x v="13"/>
    <n v="37"/>
    <n v="222"/>
    <x v="36"/>
    <d v="2025-02-09T00:00:00"/>
    <x v="2"/>
    <x v="1"/>
    <x v="2"/>
    <x v="0"/>
    <x v="3"/>
    <x v="2"/>
    <x v="5"/>
    <x v="2"/>
  </r>
  <r>
    <x v="880"/>
    <x v="2"/>
    <x v="1"/>
    <n v="83.7"/>
    <n v="167.4"/>
    <x v="36"/>
    <d v="2025-02-08T00:00:00"/>
    <x v="2"/>
    <x v="3"/>
    <x v="2"/>
    <x v="0"/>
    <x v="3"/>
    <x v="1"/>
    <x v="5"/>
    <x v="2"/>
  </r>
  <r>
    <x v="881"/>
    <x v="1"/>
    <x v="9"/>
    <n v="35.1"/>
    <n v="175.5"/>
    <x v="36"/>
    <d v="2025-02-07T00:00:00"/>
    <x v="2"/>
    <x v="0"/>
    <x v="0"/>
    <x v="0"/>
    <x v="3"/>
    <x v="3"/>
    <x v="5"/>
    <x v="2"/>
  </r>
  <r>
    <x v="882"/>
    <x v="16"/>
    <x v="8"/>
    <n v="74"/>
    <n v="592"/>
    <x v="36"/>
    <d v="2025-02-07T00:00:00"/>
    <x v="2"/>
    <x v="4"/>
    <x v="0"/>
    <x v="0"/>
    <x v="37"/>
    <x v="3"/>
    <x v="5"/>
    <x v="2"/>
  </r>
  <r>
    <x v="883"/>
    <x v="6"/>
    <x v="25"/>
    <n v="55.5"/>
    <n v="1332"/>
    <x v="36"/>
    <d v="2025-02-09T00:00:00"/>
    <x v="1"/>
    <x v="3"/>
    <x v="0"/>
    <x v="0"/>
    <x v="49"/>
    <x v="2"/>
    <x v="5"/>
    <x v="1"/>
  </r>
  <r>
    <x v="884"/>
    <x v="11"/>
    <x v="1"/>
    <n v="38.9"/>
    <n v="77.8"/>
    <x v="36"/>
    <d v="2025-02-08T00:00:00"/>
    <x v="2"/>
    <x v="1"/>
    <x v="2"/>
    <x v="0"/>
    <x v="25"/>
    <x v="1"/>
    <x v="5"/>
    <x v="2"/>
  </r>
  <r>
    <x v="885"/>
    <x v="16"/>
    <x v="1"/>
    <n v="64.599999999999994"/>
    <n v="129.19999999999999"/>
    <x v="36"/>
    <d v="2025-02-13T00:00:00"/>
    <x v="1"/>
    <x v="2"/>
    <x v="1"/>
    <x v="0"/>
    <x v="25"/>
    <x v="6"/>
    <x v="5"/>
    <x v="1"/>
  </r>
  <r>
    <x v="886"/>
    <x v="2"/>
    <x v="2"/>
    <n v="95.3"/>
    <n v="285.89999999999998"/>
    <x v="36"/>
    <d v="2025-02-07T00:00:00"/>
    <x v="1"/>
    <x v="0"/>
    <x v="0"/>
    <x v="0"/>
    <x v="5"/>
    <x v="3"/>
    <x v="5"/>
    <x v="1"/>
  </r>
  <r>
    <x v="887"/>
    <x v="13"/>
    <x v="2"/>
    <n v="25.8"/>
    <n v="77.400000000000006"/>
    <x v="36"/>
    <d v="2025-02-07T00:00:00"/>
    <x v="2"/>
    <x v="1"/>
    <x v="1"/>
    <x v="0"/>
    <x v="6"/>
    <x v="3"/>
    <x v="5"/>
    <x v="2"/>
  </r>
  <r>
    <x v="888"/>
    <x v="0"/>
    <x v="1"/>
    <n v="11.6"/>
    <n v="23.2"/>
    <x v="36"/>
    <d v="2025-02-10T00:00:00"/>
    <x v="2"/>
    <x v="1"/>
    <x v="1"/>
    <x v="0"/>
    <x v="6"/>
    <x v="5"/>
    <x v="5"/>
    <x v="2"/>
  </r>
  <r>
    <x v="889"/>
    <x v="7"/>
    <x v="0"/>
    <n v="52.3"/>
    <n v="52.3"/>
    <x v="36"/>
    <d v="2025-02-07T00:00:00"/>
    <x v="2"/>
    <x v="1"/>
    <x v="0"/>
    <x v="0"/>
    <x v="8"/>
    <x v="3"/>
    <x v="5"/>
    <x v="2"/>
  </r>
  <r>
    <x v="890"/>
    <x v="2"/>
    <x v="7"/>
    <n v="112.2"/>
    <n v="1122"/>
    <x v="36"/>
    <d v="2025-02-07T00:00:00"/>
    <x v="2"/>
    <x v="1"/>
    <x v="1"/>
    <x v="0"/>
    <x v="8"/>
    <x v="3"/>
    <x v="5"/>
    <x v="2"/>
  </r>
  <r>
    <x v="891"/>
    <x v="4"/>
    <x v="9"/>
    <n v="34.6"/>
    <n v="173"/>
    <x v="36"/>
    <d v="2025-02-08T00:00:00"/>
    <x v="1"/>
    <x v="2"/>
    <x v="0"/>
    <x v="0"/>
    <x v="8"/>
    <x v="1"/>
    <x v="5"/>
    <x v="1"/>
  </r>
  <r>
    <x v="892"/>
    <x v="14"/>
    <x v="12"/>
    <n v="20.100000000000001"/>
    <n v="80.400000000000006"/>
    <x v="36"/>
    <d v="2025-02-12T00:00:00"/>
    <x v="1"/>
    <x v="1"/>
    <x v="2"/>
    <x v="0"/>
    <x v="8"/>
    <x v="4"/>
    <x v="5"/>
    <x v="1"/>
  </r>
  <r>
    <x v="893"/>
    <x v="2"/>
    <x v="12"/>
    <n v="56.4"/>
    <n v="225.6"/>
    <x v="36"/>
    <d v="2025-02-08T00:00:00"/>
    <x v="2"/>
    <x v="2"/>
    <x v="0"/>
    <x v="0"/>
    <x v="10"/>
    <x v="1"/>
    <x v="5"/>
    <x v="2"/>
  </r>
  <r>
    <x v="894"/>
    <x v="13"/>
    <x v="11"/>
    <n v="55.3"/>
    <n v="497.7"/>
    <x v="36"/>
    <d v="2025-02-08T00:00:00"/>
    <x v="2"/>
    <x v="1"/>
    <x v="4"/>
    <x v="0"/>
    <x v="11"/>
    <x v="1"/>
    <x v="5"/>
    <x v="2"/>
  </r>
  <r>
    <x v="895"/>
    <x v="2"/>
    <x v="31"/>
    <n v="75.5"/>
    <n v="2114"/>
    <x v="36"/>
    <d v="2025-02-07T00:00:00"/>
    <x v="2"/>
    <x v="0"/>
    <x v="0"/>
    <x v="0"/>
    <x v="11"/>
    <x v="3"/>
    <x v="5"/>
    <x v="2"/>
  </r>
  <r>
    <x v="896"/>
    <x v="8"/>
    <x v="0"/>
    <n v="23.6"/>
    <n v="23.6"/>
    <x v="36"/>
    <d v="2025-02-11T00:00:00"/>
    <x v="2"/>
    <x v="0"/>
    <x v="0"/>
    <x v="0"/>
    <x v="19"/>
    <x v="0"/>
    <x v="5"/>
    <x v="2"/>
  </r>
  <r>
    <x v="897"/>
    <x v="9"/>
    <x v="1"/>
    <n v="70.7"/>
    <n v="141.4"/>
    <x v="36"/>
    <d v="2025-02-08T00:00:00"/>
    <x v="2"/>
    <x v="2"/>
    <x v="0"/>
    <x v="0"/>
    <x v="19"/>
    <x v="1"/>
    <x v="5"/>
    <x v="2"/>
  </r>
  <r>
    <x v="898"/>
    <x v="12"/>
    <x v="1"/>
    <n v="43.2"/>
    <n v="86.4"/>
    <x v="36"/>
    <d v="2025-02-07T00:00:00"/>
    <x v="2"/>
    <x v="2"/>
    <x v="0"/>
    <x v="0"/>
    <x v="31"/>
    <x v="3"/>
    <x v="5"/>
    <x v="2"/>
  </r>
  <r>
    <x v="899"/>
    <x v="9"/>
    <x v="11"/>
    <n v="70"/>
    <n v="630"/>
    <x v="36"/>
    <d v="2025-02-07T00:00:00"/>
    <x v="0"/>
    <x v="1"/>
    <x v="0"/>
    <x v="0"/>
    <x v="52"/>
    <x v="3"/>
    <x v="5"/>
    <x v="0"/>
  </r>
  <r>
    <x v="900"/>
    <x v="0"/>
    <x v="1"/>
    <n v="20.5"/>
    <n v="41"/>
    <x v="36"/>
    <d v="2025-02-08T00:00:00"/>
    <x v="2"/>
    <x v="2"/>
    <x v="4"/>
    <x v="0"/>
    <x v="13"/>
    <x v="1"/>
    <x v="5"/>
    <x v="2"/>
  </r>
  <r>
    <x v="901"/>
    <x v="0"/>
    <x v="12"/>
    <n v="29.1"/>
    <n v="116.4"/>
    <x v="36"/>
    <d v="2025-02-07T00:00:00"/>
    <x v="2"/>
    <x v="3"/>
    <x v="0"/>
    <x v="0"/>
    <x v="28"/>
    <x v="3"/>
    <x v="5"/>
    <x v="2"/>
  </r>
  <r>
    <x v="902"/>
    <x v="6"/>
    <x v="11"/>
    <n v="53.6"/>
    <n v="482.40000000000003"/>
    <x v="36"/>
    <d v="2025-02-07T00:00:00"/>
    <x v="1"/>
    <x v="2"/>
    <x v="1"/>
    <x v="0"/>
    <x v="3"/>
    <x v="3"/>
    <x v="5"/>
    <x v="1"/>
  </r>
  <r>
    <x v="903"/>
    <x v="6"/>
    <x v="9"/>
    <n v="72.3"/>
    <n v="361.5"/>
    <x v="36"/>
    <d v="2025-02-08T00:00:00"/>
    <x v="2"/>
    <x v="1"/>
    <x v="0"/>
    <x v="0"/>
    <x v="3"/>
    <x v="1"/>
    <x v="5"/>
    <x v="2"/>
  </r>
  <r>
    <x v="904"/>
    <x v="13"/>
    <x v="12"/>
    <n v="22.6"/>
    <n v="90.4"/>
    <x v="36"/>
    <d v="2025-02-09T00:00:00"/>
    <x v="3"/>
    <x v="0"/>
    <x v="1"/>
    <x v="0"/>
    <x v="3"/>
    <x v="2"/>
    <x v="5"/>
    <x v="3"/>
  </r>
  <r>
    <x v="905"/>
    <x v="9"/>
    <x v="1"/>
    <n v="44.2"/>
    <n v="88.4"/>
    <x v="36"/>
    <d v="2025-02-10T00:00:00"/>
    <x v="0"/>
    <x v="2"/>
    <x v="4"/>
    <x v="0"/>
    <x v="3"/>
    <x v="5"/>
    <x v="5"/>
    <x v="0"/>
  </r>
  <r>
    <x v="906"/>
    <x v="9"/>
    <x v="2"/>
    <n v="94.1"/>
    <n v="282.29999999999995"/>
    <x v="36"/>
    <d v="2025-02-19T00:00:00"/>
    <x v="2"/>
    <x v="2"/>
    <x v="2"/>
    <x v="0"/>
    <x v="3"/>
    <x v="10"/>
    <x v="5"/>
    <x v="2"/>
  </r>
  <r>
    <x v="907"/>
    <x v="8"/>
    <x v="2"/>
    <n v="17.899999999999999"/>
    <n v="53.699999999999996"/>
    <x v="36"/>
    <d v="2025-02-08T00:00:00"/>
    <x v="1"/>
    <x v="1"/>
    <x v="1"/>
    <x v="0"/>
    <x v="3"/>
    <x v="1"/>
    <x v="5"/>
    <x v="1"/>
  </r>
  <r>
    <x v="908"/>
    <x v="12"/>
    <x v="3"/>
    <n v="52.7"/>
    <n v="368.90000000000003"/>
    <x v="36"/>
    <d v="2025-02-07T00:00:00"/>
    <x v="1"/>
    <x v="1"/>
    <x v="1"/>
    <x v="0"/>
    <x v="3"/>
    <x v="3"/>
    <x v="5"/>
    <x v="1"/>
  </r>
  <r>
    <x v="909"/>
    <x v="8"/>
    <x v="0"/>
    <n v="36.799999999999997"/>
    <n v="36.799999999999997"/>
    <x v="36"/>
    <d v="2025-02-06T00:00:00"/>
    <x v="0"/>
    <x v="0"/>
    <x v="2"/>
    <x v="0"/>
    <x v="3"/>
    <x v="7"/>
    <x v="5"/>
    <x v="0"/>
  </r>
  <r>
    <x v="910"/>
    <x v="4"/>
    <x v="0"/>
    <n v="52.5"/>
    <n v="52.5"/>
    <x v="36"/>
    <d v="2025-02-07T00:00:00"/>
    <x v="1"/>
    <x v="0"/>
    <x v="1"/>
    <x v="0"/>
    <x v="6"/>
    <x v="3"/>
    <x v="5"/>
    <x v="1"/>
  </r>
  <r>
    <x v="911"/>
    <x v="2"/>
    <x v="1"/>
    <n v="133.80000000000001"/>
    <n v="267.60000000000002"/>
    <x v="36"/>
    <d v="2025-02-08T00:00:00"/>
    <x v="1"/>
    <x v="0"/>
    <x v="1"/>
    <x v="0"/>
    <x v="7"/>
    <x v="1"/>
    <x v="5"/>
    <x v="1"/>
  </r>
  <r>
    <x v="912"/>
    <x v="6"/>
    <x v="1"/>
    <n v="53.2"/>
    <n v="106.4"/>
    <x v="36"/>
    <d v="2025-02-08T00:00:00"/>
    <x v="1"/>
    <x v="0"/>
    <x v="0"/>
    <x v="0"/>
    <x v="17"/>
    <x v="1"/>
    <x v="5"/>
    <x v="1"/>
  </r>
  <r>
    <x v="913"/>
    <x v="14"/>
    <x v="13"/>
    <n v="18.7"/>
    <n v="112.19999999999999"/>
    <x v="36"/>
    <d v="2025-02-08T00:00:00"/>
    <x v="0"/>
    <x v="0"/>
    <x v="1"/>
    <x v="0"/>
    <x v="10"/>
    <x v="1"/>
    <x v="5"/>
    <x v="0"/>
  </r>
  <r>
    <x v="914"/>
    <x v="6"/>
    <x v="12"/>
    <n v="108.8"/>
    <n v="435.2"/>
    <x v="36"/>
    <d v="2025-02-07T00:00:00"/>
    <x v="2"/>
    <x v="3"/>
    <x v="2"/>
    <x v="0"/>
    <x v="11"/>
    <x v="3"/>
    <x v="5"/>
    <x v="2"/>
  </r>
  <r>
    <x v="915"/>
    <x v="15"/>
    <x v="9"/>
    <n v="38.5"/>
    <n v="192.5"/>
    <x v="36"/>
    <d v="2025-02-10T00:00:00"/>
    <x v="2"/>
    <x v="0"/>
    <x v="1"/>
    <x v="0"/>
    <x v="14"/>
    <x v="5"/>
    <x v="5"/>
    <x v="2"/>
  </r>
  <r>
    <x v="916"/>
    <x v="10"/>
    <x v="7"/>
    <n v="46.5"/>
    <n v="465"/>
    <x v="36"/>
    <d v="2025-02-08T00:00:00"/>
    <x v="1"/>
    <x v="2"/>
    <x v="1"/>
    <x v="0"/>
    <x v="2"/>
    <x v="1"/>
    <x v="5"/>
    <x v="1"/>
  </r>
  <r>
    <x v="917"/>
    <x v="2"/>
    <x v="2"/>
    <n v="75.8"/>
    <n v="227.39999999999998"/>
    <x v="36"/>
    <d v="2025-02-10T00:00:00"/>
    <x v="2"/>
    <x v="1"/>
    <x v="4"/>
    <x v="0"/>
    <x v="44"/>
    <x v="5"/>
    <x v="5"/>
    <x v="2"/>
  </r>
  <r>
    <x v="918"/>
    <x v="8"/>
    <x v="0"/>
    <n v="20.9"/>
    <n v="20.9"/>
    <x v="36"/>
    <d v="2025-02-10T00:00:00"/>
    <x v="1"/>
    <x v="0"/>
    <x v="0"/>
    <x v="0"/>
    <x v="22"/>
    <x v="5"/>
    <x v="5"/>
    <x v="1"/>
  </r>
  <r>
    <x v="919"/>
    <x v="18"/>
    <x v="2"/>
    <n v="47.4"/>
    <n v="142.19999999999999"/>
    <x v="36"/>
    <d v="2025-02-09T00:00:00"/>
    <x v="2"/>
    <x v="0"/>
    <x v="0"/>
    <x v="0"/>
    <x v="3"/>
    <x v="2"/>
    <x v="5"/>
    <x v="2"/>
  </r>
  <r>
    <x v="920"/>
    <x v="9"/>
    <x v="1"/>
    <n v="53.8"/>
    <n v="107.6"/>
    <x v="36"/>
    <d v="2025-02-07T00:00:00"/>
    <x v="0"/>
    <x v="0"/>
    <x v="1"/>
    <x v="0"/>
    <x v="3"/>
    <x v="3"/>
    <x v="5"/>
    <x v="0"/>
  </r>
  <r>
    <x v="921"/>
    <x v="8"/>
    <x v="2"/>
    <n v="24.6"/>
    <n v="73.800000000000011"/>
    <x v="36"/>
    <d v="2025-02-08T00:00:00"/>
    <x v="3"/>
    <x v="1"/>
    <x v="2"/>
    <x v="0"/>
    <x v="3"/>
    <x v="1"/>
    <x v="5"/>
    <x v="3"/>
  </r>
  <r>
    <x v="922"/>
    <x v="9"/>
    <x v="2"/>
    <n v="70.900000000000006"/>
    <n v="212.70000000000002"/>
    <x v="36"/>
    <d v="2025-02-11T00:00:00"/>
    <x v="2"/>
    <x v="2"/>
    <x v="2"/>
    <x v="0"/>
    <x v="3"/>
    <x v="0"/>
    <x v="5"/>
    <x v="2"/>
  </r>
  <r>
    <x v="923"/>
    <x v="17"/>
    <x v="2"/>
    <n v="31.9"/>
    <n v="95.699999999999989"/>
    <x v="36"/>
    <d v="2025-02-08T00:00:00"/>
    <x v="2"/>
    <x v="2"/>
    <x v="2"/>
    <x v="0"/>
    <x v="3"/>
    <x v="1"/>
    <x v="5"/>
    <x v="2"/>
  </r>
  <r>
    <x v="924"/>
    <x v="0"/>
    <x v="1"/>
    <n v="20.399999999999999"/>
    <n v="40.799999999999997"/>
    <x v="36"/>
    <d v="2025-02-10T00:00:00"/>
    <x v="1"/>
    <x v="3"/>
    <x v="2"/>
    <x v="0"/>
    <x v="3"/>
    <x v="5"/>
    <x v="5"/>
    <x v="1"/>
  </r>
  <r>
    <x v="925"/>
    <x v="8"/>
    <x v="1"/>
    <n v="18.600000000000001"/>
    <n v="37.200000000000003"/>
    <x v="36"/>
    <d v="2025-02-08T00:00:00"/>
    <x v="0"/>
    <x v="0"/>
    <x v="1"/>
    <x v="0"/>
    <x v="3"/>
    <x v="1"/>
    <x v="5"/>
    <x v="0"/>
  </r>
  <r>
    <x v="926"/>
    <x v="4"/>
    <x v="9"/>
    <n v="48.3"/>
    <n v="241.5"/>
    <x v="36"/>
    <d v="2025-02-08T00:00:00"/>
    <x v="2"/>
    <x v="1"/>
    <x v="0"/>
    <x v="0"/>
    <x v="3"/>
    <x v="1"/>
    <x v="5"/>
    <x v="2"/>
  </r>
  <r>
    <x v="927"/>
    <x v="0"/>
    <x v="12"/>
    <n v="27.7"/>
    <n v="110.8"/>
    <x v="36"/>
    <d v="2025-02-08T00:00:00"/>
    <x v="2"/>
    <x v="0"/>
    <x v="0"/>
    <x v="0"/>
    <x v="3"/>
    <x v="1"/>
    <x v="5"/>
    <x v="2"/>
  </r>
  <r>
    <x v="928"/>
    <x v="4"/>
    <x v="9"/>
    <n v="22.5"/>
    <n v="112.5"/>
    <x v="36"/>
    <d v="2025-02-08T00:00:00"/>
    <x v="2"/>
    <x v="4"/>
    <x v="2"/>
    <x v="0"/>
    <x v="3"/>
    <x v="1"/>
    <x v="5"/>
    <x v="2"/>
  </r>
  <r>
    <x v="929"/>
    <x v="17"/>
    <x v="9"/>
    <n v="21.6"/>
    <n v="108"/>
    <x v="36"/>
    <d v="2025-02-14T00:00:00"/>
    <x v="2"/>
    <x v="0"/>
    <x v="1"/>
    <x v="0"/>
    <x v="3"/>
    <x v="9"/>
    <x v="5"/>
    <x v="2"/>
  </r>
  <r>
    <x v="930"/>
    <x v="10"/>
    <x v="3"/>
    <n v="26.3"/>
    <n v="184.1"/>
    <x v="36"/>
    <d v="2025-02-06T00:00:00"/>
    <x v="2"/>
    <x v="2"/>
    <x v="1"/>
    <x v="0"/>
    <x v="3"/>
    <x v="7"/>
    <x v="5"/>
    <x v="2"/>
  </r>
  <r>
    <x v="931"/>
    <x v="6"/>
    <x v="3"/>
    <n v="103"/>
    <n v="721"/>
    <x v="37"/>
    <d v="2025-02-08T00:00:00"/>
    <x v="1"/>
    <x v="0"/>
    <x v="2"/>
    <x v="0"/>
    <x v="6"/>
    <x v="3"/>
    <x v="5"/>
    <x v="1"/>
  </r>
  <r>
    <x v="932"/>
    <x v="5"/>
    <x v="20"/>
    <n v="46.6"/>
    <n v="699"/>
    <x v="37"/>
    <d v="2025-02-08T00:00:00"/>
    <x v="2"/>
    <x v="0"/>
    <x v="1"/>
    <x v="0"/>
    <x v="6"/>
    <x v="3"/>
    <x v="5"/>
    <x v="2"/>
  </r>
  <r>
    <x v="933"/>
    <x v="0"/>
    <x v="9"/>
    <n v="32.200000000000003"/>
    <n v="161"/>
    <x v="37"/>
    <d v="2025-02-10T00:00:00"/>
    <x v="2"/>
    <x v="0"/>
    <x v="2"/>
    <x v="0"/>
    <x v="36"/>
    <x v="2"/>
    <x v="5"/>
    <x v="2"/>
  </r>
  <r>
    <x v="934"/>
    <x v="8"/>
    <x v="2"/>
    <n v="22"/>
    <n v="66"/>
    <x v="37"/>
    <d v="2025-02-14T00:00:00"/>
    <x v="1"/>
    <x v="1"/>
    <x v="0"/>
    <x v="0"/>
    <x v="7"/>
    <x v="6"/>
    <x v="5"/>
    <x v="1"/>
  </r>
  <r>
    <x v="935"/>
    <x v="0"/>
    <x v="1"/>
    <n v="25.2"/>
    <n v="50.4"/>
    <x v="37"/>
    <d v="2025-02-11T00:00:00"/>
    <x v="2"/>
    <x v="0"/>
    <x v="0"/>
    <x v="0"/>
    <x v="7"/>
    <x v="5"/>
    <x v="5"/>
    <x v="2"/>
  </r>
  <r>
    <x v="936"/>
    <x v="1"/>
    <x v="13"/>
    <n v="68.7"/>
    <n v="412.20000000000005"/>
    <x v="37"/>
    <d v="2025-02-09T00:00:00"/>
    <x v="1"/>
    <x v="4"/>
    <x v="0"/>
    <x v="0"/>
    <x v="8"/>
    <x v="1"/>
    <x v="5"/>
    <x v="1"/>
  </r>
  <r>
    <x v="937"/>
    <x v="0"/>
    <x v="2"/>
    <n v="22.2"/>
    <n v="66.599999999999994"/>
    <x v="37"/>
    <d v="2025-02-10T00:00:00"/>
    <x v="1"/>
    <x v="2"/>
    <x v="2"/>
    <x v="0"/>
    <x v="8"/>
    <x v="2"/>
    <x v="5"/>
    <x v="1"/>
  </r>
  <r>
    <x v="938"/>
    <x v="1"/>
    <x v="3"/>
    <n v="36"/>
    <n v="252"/>
    <x v="37"/>
    <d v="2025-02-08T00:00:00"/>
    <x v="2"/>
    <x v="1"/>
    <x v="0"/>
    <x v="0"/>
    <x v="8"/>
    <x v="3"/>
    <x v="5"/>
    <x v="2"/>
  </r>
  <r>
    <x v="939"/>
    <x v="18"/>
    <x v="0"/>
    <n v="50.6"/>
    <n v="50.6"/>
    <x v="37"/>
    <d v="2025-02-09T00:00:00"/>
    <x v="2"/>
    <x v="0"/>
    <x v="1"/>
    <x v="0"/>
    <x v="8"/>
    <x v="1"/>
    <x v="5"/>
    <x v="2"/>
  </r>
  <r>
    <x v="940"/>
    <x v="15"/>
    <x v="1"/>
    <n v="44.9"/>
    <n v="89.8"/>
    <x v="37"/>
    <d v="2025-02-09T00:00:00"/>
    <x v="1"/>
    <x v="0"/>
    <x v="1"/>
    <x v="0"/>
    <x v="8"/>
    <x v="1"/>
    <x v="5"/>
    <x v="1"/>
  </r>
  <r>
    <x v="941"/>
    <x v="6"/>
    <x v="2"/>
    <n v="71.599999999999994"/>
    <n v="214.79999999999998"/>
    <x v="37"/>
    <d v="2025-02-11T00:00:00"/>
    <x v="1"/>
    <x v="1"/>
    <x v="2"/>
    <x v="0"/>
    <x v="10"/>
    <x v="5"/>
    <x v="5"/>
    <x v="1"/>
  </r>
  <r>
    <x v="942"/>
    <x v="6"/>
    <x v="13"/>
    <n v="51.5"/>
    <n v="309"/>
    <x v="37"/>
    <d v="2025-02-09T00:00:00"/>
    <x v="0"/>
    <x v="4"/>
    <x v="0"/>
    <x v="0"/>
    <x v="11"/>
    <x v="1"/>
    <x v="5"/>
    <x v="0"/>
  </r>
  <r>
    <x v="943"/>
    <x v="7"/>
    <x v="9"/>
    <n v="55.5"/>
    <n v="277.5"/>
    <x v="37"/>
    <d v="2025-02-08T00:00:00"/>
    <x v="1"/>
    <x v="1"/>
    <x v="1"/>
    <x v="0"/>
    <x v="11"/>
    <x v="3"/>
    <x v="5"/>
    <x v="1"/>
  </r>
  <r>
    <x v="944"/>
    <x v="6"/>
    <x v="0"/>
    <n v="51.7"/>
    <n v="51.7"/>
    <x v="37"/>
    <d v="2025-02-21T00:00:00"/>
    <x v="1"/>
    <x v="2"/>
    <x v="0"/>
    <x v="0"/>
    <x v="19"/>
    <x v="12"/>
    <x v="5"/>
    <x v="1"/>
  </r>
  <r>
    <x v="945"/>
    <x v="8"/>
    <x v="38"/>
    <n v="45.5"/>
    <n v="955.5"/>
    <x v="37"/>
    <d v="2025-02-08T00:00:00"/>
    <x v="2"/>
    <x v="3"/>
    <x v="2"/>
    <x v="0"/>
    <x v="19"/>
    <x v="3"/>
    <x v="5"/>
    <x v="2"/>
  </r>
  <r>
    <x v="946"/>
    <x v="8"/>
    <x v="1"/>
    <n v="33.799999999999997"/>
    <n v="67.599999999999994"/>
    <x v="37"/>
    <d v="2025-02-13T00:00:00"/>
    <x v="2"/>
    <x v="3"/>
    <x v="0"/>
    <x v="0"/>
    <x v="20"/>
    <x v="4"/>
    <x v="5"/>
    <x v="2"/>
  </r>
  <r>
    <x v="947"/>
    <x v="3"/>
    <x v="2"/>
    <n v="76.5"/>
    <n v="229.5"/>
    <x v="37"/>
    <d v="2025-02-08T00:00:00"/>
    <x v="2"/>
    <x v="0"/>
    <x v="1"/>
    <x v="0"/>
    <x v="21"/>
    <x v="3"/>
    <x v="5"/>
    <x v="2"/>
  </r>
  <r>
    <x v="948"/>
    <x v="9"/>
    <x v="2"/>
    <n v="42.6"/>
    <n v="127.80000000000001"/>
    <x v="37"/>
    <d v="2025-02-13T00:00:00"/>
    <x v="2"/>
    <x v="2"/>
    <x v="2"/>
    <x v="0"/>
    <x v="2"/>
    <x v="4"/>
    <x v="5"/>
    <x v="2"/>
  </r>
  <r>
    <x v="949"/>
    <x v="6"/>
    <x v="2"/>
    <n v="44.1"/>
    <n v="132.30000000000001"/>
    <x v="37"/>
    <d v="2025-02-09T00:00:00"/>
    <x v="2"/>
    <x v="1"/>
    <x v="1"/>
    <x v="0"/>
    <x v="22"/>
    <x v="1"/>
    <x v="5"/>
    <x v="2"/>
  </r>
  <r>
    <x v="950"/>
    <x v="8"/>
    <x v="1"/>
    <n v="40.9"/>
    <n v="81.8"/>
    <x v="37"/>
    <d v="2025-02-11T00:00:00"/>
    <x v="1"/>
    <x v="0"/>
    <x v="0"/>
    <x v="0"/>
    <x v="3"/>
    <x v="5"/>
    <x v="5"/>
    <x v="1"/>
  </r>
  <r>
    <x v="951"/>
    <x v="9"/>
    <x v="2"/>
    <n v="49.1"/>
    <n v="147.30000000000001"/>
    <x v="37"/>
    <d v="2025-02-11T00:00:00"/>
    <x v="2"/>
    <x v="3"/>
    <x v="1"/>
    <x v="0"/>
    <x v="3"/>
    <x v="5"/>
    <x v="5"/>
    <x v="2"/>
  </r>
  <r>
    <x v="952"/>
    <x v="18"/>
    <x v="0"/>
    <n v="85.3"/>
    <n v="85.3"/>
    <x v="37"/>
    <d v="2025-02-11T00:00:00"/>
    <x v="1"/>
    <x v="1"/>
    <x v="1"/>
    <x v="0"/>
    <x v="3"/>
    <x v="5"/>
    <x v="5"/>
    <x v="1"/>
  </r>
  <r>
    <x v="953"/>
    <x v="6"/>
    <x v="12"/>
    <n v="43.1"/>
    <n v="172.4"/>
    <x v="38"/>
    <d v="2025-02-11T00:00:00"/>
    <x v="1"/>
    <x v="0"/>
    <x v="0"/>
    <x v="0"/>
    <x v="3"/>
    <x v="2"/>
    <x v="5"/>
    <x v="1"/>
  </r>
  <r>
    <x v="954"/>
    <x v="4"/>
    <x v="12"/>
    <n v="46.2"/>
    <n v="184.8"/>
    <x v="38"/>
    <d v="2025-02-09T00:00:00"/>
    <x v="1"/>
    <x v="2"/>
    <x v="0"/>
    <x v="0"/>
    <x v="3"/>
    <x v="3"/>
    <x v="5"/>
    <x v="1"/>
  </r>
  <r>
    <x v="955"/>
    <x v="1"/>
    <x v="0"/>
    <n v="74.400000000000006"/>
    <n v="74.400000000000006"/>
    <x v="38"/>
    <d v="2025-02-10T00:00:00"/>
    <x v="1"/>
    <x v="4"/>
    <x v="2"/>
    <x v="0"/>
    <x v="3"/>
    <x v="1"/>
    <x v="5"/>
    <x v="1"/>
  </r>
  <r>
    <x v="956"/>
    <x v="17"/>
    <x v="1"/>
    <n v="51.2"/>
    <n v="102.4"/>
    <x v="38"/>
    <d v="2025-02-09T00:00:00"/>
    <x v="1"/>
    <x v="1"/>
    <x v="0"/>
    <x v="0"/>
    <x v="3"/>
    <x v="3"/>
    <x v="5"/>
    <x v="1"/>
  </r>
  <r>
    <x v="957"/>
    <x v="14"/>
    <x v="12"/>
    <n v="11.8"/>
    <n v="47.2"/>
    <x v="38"/>
    <d v="2025-02-08T00:00:00"/>
    <x v="1"/>
    <x v="2"/>
    <x v="0"/>
    <x v="0"/>
    <x v="3"/>
    <x v="7"/>
    <x v="5"/>
    <x v="1"/>
  </r>
  <r>
    <x v="958"/>
    <x v="10"/>
    <x v="6"/>
    <n v="40.799999999999997"/>
    <n v="1101.5999999999999"/>
    <x v="38"/>
    <d v="2025-02-09T00:00:00"/>
    <x v="2"/>
    <x v="3"/>
    <x v="2"/>
    <x v="0"/>
    <x v="3"/>
    <x v="3"/>
    <x v="5"/>
    <x v="2"/>
  </r>
  <r>
    <x v="959"/>
    <x v="8"/>
    <x v="0"/>
    <n v="24.7"/>
    <n v="24.7"/>
    <x v="38"/>
    <d v="2025-02-10T00:00:00"/>
    <x v="2"/>
    <x v="2"/>
    <x v="1"/>
    <x v="0"/>
    <x v="3"/>
    <x v="1"/>
    <x v="5"/>
    <x v="2"/>
  </r>
  <r>
    <x v="960"/>
    <x v="8"/>
    <x v="3"/>
    <n v="22.1"/>
    <n v="154.70000000000002"/>
    <x v="38"/>
    <d v="2025-02-08T00:00:00"/>
    <x v="2"/>
    <x v="2"/>
    <x v="4"/>
    <x v="0"/>
    <x v="3"/>
    <x v="7"/>
    <x v="5"/>
    <x v="2"/>
  </r>
  <r>
    <x v="961"/>
    <x v="8"/>
    <x v="0"/>
    <n v="18.100000000000001"/>
    <n v="18.100000000000001"/>
    <x v="38"/>
    <d v="2025-02-12T00:00:00"/>
    <x v="1"/>
    <x v="3"/>
    <x v="2"/>
    <x v="0"/>
    <x v="3"/>
    <x v="5"/>
    <x v="5"/>
    <x v="1"/>
  </r>
  <r>
    <x v="962"/>
    <x v="17"/>
    <x v="1"/>
    <n v="58.8"/>
    <n v="117.6"/>
    <x v="38"/>
    <d v="2025-02-11T00:00:00"/>
    <x v="2"/>
    <x v="0"/>
    <x v="0"/>
    <x v="0"/>
    <x v="25"/>
    <x v="2"/>
    <x v="5"/>
    <x v="2"/>
  </r>
  <r>
    <x v="963"/>
    <x v="18"/>
    <x v="1"/>
    <n v="30.8"/>
    <n v="61.6"/>
    <x v="38"/>
    <d v="2025-02-09T00:00:00"/>
    <x v="2"/>
    <x v="0"/>
    <x v="0"/>
    <x v="0"/>
    <x v="6"/>
    <x v="3"/>
    <x v="5"/>
    <x v="2"/>
  </r>
  <r>
    <x v="964"/>
    <x v="0"/>
    <x v="1"/>
    <n v="12"/>
    <n v="24"/>
    <x v="38"/>
    <d v="2025-02-12T00:00:00"/>
    <x v="2"/>
    <x v="0"/>
    <x v="0"/>
    <x v="0"/>
    <x v="6"/>
    <x v="5"/>
    <x v="5"/>
    <x v="2"/>
  </r>
  <r>
    <x v="965"/>
    <x v="0"/>
    <x v="12"/>
    <n v="13.6"/>
    <n v="54.4"/>
    <x v="38"/>
    <d v="2025-02-11T00:00:00"/>
    <x v="1"/>
    <x v="2"/>
    <x v="0"/>
    <x v="0"/>
    <x v="6"/>
    <x v="2"/>
    <x v="5"/>
    <x v="1"/>
  </r>
  <r>
    <x v="966"/>
    <x v="0"/>
    <x v="0"/>
    <n v="17.899999999999999"/>
    <n v="17.899999999999999"/>
    <x v="38"/>
    <d v="2025-02-09T00:00:00"/>
    <x v="1"/>
    <x v="3"/>
    <x v="0"/>
    <x v="0"/>
    <x v="6"/>
    <x v="3"/>
    <x v="5"/>
    <x v="1"/>
  </r>
  <r>
    <x v="967"/>
    <x v="9"/>
    <x v="1"/>
    <n v="38.6"/>
    <n v="77.2"/>
    <x v="38"/>
    <d v="2025-02-12T00:00:00"/>
    <x v="2"/>
    <x v="4"/>
    <x v="0"/>
    <x v="0"/>
    <x v="7"/>
    <x v="5"/>
    <x v="5"/>
    <x v="2"/>
  </r>
  <r>
    <x v="968"/>
    <x v="5"/>
    <x v="9"/>
    <n v="32.700000000000003"/>
    <n v="163.5"/>
    <x v="38"/>
    <d v="2025-02-09T00:00:00"/>
    <x v="1"/>
    <x v="2"/>
    <x v="2"/>
    <x v="0"/>
    <x v="8"/>
    <x v="3"/>
    <x v="5"/>
    <x v="1"/>
  </r>
  <r>
    <x v="969"/>
    <x v="3"/>
    <x v="1"/>
    <n v="111.4"/>
    <n v="222.8"/>
    <x v="38"/>
    <d v="2025-02-09T00:00:00"/>
    <x v="2"/>
    <x v="1"/>
    <x v="0"/>
    <x v="0"/>
    <x v="8"/>
    <x v="3"/>
    <x v="5"/>
    <x v="2"/>
  </r>
  <r>
    <x v="970"/>
    <x v="2"/>
    <x v="13"/>
    <n v="80.3"/>
    <n v="481.79999999999995"/>
    <x v="38"/>
    <d v="2025-02-10T00:00:00"/>
    <x v="2"/>
    <x v="1"/>
    <x v="0"/>
    <x v="0"/>
    <x v="8"/>
    <x v="1"/>
    <x v="5"/>
    <x v="2"/>
  </r>
  <r>
    <x v="971"/>
    <x v="6"/>
    <x v="1"/>
    <n v="58.9"/>
    <n v="117.8"/>
    <x v="38"/>
    <d v="2025-02-09T00:00:00"/>
    <x v="1"/>
    <x v="1"/>
    <x v="0"/>
    <x v="0"/>
    <x v="8"/>
    <x v="3"/>
    <x v="5"/>
    <x v="1"/>
  </r>
  <r>
    <x v="972"/>
    <x v="6"/>
    <x v="2"/>
    <n v="51.9"/>
    <n v="155.69999999999999"/>
    <x v="38"/>
    <d v="2025-02-10T00:00:00"/>
    <x v="2"/>
    <x v="1"/>
    <x v="4"/>
    <x v="0"/>
    <x v="8"/>
    <x v="1"/>
    <x v="5"/>
    <x v="2"/>
  </r>
  <r>
    <x v="973"/>
    <x v="2"/>
    <x v="2"/>
    <n v="50.3"/>
    <n v="150.89999999999998"/>
    <x v="38"/>
    <d v="2025-02-09T00:00:00"/>
    <x v="1"/>
    <x v="2"/>
    <x v="0"/>
    <x v="0"/>
    <x v="17"/>
    <x v="3"/>
    <x v="5"/>
    <x v="1"/>
  </r>
  <r>
    <x v="974"/>
    <x v="11"/>
    <x v="13"/>
    <n v="45"/>
    <n v="270"/>
    <x v="38"/>
    <d v="2025-02-14T00:00:00"/>
    <x v="2"/>
    <x v="3"/>
    <x v="0"/>
    <x v="0"/>
    <x v="9"/>
    <x v="4"/>
    <x v="5"/>
    <x v="2"/>
  </r>
  <r>
    <x v="975"/>
    <x v="10"/>
    <x v="13"/>
    <n v="44.7"/>
    <n v="268.20000000000005"/>
    <x v="38"/>
    <d v="2025-02-10T00:00:00"/>
    <x v="2"/>
    <x v="2"/>
    <x v="0"/>
    <x v="0"/>
    <x v="11"/>
    <x v="1"/>
    <x v="5"/>
    <x v="2"/>
  </r>
  <r>
    <x v="976"/>
    <x v="18"/>
    <x v="20"/>
    <n v="33"/>
    <n v="495"/>
    <x v="38"/>
    <d v="2025-02-09T00:00:00"/>
    <x v="2"/>
    <x v="2"/>
    <x v="0"/>
    <x v="0"/>
    <x v="11"/>
    <x v="3"/>
    <x v="5"/>
    <x v="2"/>
  </r>
  <r>
    <x v="977"/>
    <x v="1"/>
    <x v="9"/>
    <n v="44.9"/>
    <n v="224.5"/>
    <x v="38"/>
    <d v="2025-02-11T00:00:00"/>
    <x v="2"/>
    <x v="2"/>
    <x v="2"/>
    <x v="0"/>
    <x v="18"/>
    <x v="2"/>
    <x v="5"/>
    <x v="2"/>
  </r>
  <r>
    <x v="978"/>
    <x v="10"/>
    <x v="1"/>
    <n v="34.6"/>
    <n v="69.2"/>
    <x v="38"/>
    <d v="2025-02-12T00:00:00"/>
    <x v="2"/>
    <x v="0"/>
    <x v="1"/>
    <x v="0"/>
    <x v="19"/>
    <x v="5"/>
    <x v="5"/>
    <x v="2"/>
  </r>
  <r>
    <x v="979"/>
    <x v="7"/>
    <x v="3"/>
    <n v="47.1"/>
    <n v="329.7"/>
    <x v="38"/>
    <d v="2025-02-13T00:00:00"/>
    <x v="2"/>
    <x v="0"/>
    <x v="0"/>
    <x v="0"/>
    <x v="13"/>
    <x v="0"/>
    <x v="5"/>
    <x v="2"/>
  </r>
  <r>
    <x v="980"/>
    <x v="4"/>
    <x v="9"/>
    <n v="26.1"/>
    <n v="130.5"/>
    <x v="38"/>
    <d v="2025-02-13T00:00:00"/>
    <x v="1"/>
    <x v="0"/>
    <x v="2"/>
    <x v="0"/>
    <x v="21"/>
    <x v="0"/>
    <x v="5"/>
    <x v="1"/>
  </r>
  <r>
    <x v="981"/>
    <x v="12"/>
    <x v="9"/>
    <n v="66.8"/>
    <n v="334"/>
    <x v="38"/>
    <d v="2025-02-11T00:00:00"/>
    <x v="2"/>
    <x v="0"/>
    <x v="0"/>
    <x v="0"/>
    <x v="21"/>
    <x v="2"/>
    <x v="5"/>
    <x v="2"/>
  </r>
  <r>
    <x v="982"/>
    <x v="2"/>
    <x v="1"/>
    <n v="167.9"/>
    <n v="335.8"/>
    <x v="38"/>
    <d v="2025-02-09T00:00:00"/>
    <x v="2"/>
    <x v="3"/>
    <x v="2"/>
    <x v="0"/>
    <x v="21"/>
    <x v="3"/>
    <x v="5"/>
    <x v="2"/>
  </r>
  <r>
    <x v="983"/>
    <x v="10"/>
    <x v="11"/>
    <n v="34.6"/>
    <n v="311.40000000000003"/>
    <x v="38"/>
    <d v="2025-02-09T00:00:00"/>
    <x v="2"/>
    <x v="2"/>
    <x v="1"/>
    <x v="0"/>
    <x v="21"/>
    <x v="3"/>
    <x v="5"/>
    <x v="2"/>
  </r>
  <r>
    <x v="984"/>
    <x v="8"/>
    <x v="2"/>
    <n v="35.1"/>
    <n v="105.30000000000001"/>
    <x v="39"/>
    <d v="2025-02-13T00:00:00"/>
    <x v="1"/>
    <x v="4"/>
    <x v="2"/>
    <x v="0"/>
    <x v="1"/>
    <x v="5"/>
    <x v="6"/>
    <x v="1"/>
  </r>
  <r>
    <x v="985"/>
    <x v="6"/>
    <x v="12"/>
    <n v="104.5"/>
    <n v="418"/>
    <x v="39"/>
    <d v="2025-02-10T00:00:00"/>
    <x v="1"/>
    <x v="1"/>
    <x v="1"/>
    <x v="0"/>
    <x v="1"/>
    <x v="3"/>
    <x v="6"/>
    <x v="1"/>
  </r>
  <r>
    <x v="986"/>
    <x v="8"/>
    <x v="0"/>
    <n v="37.9"/>
    <n v="37.9"/>
    <x v="39"/>
    <d v="2025-02-11T00:00:00"/>
    <x v="0"/>
    <x v="1"/>
    <x v="2"/>
    <x v="0"/>
    <x v="2"/>
    <x v="1"/>
    <x v="6"/>
    <x v="0"/>
  </r>
  <r>
    <x v="987"/>
    <x v="4"/>
    <x v="2"/>
    <n v="25.5"/>
    <n v="76.5"/>
    <x v="39"/>
    <d v="2025-02-12T00:00:00"/>
    <x v="1"/>
    <x v="3"/>
    <x v="0"/>
    <x v="0"/>
    <x v="2"/>
    <x v="2"/>
    <x v="6"/>
    <x v="1"/>
  </r>
  <r>
    <x v="988"/>
    <x v="0"/>
    <x v="2"/>
    <n v="32"/>
    <n v="96"/>
    <x v="39"/>
    <d v="2025-02-13T00:00:00"/>
    <x v="2"/>
    <x v="1"/>
    <x v="0"/>
    <x v="0"/>
    <x v="22"/>
    <x v="5"/>
    <x v="6"/>
    <x v="2"/>
  </r>
  <r>
    <x v="989"/>
    <x v="1"/>
    <x v="0"/>
    <n v="47.1"/>
    <n v="47.1"/>
    <x v="39"/>
    <d v="2025-02-10T00:00:00"/>
    <x v="2"/>
    <x v="0"/>
    <x v="0"/>
    <x v="0"/>
    <x v="34"/>
    <x v="3"/>
    <x v="6"/>
    <x v="2"/>
  </r>
  <r>
    <x v="990"/>
    <x v="6"/>
    <x v="1"/>
    <n v="50.6"/>
    <n v="101.2"/>
    <x v="39"/>
    <d v="2025-02-15T00:00:00"/>
    <x v="0"/>
    <x v="0"/>
    <x v="0"/>
    <x v="0"/>
    <x v="3"/>
    <x v="4"/>
    <x v="6"/>
    <x v="0"/>
  </r>
  <r>
    <x v="991"/>
    <x v="6"/>
    <x v="9"/>
    <n v="81.7"/>
    <n v="408.5"/>
    <x v="39"/>
    <d v="2025-02-10T00:00:00"/>
    <x v="2"/>
    <x v="1"/>
    <x v="2"/>
    <x v="0"/>
    <x v="3"/>
    <x v="3"/>
    <x v="6"/>
    <x v="2"/>
  </r>
  <r>
    <x v="992"/>
    <x v="5"/>
    <x v="1"/>
    <n v="50.7"/>
    <n v="101.4"/>
    <x v="39"/>
    <d v="2025-02-10T00:00:00"/>
    <x v="3"/>
    <x v="2"/>
    <x v="2"/>
    <x v="0"/>
    <x v="3"/>
    <x v="3"/>
    <x v="6"/>
    <x v="3"/>
  </r>
  <r>
    <x v="993"/>
    <x v="2"/>
    <x v="10"/>
    <n v="67.3"/>
    <n v="1278.7"/>
    <x v="39"/>
    <d v="2025-02-13T00:00:00"/>
    <x v="2"/>
    <x v="2"/>
    <x v="0"/>
    <x v="0"/>
    <x v="3"/>
    <x v="5"/>
    <x v="6"/>
    <x v="2"/>
  </r>
  <r>
    <x v="994"/>
    <x v="2"/>
    <x v="12"/>
    <n v="64.8"/>
    <n v="259.2"/>
    <x v="39"/>
    <d v="2025-02-12T00:00:00"/>
    <x v="2"/>
    <x v="3"/>
    <x v="0"/>
    <x v="0"/>
    <x v="3"/>
    <x v="2"/>
    <x v="6"/>
    <x v="2"/>
  </r>
  <r>
    <x v="995"/>
    <x v="5"/>
    <x v="32"/>
    <n v="61.3"/>
    <n v="1348.6"/>
    <x v="39"/>
    <d v="2025-02-10T00:00:00"/>
    <x v="2"/>
    <x v="0"/>
    <x v="2"/>
    <x v="0"/>
    <x v="3"/>
    <x v="3"/>
    <x v="6"/>
    <x v="2"/>
  </r>
  <r>
    <x v="996"/>
    <x v="14"/>
    <x v="0"/>
    <n v="32.9"/>
    <n v="32.9"/>
    <x v="39"/>
    <d v="2025-02-12T00:00:00"/>
    <x v="2"/>
    <x v="4"/>
    <x v="0"/>
    <x v="0"/>
    <x v="3"/>
    <x v="2"/>
    <x v="6"/>
    <x v="2"/>
  </r>
  <r>
    <x v="997"/>
    <x v="6"/>
    <x v="1"/>
    <n v="100.8"/>
    <n v="201.6"/>
    <x v="39"/>
    <d v="2025-02-12T00:00:00"/>
    <x v="2"/>
    <x v="0"/>
    <x v="0"/>
    <x v="0"/>
    <x v="3"/>
    <x v="2"/>
    <x v="6"/>
    <x v="2"/>
  </r>
  <r>
    <x v="998"/>
    <x v="8"/>
    <x v="12"/>
    <n v="25.1"/>
    <n v="100.4"/>
    <x v="39"/>
    <d v="2025-02-11T00:00:00"/>
    <x v="2"/>
    <x v="1"/>
    <x v="0"/>
    <x v="0"/>
    <x v="3"/>
    <x v="1"/>
    <x v="6"/>
    <x v="2"/>
  </r>
  <r>
    <x v="999"/>
    <x v="17"/>
    <x v="0"/>
    <n v="48.5"/>
    <n v="48.5"/>
    <x v="39"/>
    <d v="2025-02-10T00:00:00"/>
    <x v="2"/>
    <x v="0"/>
    <x v="1"/>
    <x v="0"/>
    <x v="3"/>
    <x v="3"/>
    <x v="6"/>
    <x v="2"/>
  </r>
  <r>
    <x v="1000"/>
    <x v="7"/>
    <x v="1"/>
    <n v="33.6"/>
    <n v="67.2"/>
    <x v="39"/>
    <d v="2025-02-13T00:00:00"/>
    <x v="2"/>
    <x v="2"/>
    <x v="2"/>
    <x v="0"/>
    <x v="3"/>
    <x v="5"/>
    <x v="6"/>
    <x v="2"/>
  </r>
  <r>
    <x v="1001"/>
    <x v="8"/>
    <x v="0"/>
    <n v="39.299999999999997"/>
    <n v="39.299999999999997"/>
    <x v="39"/>
    <d v="2025-02-20T00:00:00"/>
    <x v="2"/>
    <x v="1"/>
    <x v="1"/>
    <x v="0"/>
    <x v="49"/>
    <x v="11"/>
    <x v="6"/>
    <x v="2"/>
  </r>
  <r>
    <x v="1002"/>
    <x v="4"/>
    <x v="7"/>
    <n v="48.8"/>
    <n v="488"/>
    <x v="39"/>
    <d v="2025-02-11T00:00:00"/>
    <x v="2"/>
    <x v="3"/>
    <x v="1"/>
    <x v="0"/>
    <x v="25"/>
    <x v="1"/>
    <x v="6"/>
    <x v="2"/>
  </r>
  <r>
    <x v="1003"/>
    <x v="6"/>
    <x v="8"/>
    <n v="72.8"/>
    <n v="582.4"/>
    <x v="39"/>
    <d v="2025-02-11T00:00:00"/>
    <x v="1"/>
    <x v="1"/>
    <x v="2"/>
    <x v="0"/>
    <x v="5"/>
    <x v="1"/>
    <x v="6"/>
    <x v="1"/>
  </r>
  <r>
    <x v="1004"/>
    <x v="10"/>
    <x v="8"/>
    <n v="46.2"/>
    <n v="369.6"/>
    <x v="39"/>
    <d v="2025-02-10T00:00:00"/>
    <x v="1"/>
    <x v="3"/>
    <x v="4"/>
    <x v="0"/>
    <x v="5"/>
    <x v="3"/>
    <x v="6"/>
    <x v="1"/>
  </r>
  <r>
    <x v="1005"/>
    <x v="4"/>
    <x v="1"/>
    <n v="20.7"/>
    <n v="41.4"/>
    <x v="39"/>
    <d v="2025-02-10T00:00:00"/>
    <x v="2"/>
    <x v="2"/>
    <x v="3"/>
    <x v="0"/>
    <x v="6"/>
    <x v="3"/>
    <x v="6"/>
    <x v="2"/>
  </r>
  <r>
    <x v="1006"/>
    <x v="0"/>
    <x v="0"/>
    <n v="35.700000000000003"/>
    <n v="35.700000000000003"/>
    <x v="39"/>
    <d v="2025-02-11T00:00:00"/>
    <x v="2"/>
    <x v="3"/>
    <x v="0"/>
    <x v="0"/>
    <x v="6"/>
    <x v="1"/>
    <x v="6"/>
    <x v="2"/>
  </r>
  <r>
    <x v="1007"/>
    <x v="2"/>
    <x v="27"/>
    <n v="166.2"/>
    <n v="2659.2"/>
    <x v="39"/>
    <d v="2025-02-11T00:00:00"/>
    <x v="0"/>
    <x v="2"/>
    <x v="0"/>
    <x v="0"/>
    <x v="7"/>
    <x v="1"/>
    <x v="6"/>
    <x v="0"/>
  </r>
  <r>
    <x v="1008"/>
    <x v="6"/>
    <x v="12"/>
    <n v="85.8"/>
    <n v="343.2"/>
    <x v="39"/>
    <d v="2025-02-10T00:00:00"/>
    <x v="2"/>
    <x v="1"/>
    <x v="1"/>
    <x v="0"/>
    <x v="7"/>
    <x v="3"/>
    <x v="6"/>
    <x v="2"/>
  </r>
  <r>
    <x v="1009"/>
    <x v="8"/>
    <x v="2"/>
    <n v="26"/>
    <n v="78"/>
    <x v="39"/>
    <d v="2025-02-11T00:00:00"/>
    <x v="3"/>
    <x v="1"/>
    <x v="0"/>
    <x v="0"/>
    <x v="7"/>
    <x v="1"/>
    <x v="6"/>
    <x v="3"/>
  </r>
  <r>
    <x v="1010"/>
    <x v="2"/>
    <x v="15"/>
    <n v="116.6"/>
    <n v="1515.8"/>
    <x v="39"/>
    <d v="2025-02-12T00:00:00"/>
    <x v="2"/>
    <x v="0"/>
    <x v="0"/>
    <x v="0"/>
    <x v="8"/>
    <x v="2"/>
    <x v="6"/>
    <x v="2"/>
  </r>
  <r>
    <x v="1011"/>
    <x v="9"/>
    <x v="3"/>
    <n v="53.9"/>
    <n v="377.3"/>
    <x v="39"/>
    <d v="2025-02-12T00:00:00"/>
    <x v="3"/>
    <x v="0"/>
    <x v="2"/>
    <x v="0"/>
    <x v="8"/>
    <x v="2"/>
    <x v="6"/>
    <x v="3"/>
  </r>
  <r>
    <x v="1012"/>
    <x v="12"/>
    <x v="9"/>
    <n v="72.3"/>
    <n v="361.5"/>
    <x v="39"/>
    <d v="2025-02-11T00:00:00"/>
    <x v="0"/>
    <x v="2"/>
    <x v="2"/>
    <x v="0"/>
    <x v="8"/>
    <x v="1"/>
    <x v="6"/>
    <x v="0"/>
  </r>
  <r>
    <x v="1013"/>
    <x v="5"/>
    <x v="1"/>
    <n v="31.4"/>
    <n v="62.8"/>
    <x v="39"/>
    <d v="2025-02-11T00:00:00"/>
    <x v="2"/>
    <x v="0"/>
    <x v="0"/>
    <x v="0"/>
    <x v="8"/>
    <x v="1"/>
    <x v="6"/>
    <x v="2"/>
  </r>
  <r>
    <x v="1014"/>
    <x v="13"/>
    <x v="1"/>
    <n v="53.1"/>
    <n v="106.2"/>
    <x v="39"/>
    <d v="2025-02-12T00:00:00"/>
    <x v="1"/>
    <x v="1"/>
    <x v="0"/>
    <x v="0"/>
    <x v="8"/>
    <x v="2"/>
    <x v="6"/>
    <x v="1"/>
  </r>
  <r>
    <x v="1015"/>
    <x v="2"/>
    <x v="12"/>
    <n v="56.2"/>
    <n v="224.8"/>
    <x v="39"/>
    <d v="2025-02-10T00:00:00"/>
    <x v="2"/>
    <x v="0"/>
    <x v="0"/>
    <x v="0"/>
    <x v="8"/>
    <x v="3"/>
    <x v="6"/>
    <x v="2"/>
  </r>
  <r>
    <x v="1016"/>
    <x v="1"/>
    <x v="7"/>
    <n v="77.3"/>
    <n v="773"/>
    <x v="39"/>
    <d v="2025-02-10T00:00:00"/>
    <x v="2"/>
    <x v="2"/>
    <x v="0"/>
    <x v="0"/>
    <x v="11"/>
    <x v="3"/>
    <x v="6"/>
    <x v="2"/>
  </r>
  <r>
    <x v="1017"/>
    <x v="6"/>
    <x v="15"/>
    <n v="57.8"/>
    <n v="751.4"/>
    <x v="39"/>
    <d v="2025-02-10T00:00:00"/>
    <x v="0"/>
    <x v="0"/>
    <x v="0"/>
    <x v="0"/>
    <x v="53"/>
    <x v="3"/>
    <x v="6"/>
    <x v="0"/>
  </r>
  <r>
    <x v="1018"/>
    <x v="12"/>
    <x v="20"/>
    <n v="42.1"/>
    <n v="631.5"/>
    <x v="39"/>
    <d v="2025-02-11T00:00:00"/>
    <x v="2"/>
    <x v="1"/>
    <x v="1"/>
    <x v="0"/>
    <x v="53"/>
    <x v="1"/>
    <x v="6"/>
    <x v="2"/>
  </r>
  <r>
    <x v="1019"/>
    <x v="8"/>
    <x v="11"/>
    <n v="22.8"/>
    <n v="205.20000000000002"/>
    <x v="39"/>
    <d v="2025-02-13T00:00:00"/>
    <x v="1"/>
    <x v="2"/>
    <x v="2"/>
    <x v="0"/>
    <x v="19"/>
    <x v="5"/>
    <x v="6"/>
    <x v="1"/>
  </r>
  <r>
    <x v="1020"/>
    <x v="2"/>
    <x v="2"/>
    <n v="171.1"/>
    <n v="513.29999999999995"/>
    <x v="40"/>
    <d v="2025-02-17T00:00:00"/>
    <x v="2"/>
    <x v="2"/>
    <x v="1"/>
    <x v="0"/>
    <x v="19"/>
    <x v="6"/>
    <x v="6"/>
    <x v="2"/>
  </r>
  <r>
    <x v="1021"/>
    <x v="8"/>
    <x v="0"/>
    <n v="28"/>
    <n v="28"/>
    <x v="40"/>
    <d v="2025-02-12T00:00:00"/>
    <x v="1"/>
    <x v="2"/>
    <x v="2"/>
    <x v="0"/>
    <x v="21"/>
    <x v="1"/>
    <x v="6"/>
    <x v="1"/>
  </r>
  <r>
    <x v="1022"/>
    <x v="6"/>
    <x v="3"/>
    <n v="50.2"/>
    <n v="351.40000000000003"/>
    <x v="40"/>
    <d v="2025-02-12T00:00:00"/>
    <x v="1"/>
    <x v="2"/>
    <x v="0"/>
    <x v="0"/>
    <x v="21"/>
    <x v="1"/>
    <x v="6"/>
    <x v="1"/>
  </r>
  <r>
    <x v="1023"/>
    <x v="6"/>
    <x v="1"/>
    <n v="56"/>
    <n v="112"/>
    <x v="40"/>
    <d v="2025-02-10T00:00:00"/>
    <x v="1"/>
    <x v="0"/>
    <x v="2"/>
    <x v="0"/>
    <x v="22"/>
    <x v="7"/>
    <x v="6"/>
    <x v="1"/>
  </r>
  <r>
    <x v="1024"/>
    <x v="1"/>
    <x v="1"/>
    <n v="38.299999999999997"/>
    <n v="76.599999999999994"/>
    <x v="40"/>
    <d v="2025-02-11T00:00:00"/>
    <x v="2"/>
    <x v="1"/>
    <x v="0"/>
    <x v="0"/>
    <x v="3"/>
    <x v="3"/>
    <x v="6"/>
    <x v="2"/>
  </r>
  <r>
    <x v="1025"/>
    <x v="0"/>
    <x v="9"/>
    <n v="22.3"/>
    <n v="111.5"/>
    <x v="40"/>
    <d v="2025-02-14T00:00:00"/>
    <x v="2"/>
    <x v="2"/>
    <x v="1"/>
    <x v="0"/>
    <x v="3"/>
    <x v="5"/>
    <x v="6"/>
    <x v="2"/>
  </r>
  <r>
    <x v="1026"/>
    <x v="0"/>
    <x v="2"/>
    <n v="22.3"/>
    <n v="66.900000000000006"/>
    <x v="40"/>
    <d v="2025-02-13T00:00:00"/>
    <x v="2"/>
    <x v="2"/>
    <x v="0"/>
    <x v="0"/>
    <x v="3"/>
    <x v="2"/>
    <x v="6"/>
    <x v="2"/>
  </r>
  <r>
    <x v="1027"/>
    <x v="1"/>
    <x v="0"/>
    <n v="32.9"/>
    <n v="32.9"/>
    <x v="40"/>
    <d v="2025-02-15T00:00:00"/>
    <x v="2"/>
    <x v="0"/>
    <x v="0"/>
    <x v="0"/>
    <x v="3"/>
    <x v="0"/>
    <x v="6"/>
    <x v="2"/>
  </r>
  <r>
    <x v="1028"/>
    <x v="10"/>
    <x v="2"/>
    <n v="31.9"/>
    <n v="95.699999999999989"/>
    <x v="40"/>
    <d v="2025-02-15T00:00:00"/>
    <x v="2"/>
    <x v="0"/>
    <x v="0"/>
    <x v="0"/>
    <x v="3"/>
    <x v="0"/>
    <x v="6"/>
    <x v="2"/>
  </r>
  <r>
    <x v="1029"/>
    <x v="6"/>
    <x v="1"/>
    <n v="94"/>
    <n v="188"/>
    <x v="40"/>
    <d v="2025-02-11T00:00:00"/>
    <x v="1"/>
    <x v="2"/>
    <x v="2"/>
    <x v="0"/>
    <x v="3"/>
    <x v="3"/>
    <x v="6"/>
    <x v="1"/>
  </r>
  <r>
    <x v="1030"/>
    <x v="10"/>
    <x v="1"/>
    <n v="30.7"/>
    <n v="61.4"/>
    <x v="40"/>
    <d v="2025-02-11T00:00:00"/>
    <x v="2"/>
    <x v="0"/>
    <x v="1"/>
    <x v="0"/>
    <x v="3"/>
    <x v="3"/>
    <x v="6"/>
    <x v="2"/>
  </r>
  <r>
    <x v="1031"/>
    <x v="5"/>
    <x v="9"/>
    <n v="90.5"/>
    <n v="452.5"/>
    <x v="40"/>
    <d v="2025-02-17T00:00:00"/>
    <x v="1"/>
    <x v="0"/>
    <x v="2"/>
    <x v="0"/>
    <x v="3"/>
    <x v="6"/>
    <x v="6"/>
    <x v="1"/>
  </r>
  <r>
    <x v="1032"/>
    <x v="8"/>
    <x v="9"/>
    <n v="25.3"/>
    <n v="126.5"/>
    <x v="40"/>
    <d v="2025-02-14T00:00:00"/>
    <x v="2"/>
    <x v="0"/>
    <x v="2"/>
    <x v="0"/>
    <x v="3"/>
    <x v="5"/>
    <x v="6"/>
    <x v="2"/>
  </r>
  <r>
    <x v="1033"/>
    <x v="6"/>
    <x v="2"/>
    <n v="58.1"/>
    <n v="174.3"/>
    <x v="40"/>
    <d v="2025-02-14T00:00:00"/>
    <x v="0"/>
    <x v="0"/>
    <x v="2"/>
    <x v="0"/>
    <x v="3"/>
    <x v="5"/>
    <x v="6"/>
    <x v="0"/>
  </r>
  <r>
    <x v="1034"/>
    <x v="2"/>
    <x v="2"/>
    <n v="74.900000000000006"/>
    <n v="224.70000000000002"/>
    <x v="40"/>
    <d v="2025-02-11T00:00:00"/>
    <x v="2"/>
    <x v="4"/>
    <x v="0"/>
    <x v="0"/>
    <x v="3"/>
    <x v="3"/>
    <x v="6"/>
    <x v="2"/>
  </r>
  <r>
    <x v="1035"/>
    <x v="4"/>
    <x v="1"/>
    <n v="32.5"/>
    <n v="65"/>
    <x v="40"/>
    <d v="2025-02-11T00:00:00"/>
    <x v="1"/>
    <x v="2"/>
    <x v="2"/>
    <x v="0"/>
    <x v="43"/>
    <x v="3"/>
    <x v="6"/>
    <x v="1"/>
  </r>
  <r>
    <x v="1036"/>
    <x v="4"/>
    <x v="9"/>
    <n v="62"/>
    <n v="310"/>
    <x v="40"/>
    <d v="2025-02-11T00:00:00"/>
    <x v="1"/>
    <x v="4"/>
    <x v="2"/>
    <x v="0"/>
    <x v="25"/>
    <x v="3"/>
    <x v="6"/>
    <x v="1"/>
  </r>
  <r>
    <x v="1037"/>
    <x v="13"/>
    <x v="13"/>
    <n v="28.9"/>
    <n v="173.39999999999998"/>
    <x v="40"/>
    <d v="2025-02-13T00:00:00"/>
    <x v="2"/>
    <x v="0"/>
    <x v="1"/>
    <x v="0"/>
    <x v="6"/>
    <x v="2"/>
    <x v="6"/>
    <x v="2"/>
  </r>
  <r>
    <x v="1038"/>
    <x v="6"/>
    <x v="8"/>
    <n v="42.8"/>
    <n v="342.4"/>
    <x v="40"/>
    <d v="2025-02-12T00:00:00"/>
    <x v="2"/>
    <x v="0"/>
    <x v="2"/>
    <x v="0"/>
    <x v="6"/>
    <x v="1"/>
    <x v="6"/>
    <x v="2"/>
  </r>
  <r>
    <x v="1039"/>
    <x v="8"/>
    <x v="8"/>
    <n v="39.4"/>
    <n v="315.2"/>
    <x v="40"/>
    <d v="2025-02-12T00:00:00"/>
    <x v="1"/>
    <x v="0"/>
    <x v="0"/>
    <x v="0"/>
    <x v="36"/>
    <x v="1"/>
    <x v="6"/>
    <x v="1"/>
  </r>
  <r>
    <x v="1040"/>
    <x v="18"/>
    <x v="2"/>
    <n v="66.400000000000006"/>
    <n v="199.20000000000002"/>
    <x v="40"/>
    <d v="2025-02-11T00:00:00"/>
    <x v="0"/>
    <x v="2"/>
    <x v="1"/>
    <x v="0"/>
    <x v="7"/>
    <x v="3"/>
    <x v="6"/>
    <x v="0"/>
  </r>
  <r>
    <x v="1041"/>
    <x v="17"/>
    <x v="12"/>
    <n v="35.9"/>
    <n v="143.6"/>
    <x v="40"/>
    <d v="2025-02-17T00:00:00"/>
    <x v="2"/>
    <x v="1"/>
    <x v="0"/>
    <x v="0"/>
    <x v="7"/>
    <x v="6"/>
    <x v="6"/>
    <x v="2"/>
  </r>
  <r>
    <x v="1042"/>
    <x v="0"/>
    <x v="12"/>
    <n v="26.9"/>
    <n v="107.6"/>
    <x v="40"/>
    <d v="2025-02-11T00:00:00"/>
    <x v="1"/>
    <x v="1"/>
    <x v="0"/>
    <x v="0"/>
    <x v="7"/>
    <x v="3"/>
    <x v="6"/>
    <x v="1"/>
  </r>
  <r>
    <x v="1043"/>
    <x v="2"/>
    <x v="0"/>
    <n v="55.1"/>
    <n v="55.1"/>
    <x v="40"/>
    <d v="2025-02-11T00:00:00"/>
    <x v="2"/>
    <x v="0"/>
    <x v="0"/>
    <x v="0"/>
    <x v="7"/>
    <x v="3"/>
    <x v="6"/>
    <x v="2"/>
  </r>
  <r>
    <x v="1044"/>
    <x v="4"/>
    <x v="1"/>
    <n v="23.9"/>
    <n v="47.8"/>
    <x v="40"/>
    <d v="2025-02-11T00:00:00"/>
    <x v="1"/>
    <x v="0"/>
    <x v="2"/>
    <x v="0"/>
    <x v="8"/>
    <x v="3"/>
    <x v="6"/>
    <x v="1"/>
  </r>
  <r>
    <x v="1045"/>
    <x v="9"/>
    <x v="15"/>
    <n v="21.1"/>
    <n v="274.3"/>
    <x v="40"/>
    <d v="2025-02-18T00:00:00"/>
    <x v="2"/>
    <x v="0"/>
    <x v="1"/>
    <x v="0"/>
    <x v="8"/>
    <x v="9"/>
    <x v="6"/>
    <x v="2"/>
  </r>
  <r>
    <x v="1046"/>
    <x v="8"/>
    <x v="9"/>
    <n v="33.799999999999997"/>
    <n v="169"/>
    <x v="40"/>
    <d v="2025-02-12T00:00:00"/>
    <x v="2"/>
    <x v="0"/>
    <x v="0"/>
    <x v="0"/>
    <x v="8"/>
    <x v="1"/>
    <x v="6"/>
    <x v="2"/>
  </r>
  <r>
    <x v="1047"/>
    <x v="2"/>
    <x v="12"/>
    <n v="56.1"/>
    <n v="224.4"/>
    <x v="40"/>
    <d v="2025-02-10T00:00:00"/>
    <x v="2"/>
    <x v="3"/>
    <x v="2"/>
    <x v="0"/>
    <x v="9"/>
    <x v="7"/>
    <x v="6"/>
    <x v="2"/>
  </r>
  <r>
    <x v="1048"/>
    <x v="3"/>
    <x v="0"/>
    <n v="58.5"/>
    <n v="58.5"/>
    <x v="41"/>
    <d v="2025-02-15T00:00:00"/>
    <x v="2"/>
    <x v="1"/>
    <x v="2"/>
    <x v="0"/>
    <x v="9"/>
    <x v="5"/>
    <x v="6"/>
    <x v="2"/>
  </r>
  <r>
    <x v="1049"/>
    <x v="6"/>
    <x v="0"/>
    <n v="84.2"/>
    <n v="84.2"/>
    <x v="41"/>
    <d v="2025-02-13T00:00:00"/>
    <x v="1"/>
    <x v="3"/>
    <x v="0"/>
    <x v="0"/>
    <x v="11"/>
    <x v="1"/>
    <x v="6"/>
    <x v="1"/>
  </r>
  <r>
    <x v="1050"/>
    <x v="11"/>
    <x v="12"/>
    <n v="52"/>
    <n v="208"/>
    <x v="41"/>
    <d v="2025-02-14T00:00:00"/>
    <x v="1"/>
    <x v="0"/>
    <x v="0"/>
    <x v="0"/>
    <x v="11"/>
    <x v="2"/>
    <x v="6"/>
    <x v="1"/>
  </r>
  <r>
    <x v="1051"/>
    <x v="4"/>
    <x v="9"/>
    <n v="31.5"/>
    <n v="157.5"/>
    <x v="41"/>
    <d v="2025-02-12T00:00:00"/>
    <x v="2"/>
    <x v="0"/>
    <x v="2"/>
    <x v="0"/>
    <x v="11"/>
    <x v="3"/>
    <x v="6"/>
    <x v="2"/>
  </r>
  <r>
    <x v="1052"/>
    <x v="16"/>
    <x v="2"/>
    <n v="46.2"/>
    <n v="138.60000000000002"/>
    <x v="41"/>
    <d v="2025-02-12T00:00:00"/>
    <x v="1"/>
    <x v="0"/>
    <x v="0"/>
    <x v="0"/>
    <x v="53"/>
    <x v="3"/>
    <x v="6"/>
    <x v="1"/>
  </r>
  <r>
    <x v="1053"/>
    <x v="2"/>
    <x v="13"/>
    <n v="135"/>
    <n v="810"/>
    <x v="41"/>
    <d v="2025-02-12T00:00:00"/>
    <x v="2"/>
    <x v="1"/>
    <x v="2"/>
    <x v="0"/>
    <x v="18"/>
    <x v="3"/>
    <x v="6"/>
    <x v="2"/>
  </r>
  <r>
    <x v="1054"/>
    <x v="12"/>
    <x v="2"/>
    <n v="92.2"/>
    <n v="276.60000000000002"/>
    <x v="41"/>
    <d v="2025-02-15T00:00:00"/>
    <x v="1"/>
    <x v="0"/>
    <x v="0"/>
    <x v="0"/>
    <x v="21"/>
    <x v="5"/>
    <x v="6"/>
    <x v="1"/>
  </r>
  <r>
    <x v="1055"/>
    <x v="8"/>
    <x v="0"/>
    <n v="36.6"/>
    <n v="36.6"/>
    <x v="41"/>
    <d v="2025-02-13T00:00:00"/>
    <x v="1"/>
    <x v="2"/>
    <x v="2"/>
    <x v="0"/>
    <x v="21"/>
    <x v="1"/>
    <x v="6"/>
    <x v="1"/>
  </r>
  <r>
    <x v="1056"/>
    <x v="9"/>
    <x v="1"/>
    <n v="50.6"/>
    <n v="101.2"/>
    <x v="41"/>
    <d v="2025-02-14T00:00:00"/>
    <x v="2"/>
    <x v="0"/>
    <x v="0"/>
    <x v="0"/>
    <x v="2"/>
    <x v="2"/>
    <x v="6"/>
    <x v="2"/>
  </r>
  <r>
    <x v="1057"/>
    <x v="18"/>
    <x v="3"/>
    <n v="56.7"/>
    <n v="396.90000000000003"/>
    <x v="41"/>
    <d v="2025-02-14T00:00:00"/>
    <x v="2"/>
    <x v="0"/>
    <x v="0"/>
    <x v="0"/>
    <x v="2"/>
    <x v="2"/>
    <x v="6"/>
    <x v="2"/>
  </r>
  <r>
    <x v="1058"/>
    <x v="9"/>
    <x v="15"/>
    <n v="22.9"/>
    <n v="297.7"/>
    <x v="41"/>
    <d v="2025-02-12T00:00:00"/>
    <x v="2"/>
    <x v="0"/>
    <x v="1"/>
    <x v="0"/>
    <x v="44"/>
    <x v="3"/>
    <x v="6"/>
    <x v="2"/>
  </r>
  <r>
    <x v="1059"/>
    <x v="15"/>
    <x v="10"/>
    <n v="53.6"/>
    <n v="1018.4"/>
    <x v="41"/>
    <d v="2025-02-12T00:00:00"/>
    <x v="1"/>
    <x v="0"/>
    <x v="0"/>
    <x v="0"/>
    <x v="22"/>
    <x v="3"/>
    <x v="6"/>
    <x v="1"/>
  </r>
  <r>
    <x v="1060"/>
    <x v="18"/>
    <x v="1"/>
    <n v="30.2"/>
    <n v="60.4"/>
    <x v="41"/>
    <d v="2025-02-13T00:00:00"/>
    <x v="0"/>
    <x v="2"/>
    <x v="2"/>
    <x v="0"/>
    <x v="3"/>
    <x v="1"/>
    <x v="6"/>
    <x v="0"/>
  </r>
  <r>
    <x v="1061"/>
    <x v="15"/>
    <x v="13"/>
    <n v="83.4"/>
    <n v="500.40000000000003"/>
    <x v="41"/>
    <d v="2025-02-12T00:00:00"/>
    <x v="1"/>
    <x v="1"/>
    <x v="2"/>
    <x v="0"/>
    <x v="3"/>
    <x v="3"/>
    <x v="6"/>
    <x v="1"/>
  </r>
  <r>
    <x v="1062"/>
    <x v="13"/>
    <x v="4"/>
    <n v="16.600000000000001"/>
    <n v="199.20000000000002"/>
    <x v="41"/>
    <d v="2025-02-13T00:00:00"/>
    <x v="1"/>
    <x v="1"/>
    <x v="0"/>
    <x v="0"/>
    <x v="3"/>
    <x v="1"/>
    <x v="6"/>
    <x v="1"/>
  </r>
  <r>
    <x v="1063"/>
    <x v="8"/>
    <x v="14"/>
    <n v="21.9"/>
    <n v="372.29999999999995"/>
    <x v="41"/>
    <d v="2025-02-13T00:00:00"/>
    <x v="2"/>
    <x v="4"/>
    <x v="1"/>
    <x v="0"/>
    <x v="3"/>
    <x v="1"/>
    <x v="6"/>
    <x v="2"/>
  </r>
  <r>
    <x v="1064"/>
    <x v="8"/>
    <x v="31"/>
    <n v="33.799999999999997"/>
    <n v="946.39999999999986"/>
    <x v="41"/>
    <d v="2025-02-13T00:00:00"/>
    <x v="1"/>
    <x v="2"/>
    <x v="4"/>
    <x v="0"/>
    <x v="3"/>
    <x v="1"/>
    <x v="6"/>
    <x v="1"/>
  </r>
  <r>
    <x v="1065"/>
    <x v="18"/>
    <x v="1"/>
    <n v="53.2"/>
    <n v="106.4"/>
    <x v="41"/>
    <d v="2025-02-11T00:00:00"/>
    <x v="1"/>
    <x v="1"/>
    <x v="0"/>
    <x v="0"/>
    <x v="3"/>
    <x v="7"/>
    <x v="6"/>
    <x v="1"/>
  </r>
  <r>
    <x v="1066"/>
    <x v="2"/>
    <x v="1"/>
    <n v="176.7"/>
    <n v="353.4"/>
    <x v="41"/>
    <d v="2025-02-14T00:00:00"/>
    <x v="2"/>
    <x v="2"/>
    <x v="0"/>
    <x v="0"/>
    <x v="3"/>
    <x v="2"/>
    <x v="6"/>
    <x v="2"/>
  </r>
  <r>
    <x v="1067"/>
    <x v="12"/>
    <x v="2"/>
    <n v="54"/>
    <n v="162"/>
    <x v="41"/>
    <d v="2025-02-14T00:00:00"/>
    <x v="1"/>
    <x v="0"/>
    <x v="1"/>
    <x v="0"/>
    <x v="3"/>
    <x v="2"/>
    <x v="6"/>
    <x v="1"/>
  </r>
  <r>
    <x v="1068"/>
    <x v="9"/>
    <x v="1"/>
    <n v="70.099999999999994"/>
    <n v="140.19999999999999"/>
    <x v="41"/>
    <d v="2025-02-19T00:00:00"/>
    <x v="2"/>
    <x v="3"/>
    <x v="2"/>
    <x v="0"/>
    <x v="3"/>
    <x v="9"/>
    <x v="6"/>
    <x v="2"/>
  </r>
  <r>
    <x v="1069"/>
    <x v="8"/>
    <x v="0"/>
    <n v="26.5"/>
    <n v="26.5"/>
    <x v="41"/>
    <d v="2025-02-13T00:00:00"/>
    <x v="2"/>
    <x v="1"/>
    <x v="0"/>
    <x v="0"/>
    <x v="3"/>
    <x v="1"/>
    <x v="6"/>
    <x v="2"/>
  </r>
  <r>
    <x v="1070"/>
    <x v="7"/>
    <x v="9"/>
    <n v="89"/>
    <n v="445"/>
    <x v="41"/>
    <d v="2025-02-13T00:00:00"/>
    <x v="1"/>
    <x v="2"/>
    <x v="4"/>
    <x v="0"/>
    <x v="3"/>
    <x v="1"/>
    <x v="6"/>
    <x v="1"/>
  </r>
  <r>
    <x v="1071"/>
    <x v="1"/>
    <x v="13"/>
    <n v="47"/>
    <n v="282"/>
    <x v="41"/>
    <d v="2025-02-14T00:00:00"/>
    <x v="2"/>
    <x v="3"/>
    <x v="0"/>
    <x v="0"/>
    <x v="24"/>
    <x v="2"/>
    <x v="6"/>
    <x v="2"/>
  </r>
  <r>
    <x v="1072"/>
    <x v="3"/>
    <x v="1"/>
    <n v="55.2"/>
    <n v="110.4"/>
    <x v="41"/>
    <d v="2025-02-14T00:00:00"/>
    <x v="1"/>
    <x v="1"/>
    <x v="1"/>
    <x v="0"/>
    <x v="6"/>
    <x v="2"/>
    <x v="6"/>
    <x v="1"/>
  </r>
  <r>
    <x v="1073"/>
    <x v="8"/>
    <x v="39"/>
    <n v="33.299999999999997"/>
    <n v="1398.6"/>
    <x v="41"/>
    <d v="2025-02-25T00:00:00"/>
    <x v="1"/>
    <x v="1"/>
    <x v="2"/>
    <x v="0"/>
    <x v="6"/>
    <x v="12"/>
    <x v="6"/>
    <x v="1"/>
  </r>
  <r>
    <x v="1074"/>
    <x v="2"/>
    <x v="12"/>
    <n v="110.9"/>
    <n v="443.6"/>
    <x v="42"/>
    <d v="2025-02-12T00:00:00"/>
    <x v="1"/>
    <x v="2"/>
    <x v="4"/>
    <x v="0"/>
    <x v="6"/>
    <x v="7"/>
    <x v="6"/>
    <x v="1"/>
  </r>
  <r>
    <x v="1075"/>
    <x v="2"/>
    <x v="13"/>
    <n v="67.3"/>
    <n v="403.79999999999995"/>
    <x v="42"/>
    <d v="2025-02-13T00:00:00"/>
    <x v="1"/>
    <x v="0"/>
    <x v="0"/>
    <x v="0"/>
    <x v="8"/>
    <x v="3"/>
    <x v="6"/>
    <x v="1"/>
  </r>
  <r>
    <x v="1076"/>
    <x v="6"/>
    <x v="2"/>
    <n v="69.7"/>
    <n v="209.10000000000002"/>
    <x v="42"/>
    <d v="2025-02-13T00:00:00"/>
    <x v="1"/>
    <x v="2"/>
    <x v="1"/>
    <x v="0"/>
    <x v="8"/>
    <x v="3"/>
    <x v="6"/>
    <x v="1"/>
  </r>
  <r>
    <x v="1077"/>
    <x v="5"/>
    <x v="0"/>
    <n v="39.1"/>
    <n v="39.1"/>
    <x v="42"/>
    <d v="2025-02-17T00:00:00"/>
    <x v="1"/>
    <x v="0"/>
    <x v="1"/>
    <x v="0"/>
    <x v="17"/>
    <x v="0"/>
    <x v="6"/>
    <x v="1"/>
  </r>
  <r>
    <x v="1078"/>
    <x v="2"/>
    <x v="2"/>
    <n v="208.6"/>
    <n v="625.79999999999995"/>
    <x v="42"/>
    <d v="2025-02-12T00:00:00"/>
    <x v="1"/>
    <x v="4"/>
    <x v="2"/>
    <x v="0"/>
    <x v="17"/>
    <x v="7"/>
    <x v="6"/>
    <x v="1"/>
  </r>
  <r>
    <x v="1079"/>
    <x v="15"/>
    <x v="2"/>
    <n v="27.8"/>
    <n v="83.4"/>
    <x v="42"/>
    <d v="2025-02-13T00:00:00"/>
    <x v="1"/>
    <x v="3"/>
    <x v="1"/>
    <x v="0"/>
    <x v="11"/>
    <x v="3"/>
    <x v="6"/>
    <x v="1"/>
  </r>
  <r>
    <x v="1080"/>
    <x v="10"/>
    <x v="9"/>
    <n v="29.4"/>
    <n v="147"/>
    <x v="42"/>
    <d v="2025-02-14T00:00:00"/>
    <x v="2"/>
    <x v="0"/>
    <x v="0"/>
    <x v="0"/>
    <x v="11"/>
    <x v="1"/>
    <x v="6"/>
    <x v="2"/>
  </r>
  <r>
    <x v="1081"/>
    <x v="9"/>
    <x v="1"/>
    <n v="29.2"/>
    <n v="58.4"/>
    <x v="42"/>
    <d v="2025-02-14T00:00:00"/>
    <x v="2"/>
    <x v="1"/>
    <x v="2"/>
    <x v="0"/>
    <x v="20"/>
    <x v="1"/>
    <x v="6"/>
    <x v="2"/>
  </r>
  <r>
    <x v="1082"/>
    <x v="10"/>
    <x v="9"/>
    <n v="26.5"/>
    <n v="132.5"/>
    <x v="42"/>
    <d v="2025-02-14T00:00:00"/>
    <x v="2"/>
    <x v="0"/>
    <x v="0"/>
    <x v="0"/>
    <x v="52"/>
    <x v="1"/>
    <x v="6"/>
    <x v="2"/>
  </r>
  <r>
    <x v="1083"/>
    <x v="5"/>
    <x v="0"/>
    <n v="30.3"/>
    <n v="30.3"/>
    <x v="42"/>
    <d v="2025-02-13T00:00:00"/>
    <x v="2"/>
    <x v="4"/>
    <x v="1"/>
    <x v="0"/>
    <x v="13"/>
    <x v="3"/>
    <x v="6"/>
    <x v="2"/>
  </r>
  <r>
    <x v="1084"/>
    <x v="16"/>
    <x v="4"/>
    <n v="39.700000000000003"/>
    <n v="476.40000000000003"/>
    <x v="42"/>
    <d v="2025-02-13T00:00:00"/>
    <x v="2"/>
    <x v="0"/>
    <x v="0"/>
    <x v="0"/>
    <x v="21"/>
    <x v="3"/>
    <x v="6"/>
    <x v="2"/>
  </r>
  <r>
    <x v="1085"/>
    <x v="7"/>
    <x v="7"/>
    <n v="58.9"/>
    <n v="589"/>
    <x v="42"/>
    <d v="2025-02-14T00:00:00"/>
    <x v="2"/>
    <x v="1"/>
    <x v="4"/>
    <x v="0"/>
    <x v="21"/>
    <x v="1"/>
    <x v="6"/>
    <x v="2"/>
  </r>
  <r>
    <x v="1086"/>
    <x v="2"/>
    <x v="1"/>
    <n v="174.1"/>
    <n v="348.2"/>
    <x v="42"/>
    <d v="2025-02-14T00:00:00"/>
    <x v="2"/>
    <x v="0"/>
    <x v="1"/>
    <x v="0"/>
    <x v="46"/>
    <x v="1"/>
    <x v="6"/>
    <x v="2"/>
  </r>
  <r>
    <x v="1087"/>
    <x v="6"/>
    <x v="1"/>
    <n v="70.8"/>
    <n v="141.6"/>
    <x v="42"/>
    <d v="2025-02-15T00:00:00"/>
    <x v="1"/>
    <x v="2"/>
    <x v="0"/>
    <x v="0"/>
    <x v="22"/>
    <x v="2"/>
    <x v="6"/>
    <x v="1"/>
  </r>
  <r>
    <x v="1088"/>
    <x v="7"/>
    <x v="1"/>
    <n v="57.4"/>
    <n v="114.8"/>
    <x v="42"/>
    <d v="2025-02-14T00:00:00"/>
    <x v="2"/>
    <x v="1"/>
    <x v="1"/>
    <x v="0"/>
    <x v="34"/>
    <x v="1"/>
    <x v="6"/>
    <x v="2"/>
  </r>
  <r>
    <x v="1089"/>
    <x v="0"/>
    <x v="1"/>
    <n v="28.5"/>
    <n v="57"/>
    <x v="42"/>
    <d v="2025-02-14T00:00:00"/>
    <x v="1"/>
    <x v="3"/>
    <x v="1"/>
    <x v="0"/>
    <x v="3"/>
    <x v="1"/>
    <x v="6"/>
    <x v="1"/>
  </r>
  <r>
    <x v="1090"/>
    <x v="2"/>
    <x v="28"/>
    <n v="106.6"/>
    <n v="2132"/>
    <x v="42"/>
    <d v="2025-02-13T00:00:00"/>
    <x v="0"/>
    <x v="1"/>
    <x v="4"/>
    <x v="0"/>
    <x v="3"/>
    <x v="3"/>
    <x v="6"/>
    <x v="0"/>
  </r>
  <r>
    <x v="1091"/>
    <x v="2"/>
    <x v="2"/>
    <n v="119.7"/>
    <n v="359.1"/>
    <x v="42"/>
    <d v="2025-02-13T00:00:00"/>
    <x v="2"/>
    <x v="1"/>
    <x v="4"/>
    <x v="0"/>
    <x v="3"/>
    <x v="3"/>
    <x v="6"/>
    <x v="2"/>
  </r>
  <r>
    <x v="1092"/>
    <x v="18"/>
    <x v="0"/>
    <n v="73.3"/>
    <n v="73.3"/>
    <x v="42"/>
    <d v="2025-02-17T00:00:00"/>
    <x v="2"/>
    <x v="0"/>
    <x v="2"/>
    <x v="0"/>
    <x v="3"/>
    <x v="0"/>
    <x v="6"/>
    <x v="2"/>
  </r>
  <r>
    <x v="1093"/>
    <x v="0"/>
    <x v="1"/>
    <n v="25.8"/>
    <n v="51.6"/>
    <x v="42"/>
    <d v="2025-02-26T00:00:00"/>
    <x v="1"/>
    <x v="2"/>
    <x v="0"/>
    <x v="0"/>
    <x v="3"/>
    <x v="12"/>
    <x v="6"/>
    <x v="1"/>
  </r>
  <r>
    <x v="1094"/>
    <x v="17"/>
    <x v="2"/>
    <n v="49.1"/>
    <n v="147.30000000000001"/>
    <x v="42"/>
    <d v="2025-02-14T00:00:00"/>
    <x v="2"/>
    <x v="0"/>
    <x v="0"/>
    <x v="0"/>
    <x v="24"/>
    <x v="1"/>
    <x v="6"/>
    <x v="2"/>
  </r>
  <r>
    <x v="1095"/>
    <x v="1"/>
    <x v="0"/>
    <n v="44.9"/>
    <n v="44.9"/>
    <x v="42"/>
    <d v="2025-02-15T00:00:00"/>
    <x v="2"/>
    <x v="3"/>
    <x v="2"/>
    <x v="0"/>
    <x v="6"/>
    <x v="2"/>
    <x v="6"/>
    <x v="2"/>
  </r>
  <r>
    <x v="1096"/>
    <x v="15"/>
    <x v="3"/>
    <n v="29.9"/>
    <n v="209.29999999999998"/>
    <x v="42"/>
    <d v="2025-02-13T00:00:00"/>
    <x v="2"/>
    <x v="0"/>
    <x v="0"/>
    <x v="0"/>
    <x v="6"/>
    <x v="3"/>
    <x v="6"/>
    <x v="2"/>
  </r>
  <r>
    <x v="1097"/>
    <x v="7"/>
    <x v="1"/>
    <n v="54.3"/>
    <n v="108.6"/>
    <x v="43"/>
    <d v="2025-02-14T00:00:00"/>
    <x v="1"/>
    <x v="3"/>
    <x v="0"/>
    <x v="0"/>
    <x v="36"/>
    <x v="3"/>
    <x v="6"/>
    <x v="1"/>
  </r>
  <r>
    <x v="1098"/>
    <x v="9"/>
    <x v="12"/>
    <n v="57"/>
    <n v="228"/>
    <x v="43"/>
    <d v="2025-02-15T00:00:00"/>
    <x v="2"/>
    <x v="0"/>
    <x v="0"/>
    <x v="0"/>
    <x v="8"/>
    <x v="1"/>
    <x v="6"/>
    <x v="2"/>
  </r>
  <r>
    <x v="1099"/>
    <x v="2"/>
    <x v="0"/>
    <n v="139.19999999999999"/>
    <n v="139.19999999999999"/>
    <x v="43"/>
    <d v="2025-02-14T00:00:00"/>
    <x v="2"/>
    <x v="3"/>
    <x v="2"/>
    <x v="0"/>
    <x v="8"/>
    <x v="3"/>
    <x v="6"/>
    <x v="2"/>
  </r>
  <r>
    <x v="1100"/>
    <x v="10"/>
    <x v="0"/>
    <n v="33"/>
    <n v="33"/>
    <x v="43"/>
    <d v="2025-02-16T00:00:00"/>
    <x v="2"/>
    <x v="0"/>
    <x v="2"/>
    <x v="0"/>
    <x v="8"/>
    <x v="2"/>
    <x v="6"/>
    <x v="2"/>
  </r>
  <r>
    <x v="1101"/>
    <x v="11"/>
    <x v="13"/>
    <n v="80.2"/>
    <n v="481.20000000000005"/>
    <x v="43"/>
    <d v="2025-02-15T00:00:00"/>
    <x v="1"/>
    <x v="1"/>
    <x v="4"/>
    <x v="0"/>
    <x v="8"/>
    <x v="1"/>
    <x v="6"/>
    <x v="1"/>
  </r>
  <r>
    <x v="1102"/>
    <x v="18"/>
    <x v="8"/>
    <n v="49"/>
    <n v="392"/>
    <x v="43"/>
    <d v="2025-02-14T00:00:00"/>
    <x v="0"/>
    <x v="2"/>
    <x v="1"/>
    <x v="0"/>
    <x v="9"/>
    <x v="3"/>
    <x v="6"/>
    <x v="0"/>
  </r>
  <r>
    <x v="1103"/>
    <x v="1"/>
    <x v="12"/>
    <n v="104.4"/>
    <n v="417.6"/>
    <x v="43"/>
    <d v="2025-02-13T00:00:00"/>
    <x v="2"/>
    <x v="0"/>
    <x v="0"/>
    <x v="0"/>
    <x v="9"/>
    <x v="7"/>
    <x v="6"/>
    <x v="2"/>
  </r>
  <r>
    <x v="1104"/>
    <x v="3"/>
    <x v="0"/>
    <n v="41.6"/>
    <n v="41.6"/>
    <x v="43"/>
    <d v="2025-02-16T00:00:00"/>
    <x v="1"/>
    <x v="3"/>
    <x v="0"/>
    <x v="0"/>
    <x v="11"/>
    <x v="2"/>
    <x v="6"/>
    <x v="1"/>
  </r>
  <r>
    <x v="1105"/>
    <x v="19"/>
    <x v="1"/>
    <n v="16.399999999999999"/>
    <n v="32.799999999999997"/>
    <x v="43"/>
    <d v="2025-02-14T00:00:00"/>
    <x v="3"/>
    <x v="0"/>
    <x v="2"/>
    <x v="0"/>
    <x v="11"/>
    <x v="3"/>
    <x v="6"/>
    <x v="3"/>
  </r>
  <r>
    <x v="1106"/>
    <x v="8"/>
    <x v="1"/>
    <n v="22"/>
    <n v="44"/>
    <x v="43"/>
    <d v="2025-02-14T00:00:00"/>
    <x v="1"/>
    <x v="2"/>
    <x v="2"/>
    <x v="0"/>
    <x v="53"/>
    <x v="3"/>
    <x v="6"/>
    <x v="1"/>
  </r>
  <r>
    <x v="1107"/>
    <x v="15"/>
    <x v="1"/>
    <n v="33.6"/>
    <n v="67.2"/>
    <x v="43"/>
    <d v="2025-02-18T00:00:00"/>
    <x v="2"/>
    <x v="0"/>
    <x v="0"/>
    <x v="0"/>
    <x v="21"/>
    <x v="0"/>
    <x v="6"/>
    <x v="2"/>
  </r>
  <r>
    <x v="1108"/>
    <x v="11"/>
    <x v="13"/>
    <n v="43"/>
    <n v="258"/>
    <x v="43"/>
    <d v="2025-02-14T00:00:00"/>
    <x v="2"/>
    <x v="2"/>
    <x v="0"/>
    <x v="0"/>
    <x v="21"/>
    <x v="3"/>
    <x v="6"/>
    <x v="2"/>
  </r>
  <r>
    <x v="1109"/>
    <x v="6"/>
    <x v="9"/>
    <n v="108.8"/>
    <n v="544"/>
    <x v="43"/>
    <d v="2025-02-16T00:00:00"/>
    <x v="2"/>
    <x v="4"/>
    <x v="2"/>
    <x v="0"/>
    <x v="21"/>
    <x v="2"/>
    <x v="6"/>
    <x v="2"/>
  </r>
  <r>
    <x v="1110"/>
    <x v="0"/>
    <x v="11"/>
    <n v="29.3"/>
    <n v="263.7"/>
    <x v="43"/>
    <d v="2025-02-15T00:00:00"/>
    <x v="1"/>
    <x v="4"/>
    <x v="2"/>
    <x v="0"/>
    <x v="21"/>
    <x v="1"/>
    <x v="6"/>
    <x v="1"/>
  </r>
  <r>
    <x v="1111"/>
    <x v="2"/>
    <x v="0"/>
    <n v="122.7"/>
    <n v="122.7"/>
    <x v="43"/>
    <d v="2025-02-16T00:00:00"/>
    <x v="3"/>
    <x v="0"/>
    <x v="2"/>
    <x v="0"/>
    <x v="1"/>
    <x v="2"/>
    <x v="6"/>
    <x v="3"/>
  </r>
  <r>
    <x v="1112"/>
    <x v="4"/>
    <x v="3"/>
    <n v="22.9"/>
    <n v="160.29999999999998"/>
    <x v="43"/>
    <d v="2025-02-14T00:00:00"/>
    <x v="2"/>
    <x v="0"/>
    <x v="0"/>
    <x v="0"/>
    <x v="42"/>
    <x v="3"/>
    <x v="6"/>
    <x v="2"/>
  </r>
  <r>
    <x v="1113"/>
    <x v="8"/>
    <x v="7"/>
    <n v="25.5"/>
    <n v="255"/>
    <x v="43"/>
    <d v="2025-02-20T00:00:00"/>
    <x v="2"/>
    <x v="0"/>
    <x v="0"/>
    <x v="0"/>
    <x v="33"/>
    <x v="6"/>
    <x v="6"/>
    <x v="2"/>
  </r>
  <r>
    <x v="1114"/>
    <x v="17"/>
    <x v="2"/>
    <n v="23.4"/>
    <n v="70.199999999999989"/>
    <x v="43"/>
    <d v="2025-02-17T00:00:00"/>
    <x v="2"/>
    <x v="0"/>
    <x v="2"/>
    <x v="0"/>
    <x v="3"/>
    <x v="5"/>
    <x v="6"/>
    <x v="2"/>
  </r>
  <r>
    <x v="1115"/>
    <x v="5"/>
    <x v="8"/>
    <n v="27.4"/>
    <n v="219.2"/>
    <x v="43"/>
    <d v="2025-02-16T00:00:00"/>
    <x v="2"/>
    <x v="2"/>
    <x v="0"/>
    <x v="0"/>
    <x v="3"/>
    <x v="2"/>
    <x v="6"/>
    <x v="2"/>
  </r>
  <r>
    <x v="1116"/>
    <x v="5"/>
    <x v="9"/>
    <n v="68.400000000000006"/>
    <n v="342"/>
    <x v="43"/>
    <d v="2025-02-14T00:00:00"/>
    <x v="2"/>
    <x v="0"/>
    <x v="0"/>
    <x v="0"/>
    <x v="3"/>
    <x v="3"/>
    <x v="6"/>
    <x v="2"/>
  </r>
  <r>
    <x v="1117"/>
    <x v="6"/>
    <x v="0"/>
    <n v="51.9"/>
    <n v="51.9"/>
    <x v="43"/>
    <d v="2025-02-13T00:00:00"/>
    <x v="2"/>
    <x v="0"/>
    <x v="0"/>
    <x v="0"/>
    <x v="3"/>
    <x v="7"/>
    <x v="6"/>
    <x v="2"/>
  </r>
  <r>
    <x v="1118"/>
    <x v="0"/>
    <x v="9"/>
    <n v="26.4"/>
    <n v="132"/>
    <x v="43"/>
    <d v="2025-02-16T00:00:00"/>
    <x v="2"/>
    <x v="0"/>
    <x v="2"/>
    <x v="0"/>
    <x v="3"/>
    <x v="2"/>
    <x v="6"/>
    <x v="2"/>
  </r>
  <r>
    <x v="1119"/>
    <x v="12"/>
    <x v="1"/>
    <n v="117"/>
    <n v="234"/>
    <x v="43"/>
    <d v="2025-02-14T00:00:00"/>
    <x v="2"/>
    <x v="1"/>
    <x v="1"/>
    <x v="0"/>
    <x v="3"/>
    <x v="3"/>
    <x v="6"/>
    <x v="2"/>
  </r>
  <r>
    <x v="1120"/>
    <x v="7"/>
    <x v="2"/>
    <n v="49.6"/>
    <n v="148.80000000000001"/>
    <x v="44"/>
    <d v="2025-02-16T00:00:00"/>
    <x v="2"/>
    <x v="0"/>
    <x v="0"/>
    <x v="0"/>
    <x v="3"/>
    <x v="1"/>
    <x v="6"/>
    <x v="2"/>
  </r>
  <r>
    <x v="1121"/>
    <x v="4"/>
    <x v="2"/>
    <n v="38"/>
    <n v="114"/>
    <x v="44"/>
    <d v="2025-02-17T00:00:00"/>
    <x v="1"/>
    <x v="2"/>
    <x v="4"/>
    <x v="0"/>
    <x v="3"/>
    <x v="2"/>
    <x v="6"/>
    <x v="1"/>
  </r>
  <r>
    <x v="1122"/>
    <x v="0"/>
    <x v="2"/>
    <n v="20.6"/>
    <n v="61.800000000000004"/>
    <x v="44"/>
    <d v="2025-02-16T00:00:00"/>
    <x v="2"/>
    <x v="4"/>
    <x v="2"/>
    <x v="0"/>
    <x v="3"/>
    <x v="1"/>
    <x v="6"/>
    <x v="2"/>
  </r>
  <r>
    <x v="1123"/>
    <x v="0"/>
    <x v="1"/>
    <n v="16"/>
    <n v="32"/>
    <x v="44"/>
    <d v="2025-02-15T00:00:00"/>
    <x v="1"/>
    <x v="1"/>
    <x v="1"/>
    <x v="0"/>
    <x v="49"/>
    <x v="3"/>
    <x v="6"/>
    <x v="1"/>
  </r>
  <r>
    <x v="1124"/>
    <x v="15"/>
    <x v="12"/>
    <n v="49.3"/>
    <n v="197.2"/>
    <x v="44"/>
    <d v="2025-02-15T00:00:00"/>
    <x v="2"/>
    <x v="2"/>
    <x v="0"/>
    <x v="0"/>
    <x v="23"/>
    <x v="3"/>
    <x v="6"/>
    <x v="2"/>
  </r>
  <r>
    <x v="1125"/>
    <x v="9"/>
    <x v="1"/>
    <n v="24.1"/>
    <n v="48.2"/>
    <x v="44"/>
    <d v="2025-02-18T00:00:00"/>
    <x v="2"/>
    <x v="0"/>
    <x v="0"/>
    <x v="0"/>
    <x v="6"/>
    <x v="5"/>
    <x v="6"/>
    <x v="2"/>
  </r>
  <r>
    <x v="1126"/>
    <x v="15"/>
    <x v="8"/>
    <n v="32.700000000000003"/>
    <n v="261.60000000000002"/>
    <x v="44"/>
    <d v="2025-02-15T00:00:00"/>
    <x v="2"/>
    <x v="1"/>
    <x v="0"/>
    <x v="0"/>
    <x v="6"/>
    <x v="3"/>
    <x v="6"/>
    <x v="2"/>
  </r>
  <r>
    <x v="1127"/>
    <x v="6"/>
    <x v="2"/>
    <n v="74.400000000000006"/>
    <n v="223.20000000000002"/>
    <x v="44"/>
    <d v="2025-02-15T00:00:00"/>
    <x v="2"/>
    <x v="3"/>
    <x v="2"/>
    <x v="0"/>
    <x v="8"/>
    <x v="3"/>
    <x v="6"/>
    <x v="2"/>
  </r>
  <r>
    <x v="1128"/>
    <x v="12"/>
    <x v="0"/>
    <n v="45.6"/>
    <n v="45.6"/>
    <x v="44"/>
    <d v="2025-02-18T00:00:00"/>
    <x v="2"/>
    <x v="4"/>
    <x v="0"/>
    <x v="0"/>
    <x v="8"/>
    <x v="5"/>
    <x v="6"/>
    <x v="2"/>
  </r>
  <r>
    <x v="1129"/>
    <x v="8"/>
    <x v="8"/>
    <n v="19.600000000000001"/>
    <n v="156.80000000000001"/>
    <x v="44"/>
    <d v="2025-02-27T00:00:00"/>
    <x v="2"/>
    <x v="0"/>
    <x v="0"/>
    <x v="0"/>
    <x v="8"/>
    <x v="10"/>
    <x v="6"/>
    <x v="2"/>
  </r>
  <r>
    <x v="1130"/>
    <x v="9"/>
    <x v="0"/>
    <n v="51.8"/>
    <n v="51.8"/>
    <x v="44"/>
    <d v="2025-02-15T00:00:00"/>
    <x v="2"/>
    <x v="1"/>
    <x v="0"/>
    <x v="0"/>
    <x v="8"/>
    <x v="3"/>
    <x v="6"/>
    <x v="2"/>
  </r>
  <r>
    <x v="1131"/>
    <x v="6"/>
    <x v="0"/>
    <n v="74.7"/>
    <n v="74.7"/>
    <x v="44"/>
    <d v="2025-02-15T00:00:00"/>
    <x v="1"/>
    <x v="0"/>
    <x v="1"/>
    <x v="0"/>
    <x v="8"/>
    <x v="3"/>
    <x v="6"/>
    <x v="1"/>
  </r>
  <r>
    <x v="1132"/>
    <x v="19"/>
    <x v="2"/>
    <n v="22.4"/>
    <n v="67.199999999999989"/>
    <x v="44"/>
    <d v="2025-02-15T00:00:00"/>
    <x v="2"/>
    <x v="1"/>
    <x v="2"/>
    <x v="0"/>
    <x v="9"/>
    <x v="3"/>
    <x v="6"/>
    <x v="2"/>
  </r>
  <r>
    <x v="1133"/>
    <x v="1"/>
    <x v="12"/>
    <n v="31.4"/>
    <n v="125.6"/>
    <x v="44"/>
    <d v="2025-02-15T00:00:00"/>
    <x v="2"/>
    <x v="1"/>
    <x v="0"/>
    <x v="0"/>
    <x v="9"/>
    <x v="3"/>
    <x v="6"/>
    <x v="2"/>
  </r>
  <r>
    <x v="1134"/>
    <x v="6"/>
    <x v="0"/>
    <n v="94"/>
    <n v="94"/>
    <x v="44"/>
    <d v="2025-02-14T00:00:00"/>
    <x v="2"/>
    <x v="1"/>
    <x v="2"/>
    <x v="0"/>
    <x v="10"/>
    <x v="7"/>
    <x v="6"/>
    <x v="2"/>
  </r>
  <r>
    <x v="1135"/>
    <x v="10"/>
    <x v="0"/>
    <n v="22.3"/>
    <n v="22.3"/>
    <x v="44"/>
    <d v="2025-02-15T00:00:00"/>
    <x v="1"/>
    <x v="4"/>
    <x v="0"/>
    <x v="0"/>
    <x v="20"/>
    <x v="3"/>
    <x v="6"/>
    <x v="1"/>
  </r>
  <r>
    <x v="1136"/>
    <x v="0"/>
    <x v="0"/>
    <n v="21.9"/>
    <n v="21.9"/>
    <x v="44"/>
    <d v="2025-02-17T00:00:00"/>
    <x v="2"/>
    <x v="2"/>
    <x v="0"/>
    <x v="0"/>
    <x v="21"/>
    <x v="2"/>
    <x v="6"/>
    <x v="2"/>
  </r>
  <r>
    <x v="1137"/>
    <x v="17"/>
    <x v="2"/>
    <n v="27"/>
    <n v="81"/>
    <x v="44"/>
    <d v="2025-02-16T00:00:00"/>
    <x v="2"/>
    <x v="4"/>
    <x v="2"/>
    <x v="0"/>
    <x v="2"/>
    <x v="1"/>
    <x v="6"/>
    <x v="2"/>
  </r>
  <r>
    <x v="1138"/>
    <x v="2"/>
    <x v="12"/>
    <n v="149.6"/>
    <n v="598.4"/>
    <x v="44"/>
    <d v="2025-02-14T00:00:00"/>
    <x v="2"/>
    <x v="4"/>
    <x v="0"/>
    <x v="0"/>
    <x v="22"/>
    <x v="7"/>
    <x v="6"/>
    <x v="2"/>
  </r>
  <r>
    <x v="1139"/>
    <x v="2"/>
    <x v="12"/>
    <n v="129.1"/>
    <n v="516.4"/>
    <x v="44"/>
    <d v="2025-02-24T00:00:00"/>
    <x v="1"/>
    <x v="0"/>
    <x v="1"/>
    <x v="0"/>
    <x v="3"/>
    <x v="14"/>
    <x v="6"/>
    <x v="1"/>
  </r>
  <r>
    <x v="1140"/>
    <x v="1"/>
    <x v="4"/>
    <n v="40.4"/>
    <n v="484.79999999999995"/>
    <x v="44"/>
    <d v="2025-02-15T00:00:00"/>
    <x v="1"/>
    <x v="1"/>
    <x v="1"/>
    <x v="0"/>
    <x v="3"/>
    <x v="3"/>
    <x v="6"/>
    <x v="1"/>
  </r>
  <r>
    <x v="1141"/>
    <x v="4"/>
    <x v="2"/>
    <n v="48.5"/>
    <n v="145.5"/>
    <x v="44"/>
    <d v="2025-02-16T00:00:00"/>
    <x v="2"/>
    <x v="0"/>
    <x v="4"/>
    <x v="0"/>
    <x v="3"/>
    <x v="1"/>
    <x v="6"/>
    <x v="2"/>
  </r>
  <r>
    <x v="1142"/>
    <x v="9"/>
    <x v="1"/>
    <n v="37.6"/>
    <n v="75.2"/>
    <x v="44"/>
    <d v="2025-02-16T00:00:00"/>
    <x v="2"/>
    <x v="1"/>
    <x v="2"/>
    <x v="0"/>
    <x v="3"/>
    <x v="1"/>
    <x v="6"/>
    <x v="2"/>
  </r>
  <r>
    <x v="1143"/>
    <x v="8"/>
    <x v="1"/>
    <n v="19.600000000000001"/>
    <n v="39.200000000000003"/>
    <x v="44"/>
    <d v="2025-02-15T00:00:00"/>
    <x v="1"/>
    <x v="3"/>
    <x v="4"/>
    <x v="0"/>
    <x v="43"/>
    <x v="3"/>
    <x v="6"/>
    <x v="1"/>
  </r>
  <r>
    <x v="1144"/>
    <x v="8"/>
    <x v="9"/>
    <n v="18.5"/>
    <n v="92.5"/>
    <x v="44"/>
    <d v="2025-02-15T00:00:00"/>
    <x v="2"/>
    <x v="2"/>
    <x v="1"/>
    <x v="0"/>
    <x v="6"/>
    <x v="3"/>
    <x v="6"/>
    <x v="2"/>
  </r>
  <r>
    <x v="1145"/>
    <x v="5"/>
    <x v="2"/>
    <n v="25.5"/>
    <n v="76.5"/>
    <x v="44"/>
    <d v="2025-02-16T00:00:00"/>
    <x v="2"/>
    <x v="4"/>
    <x v="1"/>
    <x v="0"/>
    <x v="6"/>
    <x v="1"/>
    <x v="6"/>
    <x v="2"/>
  </r>
  <r>
    <x v="1146"/>
    <x v="2"/>
    <x v="1"/>
    <n v="94.7"/>
    <n v="189.4"/>
    <x v="44"/>
    <d v="2025-02-15T00:00:00"/>
    <x v="2"/>
    <x v="2"/>
    <x v="0"/>
    <x v="0"/>
    <x v="36"/>
    <x v="3"/>
    <x v="6"/>
    <x v="2"/>
  </r>
  <r>
    <x v="1147"/>
    <x v="1"/>
    <x v="13"/>
    <n v="38.799999999999997"/>
    <n v="232.79999999999998"/>
    <x v="44"/>
    <d v="2025-02-19T00:00:00"/>
    <x v="2"/>
    <x v="2"/>
    <x v="2"/>
    <x v="0"/>
    <x v="8"/>
    <x v="0"/>
    <x v="6"/>
    <x v="2"/>
  </r>
  <r>
    <x v="1148"/>
    <x v="9"/>
    <x v="1"/>
    <n v="49.4"/>
    <n v="98.8"/>
    <x v="45"/>
    <d v="2025-02-23T00:00:00"/>
    <x v="1"/>
    <x v="4"/>
    <x v="1"/>
    <x v="0"/>
    <x v="8"/>
    <x v="9"/>
    <x v="6"/>
    <x v="1"/>
  </r>
  <r>
    <x v="1149"/>
    <x v="7"/>
    <x v="2"/>
    <n v="68"/>
    <n v="204"/>
    <x v="45"/>
    <d v="2025-02-18T00:00:00"/>
    <x v="1"/>
    <x v="0"/>
    <x v="2"/>
    <x v="0"/>
    <x v="8"/>
    <x v="2"/>
    <x v="6"/>
    <x v="1"/>
  </r>
  <r>
    <x v="1150"/>
    <x v="15"/>
    <x v="3"/>
    <n v="63.7"/>
    <n v="445.90000000000003"/>
    <x v="45"/>
    <d v="2025-02-16T00:00:00"/>
    <x v="2"/>
    <x v="2"/>
    <x v="2"/>
    <x v="0"/>
    <x v="8"/>
    <x v="3"/>
    <x v="6"/>
    <x v="2"/>
  </r>
  <r>
    <x v="1151"/>
    <x v="10"/>
    <x v="1"/>
    <n v="66.2"/>
    <n v="132.4"/>
    <x v="45"/>
    <d v="2025-02-16T00:00:00"/>
    <x v="2"/>
    <x v="4"/>
    <x v="2"/>
    <x v="0"/>
    <x v="17"/>
    <x v="3"/>
    <x v="6"/>
    <x v="2"/>
  </r>
  <r>
    <x v="1152"/>
    <x v="12"/>
    <x v="2"/>
    <n v="32.299999999999997"/>
    <n v="96.899999999999991"/>
    <x v="45"/>
    <d v="2025-02-16T00:00:00"/>
    <x v="3"/>
    <x v="2"/>
    <x v="1"/>
    <x v="0"/>
    <x v="9"/>
    <x v="3"/>
    <x v="6"/>
    <x v="3"/>
  </r>
  <r>
    <x v="1153"/>
    <x v="4"/>
    <x v="1"/>
    <n v="66.900000000000006"/>
    <n v="133.80000000000001"/>
    <x v="45"/>
    <d v="2025-02-18T00:00:00"/>
    <x v="1"/>
    <x v="1"/>
    <x v="0"/>
    <x v="0"/>
    <x v="11"/>
    <x v="2"/>
    <x v="6"/>
    <x v="1"/>
  </r>
  <r>
    <x v="1154"/>
    <x v="4"/>
    <x v="4"/>
    <n v="25.2"/>
    <n v="302.39999999999998"/>
    <x v="45"/>
    <d v="2025-02-19T00:00:00"/>
    <x v="2"/>
    <x v="0"/>
    <x v="1"/>
    <x v="0"/>
    <x v="11"/>
    <x v="5"/>
    <x v="6"/>
    <x v="2"/>
  </r>
  <r>
    <x v="1155"/>
    <x v="10"/>
    <x v="13"/>
    <n v="29.5"/>
    <n v="177"/>
    <x v="45"/>
    <d v="2025-02-16T00:00:00"/>
    <x v="1"/>
    <x v="2"/>
    <x v="0"/>
    <x v="0"/>
    <x v="11"/>
    <x v="3"/>
    <x v="6"/>
    <x v="1"/>
  </r>
  <r>
    <x v="1156"/>
    <x v="8"/>
    <x v="9"/>
    <n v="21.6"/>
    <n v="108"/>
    <x v="45"/>
    <d v="2025-02-17T00:00:00"/>
    <x v="2"/>
    <x v="0"/>
    <x v="2"/>
    <x v="0"/>
    <x v="32"/>
    <x v="1"/>
    <x v="6"/>
    <x v="2"/>
  </r>
  <r>
    <x v="1157"/>
    <x v="12"/>
    <x v="2"/>
    <n v="69"/>
    <n v="207"/>
    <x v="45"/>
    <d v="2025-02-16T00:00:00"/>
    <x v="2"/>
    <x v="0"/>
    <x v="0"/>
    <x v="0"/>
    <x v="18"/>
    <x v="3"/>
    <x v="6"/>
    <x v="2"/>
  </r>
  <r>
    <x v="1158"/>
    <x v="7"/>
    <x v="1"/>
    <n v="115"/>
    <n v="230"/>
    <x v="45"/>
    <d v="2025-02-19T00:00:00"/>
    <x v="1"/>
    <x v="0"/>
    <x v="2"/>
    <x v="0"/>
    <x v="18"/>
    <x v="5"/>
    <x v="6"/>
    <x v="1"/>
  </r>
  <r>
    <x v="1159"/>
    <x v="2"/>
    <x v="1"/>
    <n v="109.3"/>
    <n v="218.6"/>
    <x v="45"/>
    <d v="2025-02-17T00:00:00"/>
    <x v="0"/>
    <x v="3"/>
    <x v="1"/>
    <x v="0"/>
    <x v="19"/>
    <x v="1"/>
    <x v="6"/>
    <x v="0"/>
  </r>
  <r>
    <x v="1160"/>
    <x v="9"/>
    <x v="1"/>
    <n v="66.599999999999994"/>
    <n v="133.19999999999999"/>
    <x v="45"/>
    <d v="2025-02-18T00:00:00"/>
    <x v="0"/>
    <x v="4"/>
    <x v="1"/>
    <x v="0"/>
    <x v="19"/>
    <x v="2"/>
    <x v="6"/>
    <x v="0"/>
  </r>
  <r>
    <x v="1161"/>
    <x v="12"/>
    <x v="9"/>
    <n v="47.7"/>
    <n v="238.5"/>
    <x v="45"/>
    <d v="2025-02-16T00:00:00"/>
    <x v="1"/>
    <x v="3"/>
    <x v="2"/>
    <x v="0"/>
    <x v="21"/>
    <x v="3"/>
    <x v="6"/>
    <x v="1"/>
  </r>
  <r>
    <x v="1162"/>
    <x v="8"/>
    <x v="1"/>
    <n v="46"/>
    <n v="92"/>
    <x v="45"/>
    <d v="2025-02-16T00:00:00"/>
    <x v="2"/>
    <x v="4"/>
    <x v="4"/>
    <x v="0"/>
    <x v="22"/>
    <x v="3"/>
    <x v="6"/>
    <x v="2"/>
  </r>
  <r>
    <x v="1163"/>
    <x v="1"/>
    <x v="13"/>
    <n v="39.299999999999997"/>
    <n v="235.79999999999998"/>
    <x v="45"/>
    <d v="2025-02-17T00:00:00"/>
    <x v="1"/>
    <x v="3"/>
    <x v="2"/>
    <x v="0"/>
    <x v="3"/>
    <x v="1"/>
    <x v="6"/>
    <x v="1"/>
  </r>
  <r>
    <x v="1164"/>
    <x v="9"/>
    <x v="0"/>
    <n v="70.2"/>
    <n v="70.2"/>
    <x v="45"/>
    <d v="2025-02-16T00:00:00"/>
    <x v="2"/>
    <x v="0"/>
    <x v="4"/>
    <x v="0"/>
    <x v="3"/>
    <x v="3"/>
    <x v="6"/>
    <x v="2"/>
  </r>
  <r>
    <x v="1165"/>
    <x v="3"/>
    <x v="12"/>
    <n v="71.5"/>
    <n v="286"/>
    <x v="45"/>
    <d v="2025-02-15T00:00:00"/>
    <x v="2"/>
    <x v="1"/>
    <x v="2"/>
    <x v="0"/>
    <x v="3"/>
    <x v="7"/>
    <x v="6"/>
    <x v="2"/>
  </r>
  <r>
    <x v="1166"/>
    <x v="10"/>
    <x v="3"/>
    <n v="31"/>
    <n v="217"/>
    <x v="45"/>
    <d v="2025-02-22T00:00:00"/>
    <x v="2"/>
    <x v="3"/>
    <x v="2"/>
    <x v="0"/>
    <x v="3"/>
    <x v="6"/>
    <x v="6"/>
    <x v="2"/>
  </r>
  <r>
    <x v="1167"/>
    <x v="2"/>
    <x v="9"/>
    <n v="68.2"/>
    <n v="341"/>
    <x v="45"/>
    <d v="2025-02-20T00:00:00"/>
    <x v="2"/>
    <x v="0"/>
    <x v="2"/>
    <x v="0"/>
    <x v="3"/>
    <x v="0"/>
    <x v="6"/>
    <x v="2"/>
  </r>
  <r>
    <x v="1168"/>
    <x v="2"/>
    <x v="0"/>
    <n v="91.4"/>
    <n v="91.4"/>
    <x v="45"/>
    <d v="2025-02-19T00:00:00"/>
    <x v="2"/>
    <x v="1"/>
    <x v="2"/>
    <x v="0"/>
    <x v="6"/>
    <x v="5"/>
    <x v="6"/>
    <x v="2"/>
  </r>
  <r>
    <x v="1169"/>
    <x v="6"/>
    <x v="7"/>
    <n v="112.9"/>
    <n v="1129"/>
    <x v="45"/>
    <d v="2025-02-16T00:00:00"/>
    <x v="2"/>
    <x v="0"/>
    <x v="0"/>
    <x v="0"/>
    <x v="6"/>
    <x v="3"/>
    <x v="6"/>
    <x v="2"/>
  </r>
  <r>
    <x v="1170"/>
    <x v="17"/>
    <x v="11"/>
    <n v="33.700000000000003"/>
    <n v="303.3"/>
    <x v="45"/>
    <d v="2025-02-16T00:00:00"/>
    <x v="2"/>
    <x v="1"/>
    <x v="2"/>
    <x v="0"/>
    <x v="8"/>
    <x v="3"/>
    <x v="6"/>
    <x v="2"/>
  </r>
  <r>
    <x v="1171"/>
    <x v="15"/>
    <x v="7"/>
    <n v="35.299999999999997"/>
    <n v="353"/>
    <x v="45"/>
    <d v="2025-02-17T00:00:00"/>
    <x v="1"/>
    <x v="2"/>
    <x v="0"/>
    <x v="0"/>
    <x v="8"/>
    <x v="1"/>
    <x v="6"/>
    <x v="1"/>
  </r>
  <r>
    <x v="1172"/>
    <x v="18"/>
    <x v="2"/>
    <n v="45.6"/>
    <n v="136.80000000000001"/>
    <x v="45"/>
    <d v="2025-02-19T00:00:00"/>
    <x v="1"/>
    <x v="3"/>
    <x v="0"/>
    <x v="0"/>
    <x v="8"/>
    <x v="5"/>
    <x v="6"/>
    <x v="1"/>
  </r>
  <r>
    <x v="1173"/>
    <x v="7"/>
    <x v="3"/>
    <n v="47.1"/>
    <n v="329.7"/>
    <x v="45"/>
    <d v="2025-02-16T00:00:00"/>
    <x v="2"/>
    <x v="4"/>
    <x v="2"/>
    <x v="0"/>
    <x v="9"/>
    <x v="3"/>
    <x v="6"/>
    <x v="2"/>
  </r>
  <r>
    <x v="1174"/>
    <x v="8"/>
    <x v="9"/>
    <n v="16.2"/>
    <n v="81"/>
    <x v="45"/>
    <d v="2025-02-17T00:00:00"/>
    <x v="2"/>
    <x v="3"/>
    <x v="2"/>
    <x v="0"/>
    <x v="19"/>
    <x v="1"/>
    <x v="6"/>
    <x v="2"/>
  </r>
  <r>
    <x v="1175"/>
    <x v="1"/>
    <x v="1"/>
    <n v="159.69999999999999"/>
    <n v="319.39999999999998"/>
    <x v="46"/>
    <d v="2025-02-17T00:00:00"/>
    <x v="1"/>
    <x v="4"/>
    <x v="0"/>
    <x v="0"/>
    <x v="13"/>
    <x v="3"/>
    <x v="7"/>
    <x v="1"/>
  </r>
  <r>
    <x v="1176"/>
    <x v="8"/>
    <x v="12"/>
    <n v="19"/>
    <n v="76"/>
    <x v="46"/>
    <d v="2025-02-23T00:00:00"/>
    <x v="2"/>
    <x v="2"/>
    <x v="2"/>
    <x v="0"/>
    <x v="21"/>
    <x v="6"/>
    <x v="7"/>
    <x v="2"/>
  </r>
  <r>
    <x v="1177"/>
    <x v="6"/>
    <x v="13"/>
    <n v="91.1"/>
    <n v="546.59999999999991"/>
    <x v="46"/>
    <d v="2025-02-25T00:00:00"/>
    <x v="2"/>
    <x v="4"/>
    <x v="0"/>
    <x v="0"/>
    <x v="21"/>
    <x v="8"/>
    <x v="7"/>
    <x v="2"/>
  </r>
  <r>
    <x v="1178"/>
    <x v="2"/>
    <x v="9"/>
    <n v="94.1"/>
    <n v="470.5"/>
    <x v="46"/>
    <d v="2025-02-19T00:00:00"/>
    <x v="0"/>
    <x v="1"/>
    <x v="1"/>
    <x v="0"/>
    <x v="21"/>
    <x v="2"/>
    <x v="7"/>
    <x v="0"/>
  </r>
  <r>
    <x v="1179"/>
    <x v="9"/>
    <x v="11"/>
    <n v="21.1"/>
    <n v="189.9"/>
    <x v="46"/>
    <d v="2025-02-17T00:00:00"/>
    <x v="2"/>
    <x v="4"/>
    <x v="2"/>
    <x v="0"/>
    <x v="51"/>
    <x v="3"/>
    <x v="7"/>
    <x v="2"/>
  </r>
  <r>
    <x v="1180"/>
    <x v="8"/>
    <x v="3"/>
    <n v="15.3"/>
    <n v="107.10000000000001"/>
    <x v="46"/>
    <d v="2025-02-24T00:00:00"/>
    <x v="2"/>
    <x v="2"/>
    <x v="0"/>
    <x v="0"/>
    <x v="1"/>
    <x v="9"/>
    <x v="7"/>
    <x v="2"/>
  </r>
  <r>
    <x v="1181"/>
    <x v="15"/>
    <x v="12"/>
    <n v="21.3"/>
    <n v="85.2"/>
    <x v="46"/>
    <d v="2025-02-19T00:00:00"/>
    <x v="1"/>
    <x v="1"/>
    <x v="0"/>
    <x v="0"/>
    <x v="3"/>
    <x v="2"/>
    <x v="7"/>
    <x v="1"/>
  </r>
  <r>
    <x v="1182"/>
    <x v="0"/>
    <x v="1"/>
    <n v="23.2"/>
    <n v="46.4"/>
    <x v="46"/>
    <d v="2025-02-16T00:00:00"/>
    <x v="0"/>
    <x v="3"/>
    <x v="1"/>
    <x v="0"/>
    <x v="3"/>
    <x v="7"/>
    <x v="7"/>
    <x v="0"/>
  </r>
  <r>
    <x v="1183"/>
    <x v="4"/>
    <x v="2"/>
    <n v="25.7"/>
    <n v="77.099999999999994"/>
    <x v="46"/>
    <d v="2025-02-17T00:00:00"/>
    <x v="1"/>
    <x v="4"/>
    <x v="0"/>
    <x v="0"/>
    <x v="3"/>
    <x v="3"/>
    <x v="7"/>
    <x v="1"/>
  </r>
  <r>
    <x v="1184"/>
    <x v="0"/>
    <x v="11"/>
    <n v="31.6"/>
    <n v="284.40000000000003"/>
    <x v="46"/>
    <d v="2025-02-18T00:00:00"/>
    <x v="2"/>
    <x v="0"/>
    <x v="0"/>
    <x v="0"/>
    <x v="3"/>
    <x v="1"/>
    <x v="7"/>
    <x v="2"/>
  </r>
  <r>
    <x v="1185"/>
    <x v="6"/>
    <x v="0"/>
    <n v="64.2"/>
    <n v="64.2"/>
    <x v="46"/>
    <d v="2025-02-21T00:00:00"/>
    <x v="1"/>
    <x v="0"/>
    <x v="0"/>
    <x v="0"/>
    <x v="3"/>
    <x v="0"/>
    <x v="7"/>
    <x v="1"/>
  </r>
  <r>
    <x v="1186"/>
    <x v="8"/>
    <x v="1"/>
    <n v="55.8"/>
    <n v="111.6"/>
    <x v="46"/>
    <d v="2025-02-18T00:00:00"/>
    <x v="0"/>
    <x v="0"/>
    <x v="0"/>
    <x v="0"/>
    <x v="3"/>
    <x v="1"/>
    <x v="7"/>
    <x v="0"/>
  </r>
  <r>
    <x v="1187"/>
    <x v="8"/>
    <x v="1"/>
    <n v="28.1"/>
    <n v="56.2"/>
    <x v="46"/>
    <d v="2025-02-17T00:00:00"/>
    <x v="2"/>
    <x v="4"/>
    <x v="1"/>
    <x v="0"/>
    <x v="3"/>
    <x v="3"/>
    <x v="7"/>
    <x v="2"/>
  </r>
  <r>
    <x v="1188"/>
    <x v="0"/>
    <x v="1"/>
    <n v="11.6"/>
    <n v="23.2"/>
    <x v="46"/>
    <d v="2025-02-18T00:00:00"/>
    <x v="2"/>
    <x v="1"/>
    <x v="0"/>
    <x v="0"/>
    <x v="24"/>
    <x v="1"/>
    <x v="7"/>
    <x v="2"/>
  </r>
  <r>
    <x v="1189"/>
    <x v="5"/>
    <x v="2"/>
    <n v="50.4"/>
    <n v="151.19999999999999"/>
    <x v="46"/>
    <d v="2025-02-17T00:00:00"/>
    <x v="1"/>
    <x v="4"/>
    <x v="2"/>
    <x v="0"/>
    <x v="25"/>
    <x v="3"/>
    <x v="7"/>
    <x v="1"/>
  </r>
  <r>
    <x v="1190"/>
    <x v="6"/>
    <x v="13"/>
    <n v="48.3"/>
    <n v="289.79999999999995"/>
    <x v="46"/>
    <d v="2025-02-20T00:00:00"/>
    <x v="2"/>
    <x v="0"/>
    <x v="0"/>
    <x v="0"/>
    <x v="25"/>
    <x v="5"/>
    <x v="7"/>
    <x v="2"/>
  </r>
  <r>
    <x v="1191"/>
    <x v="17"/>
    <x v="3"/>
    <n v="32.200000000000003"/>
    <n v="225.40000000000003"/>
    <x v="46"/>
    <d v="2025-02-18T00:00:00"/>
    <x v="2"/>
    <x v="2"/>
    <x v="0"/>
    <x v="0"/>
    <x v="25"/>
    <x v="1"/>
    <x v="7"/>
    <x v="2"/>
  </r>
  <r>
    <x v="1192"/>
    <x v="7"/>
    <x v="31"/>
    <n v="48.5"/>
    <n v="1358"/>
    <x v="46"/>
    <d v="2025-02-17T00:00:00"/>
    <x v="1"/>
    <x v="0"/>
    <x v="0"/>
    <x v="0"/>
    <x v="5"/>
    <x v="3"/>
    <x v="7"/>
    <x v="1"/>
  </r>
  <r>
    <x v="1193"/>
    <x v="2"/>
    <x v="9"/>
    <n v="62"/>
    <n v="310"/>
    <x v="46"/>
    <d v="2025-02-19T00:00:00"/>
    <x v="2"/>
    <x v="1"/>
    <x v="0"/>
    <x v="0"/>
    <x v="6"/>
    <x v="2"/>
    <x v="7"/>
    <x v="2"/>
  </r>
  <r>
    <x v="1194"/>
    <x v="8"/>
    <x v="2"/>
    <n v="32.1"/>
    <n v="96.300000000000011"/>
    <x v="47"/>
    <d v="2025-02-19T00:00:00"/>
    <x v="1"/>
    <x v="0"/>
    <x v="0"/>
    <x v="0"/>
    <x v="6"/>
    <x v="1"/>
    <x v="7"/>
    <x v="1"/>
  </r>
  <r>
    <x v="1195"/>
    <x v="12"/>
    <x v="2"/>
    <n v="106.1"/>
    <n v="318.29999999999995"/>
    <x v="47"/>
    <d v="2025-02-19T00:00:00"/>
    <x v="1"/>
    <x v="0"/>
    <x v="1"/>
    <x v="0"/>
    <x v="7"/>
    <x v="1"/>
    <x v="7"/>
    <x v="1"/>
  </r>
  <r>
    <x v="1196"/>
    <x v="10"/>
    <x v="2"/>
    <n v="23.5"/>
    <n v="70.5"/>
    <x v="47"/>
    <d v="2025-02-20T00:00:00"/>
    <x v="1"/>
    <x v="0"/>
    <x v="4"/>
    <x v="0"/>
    <x v="7"/>
    <x v="2"/>
    <x v="7"/>
    <x v="1"/>
  </r>
  <r>
    <x v="1197"/>
    <x v="1"/>
    <x v="1"/>
    <n v="35.6"/>
    <n v="71.2"/>
    <x v="47"/>
    <d v="2025-02-22T00:00:00"/>
    <x v="1"/>
    <x v="4"/>
    <x v="0"/>
    <x v="0"/>
    <x v="8"/>
    <x v="0"/>
    <x v="7"/>
    <x v="1"/>
  </r>
  <r>
    <x v="1198"/>
    <x v="1"/>
    <x v="1"/>
    <n v="63.5"/>
    <n v="127"/>
    <x v="47"/>
    <d v="2025-02-17T00:00:00"/>
    <x v="2"/>
    <x v="1"/>
    <x v="2"/>
    <x v="0"/>
    <x v="8"/>
    <x v="7"/>
    <x v="7"/>
    <x v="2"/>
  </r>
  <r>
    <x v="1199"/>
    <x v="6"/>
    <x v="3"/>
    <n v="82.9"/>
    <n v="580.30000000000007"/>
    <x v="47"/>
    <d v="2025-02-22T00:00:00"/>
    <x v="2"/>
    <x v="4"/>
    <x v="0"/>
    <x v="0"/>
    <x v="9"/>
    <x v="0"/>
    <x v="7"/>
    <x v="2"/>
  </r>
  <r>
    <x v="1200"/>
    <x v="6"/>
    <x v="1"/>
    <n v="83.6"/>
    <n v="167.2"/>
    <x v="47"/>
    <d v="2025-02-22T00:00:00"/>
    <x v="2"/>
    <x v="0"/>
    <x v="0"/>
    <x v="0"/>
    <x v="11"/>
    <x v="0"/>
    <x v="7"/>
    <x v="2"/>
  </r>
  <r>
    <x v="1201"/>
    <x v="4"/>
    <x v="1"/>
    <n v="29.4"/>
    <n v="58.8"/>
    <x v="47"/>
    <d v="2025-02-17T00:00:00"/>
    <x v="2"/>
    <x v="0"/>
    <x v="1"/>
    <x v="0"/>
    <x v="30"/>
    <x v="7"/>
    <x v="7"/>
    <x v="2"/>
  </r>
  <r>
    <x v="1202"/>
    <x v="2"/>
    <x v="2"/>
    <n v="107.1"/>
    <n v="321.29999999999995"/>
    <x v="47"/>
    <d v="2025-02-21T00:00:00"/>
    <x v="2"/>
    <x v="2"/>
    <x v="0"/>
    <x v="0"/>
    <x v="20"/>
    <x v="5"/>
    <x v="7"/>
    <x v="2"/>
  </r>
  <r>
    <x v="1203"/>
    <x v="2"/>
    <x v="0"/>
    <n v="62.7"/>
    <n v="62.7"/>
    <x v="47"/>
    <d v="2025-02-21T00:00:00"/>
    <x v="1"/>
    <x v="1"/>
    <x v="0"/>
    <x v="0"/>
    <x v="21"/>
    <x v="5"/>
    <x v="7"/>
    <x v="1"/>
  </r>
  <r>
    <x v="1204"/>
    <x v="11"/>
    <x v="0"/>
    <n v="41.6"/>
    <n v="41.6"/>
    <x v="47"/>
    <d v="2025-02-18T00:00:00"/>
    <x v="1"/>
    <x v="0"/>
    <x v="1"/>
    <x v="0"/>
    <x v="1"/>
    <x v="3"/>
    <x v="7"/>
    <x v="1"/>
  </r>
  <r>
    <x v="1205"/>
    <x v="6"/>
    <x v="0"/>
    <n v="44.2"/>
    <n v="44.2"/>
    <x v="47"/>
    <d v="2025-02-18T00:00:00"/>
    <x v="3"/>
    <x v="0"/>
    <x v="1"/>
    <x v="0"/>
    <x v="1"/>
    <x v="3"/>
    <x v="7"/>
    <x v="3"/>
  </r>
  <r>
    <x v="1206"/>
    <x v="4"/>
    <x v="13"/>
    <n v="40.4"/>
    <n v="242.39999999999998"/>
    <x v="47"/>
    <d v="2025-03-02T00:00:00"/>
    <x v="2"/>
    <x v="2"/>
    <x v="0"/>
    <x v="0"/>
    <x v="22"/>
    <x v="10"/>
    <x v="7"/>
    <x v="2"/>
  </r>
  <r>
    <x v="1207"/>
    <x v="15"/>
    <x v="13"/>
    <n v="59.6"/>
    <n v="357.6"/>
    <x v="47"/>
    <d v="2025-02-18T00:00:00"/>
    <x v="2"/>
    <x v="4"/>
    <x v="0"/>
    <x v="0"/>
    <x v="34"/>
    <x v="3"/>
    <x v="7"/>
    <x v="2"/>
  </r>
  <r>
    <x v="1208"/>
    <x v="17"/>
    <x v="4"/>
    <n v="63.8"/>
    <n v="765.59999999999991"/>
    <x v="47"/>
    <d v="2025-02-18T00:00:00"/>
    <x v="1"/>
    <x v="1"/>
    <x v="0"/>
    <x v="0"/>
    <x v="3"/>
    <x v="3"/>
    <x v="7"/>
    <x v="1"/>
  </r>
  <r>
    <x v="1209"/>
    <x v="9"/>
    <x v="13"/>
    <n v="30.8"/>
    <n v="184.8"/>
    <x v="47"/>
    <d v="2025-02-19T00:00:00"/>
    <x v="1"/>
    <x v="4"/>
    <x v="0"/>
    <x v="0"/>
    <x v="3"/>
    <x v="1"/>
    <x v="7"/>
    <x v="1"/>
  </r>
  <r>
    <x v="1210"/>
    <x v="1"/>
    <x v="1"/>
    <n v="41.5"/>
    <n v="83"/>
    <x v="47"/>
    <d v="2025-02-20T00:00:00"/>
    <x v="3"/>
    <x v="0"/>
    <x v="0"/>
    <x v="0"/>
    <x v="3"/>
    <x v="2"/>
    <x v="7"/>
    <x v="3"/>
  </r>
  <r>
    <x v="1211"/>
    <x v="10"/>
    <x v="12"/>
    <n v="44.7"/>
    <n v="178.8"/>
    <x v="47"/>
    <d v="2025-02-19T00:00:00"/>
    <x v="2"/>
    <x v="2"/>
    <x v="1"/>
    <x v="0"/>
    <x v="3"/>
    <x v="1"/>
    <x v="7"/>
    <x v="2"/>
  </r>
  <r>
    <x v="1212"/>
    <x v="12"/>
    <x v="1"/>
    <n v="64.099999999999994"/>
    <n v="128.19999999999999"/>
    <x v="47"/>
    <d v="2025-02-21T00:00:00"/>
    <x v="2"/>
    <x v="1"/>
    <x v="4"/>
    <x v="0"/>
    <x v="3"/>
    <x v="5"/>
    <x v="7"/>
    <x v="2"/>
  </r>
  <r>
    <x v="1213"/>
    <x v="8"/>
    <x v="0"/>
    <n v="15.9"/>
    <n v="15.9"/>
    <x v="47"/>
    <d v="2025-02-20T00:00:00"/>
    <x v="0"/>
    <x v="1"/>
    <x v="0"/>
    <x v="0"/>
    <x v="3"/>
    <x v="2"/>
    <x v="7"/>
    <x v="0"/>
  </r>
  <r>
    <x v="1214"/>
    <x v="6"/>
    <x v="1"/>
    <n v="78.7"/>
    <n v="157.4"/>
    <x v="47"/>
    <d v="2025-02-17T00:00:00"/>
    <x v="2"/>
    <x v="2"/>
    <x v="1"/>
    <x v="0"/>
    <x v="3"/>
    <x v="7"/>
    <x v="7"/>
    <x v="2"/>
  </r>
  <r>
    <x v="1215"/>
    <x v="5"/>
    <x v="4"/>
    <n v="29.6"/>
    <n v="355.20000000000005"/>
    <x v="47"/>
    <d v="2025-02-21T00:00:00"/>
    <x v="1"/>
    <x v="2"/>
    <x v="4"/>
    <x v="0"/>
    <x v="3"/>
    <x v="5"/>
    <x v="7"/>
    <x v="1"/>
  </r>
  <r>
    <x v="1216"/>
    <x v="8"/>
    <x v="12"/>
    <n v="21.5"/>
    <n v="86"/>
    <x v="47"/>
    <d v="2025-02-20T00:00:00"/>
    <x v="1"/>
    <x v="1"/>
    <x v="0"/>
    <x v="0"/>
    <x v="3"/>
    <x v="2"/>
    <x v="7"/>
    <x v="1"/>
  </r>
  <r>
    <x v="1217"/>
    <x v="9"/>
    <x v="2"/>
    <n v="74.900000000000006"/>
    <n v="224.70000000000002"/>
    <x v="47"/>
    <d v="2025-02-26T00:00:00"/>
    <x v="1"/>
    <x v="3"/>
    <x v="1"/>
    <x v="0"/>
    <x v="3"/>
    <x v="8"/>
    <x v="7"/>
    <x v="1"/>
  </r>
  <r>
    <x v="1218"/>
    <x v="10"/>
    <x v="13"/>
    <n v="45"/>
    <n v="270"/>
    <x v="47"/>
    <d v="2025-02-22T00:00:00"/>
    <x v="2"/>
    <x v="2"/>
    <x v="0"/>
    <x v="0"/>
    <x v="3"/>
    <x v="0"/>
    <x v="7"/>
    <x v="2"/>
  </r>
  <r>
    <x v="1219"/>
    <x v="7"/>
    <x v="33"/>
    <n v="37.9"/>
    <n v="1288.5999999999999"/>
    <x v="47"/>
    <d v="2025-02-18T00:00:00"/>
    <x v="1"/>
    <x v="0"/>
    <x v="0"/>
    <x v="0"/>
    <x v="3"/>
    <x v="3"/>
    <x v="7"/>
    <x v="1"/>
  </r>
  <r>
    <x v="1220"/>
    <x v="6"/>
    <x v="2"/>
    <n v="56.6"/>
    <n v="169.8"/>
    <x v="47"/>
    <d v="2025-02-18T00:00:00"/>
    <x v="1"/>
    <x v="3"/>
    <x v="0"/>
    <x v="0"/>
    <x v="3"/>
    <x v="3"/>
    <x v="7"/>
    <x v="1"/>
  </r>
  <r>
    <x v="1221"/>
    <x v="3"/>
    <x v="15"/>
    <n v="84.5"/>
    <n v="1098.5"/>
    <x v="47"/>
    <d v="2025-02-20T00:00:00"/>
    <x v="2"/>
    <x v="1"/>
    <x v="4"/>
    <x v="0"/>
    <x v="3"/>
    <x v="2"/>
    <x v="7"/>
    <x v="2"/>
  </r>
  <r>
    <x v="1222"/>
    <x v="2"/>
    <x v="9"/>
    <n v="105.4"/>
    <n v="527"/>
    <x v="47"/>
    <d v="2025-02-19T00:00:00"/>
    <x v="2"/>
    <x v="1"/>
    <x v="1"/>
    <x v="0"/>
    <x v="3"/>
    <x v="1"/>
    <x v="7"/>
    <x v="2"/>
  </r>
  <r>
    <x v="1223"/>
    <x v="18"/>
    <x v="3"/>
    <n v="39.4"/>
    <n v="275.8"/>
    <x v="48"/>
    <d v="2025-02-18T00:00:00"/>
    <x v="1"/>
    <x v="1"/>
    <x v="0"/>
    <x v="0"/>
    <x v="37"/>
    <x v="7"/>
    <x v="7"/>
    <x v="1"/>
  </r>
  <r>
    <x v="1224"/>
    <x v="19"/>
    <x v="2"/>
    <n v="38"/>
    <n v="114"/>
    <x v="48"/>
    <d v="2025-02-21T00:00:00"/>
    <x v="1"/>
    <x v="4"/>
    <x v="1"/>
    <x v="0"/>
    <x v="6"/>
    <x v="2"/>
    <x v="7"/>
    <x v="1"/>
  </r>
  <r>
    <x v="1225"/>
    <x v="17"/>
    <x v="12"/>
    <n v="42.5"/>
    <n v="170"/>
    <x v="48"/>
    <d v="2025-02-20T00:00:00"/>
    <x v="0"/>
    <x v="0"/>
    <x v="0"/>
    <x v="0"/>
    <x v="6"/>
    <x v="1"/>
    <x v="7"/>
    <x v="0"/>
  </r>
  <r>
    <x v="1226"/>
    <x v="15"/>
    <x v="0"/>
    <n v="62.3"/>
    <n v="62.3"/>
    <x v="48"/>
    <d v="2025-02-27T00:00:00"/>
    <x v="1"/>
    <x v="0"/>
    <x v="2"/>
    <x v="0"/>
    <x v="6"/>
    <x v="8"/>
    <x v="7"/>
    <x v="1"/>
  </r>
  <r>
    <x v="1227"/>
    <x v="6"/>
    <x v="9"/>
    <n v="49.1"/>
    <n v="245.5"/>
    <x v="48"/>
    <d v="2025-02-20T00:00:00"/>
    <x v="2"/>
    <x v="1"/>
    <x v="2"/>
    <x v="0"/>
    <x v="7"/>
    <x v="1"/>
    <x v="7"/>
    <x v="2"/>
  </r>
  <r>
    <x v="1228"/>
    <x v="3"/>
    <x v="1"/>
    <n v="30.5"/>
    <n v="61"/>
    <x v="48"/>
    <d v="2025-02-21T00:00:00"/>
    <x v="1"/>
    <x v="0"/>
    <x v="2"/>
    <x v="0"/>
    <x v="8"/>
    <x v="2"/>
    <x v="7"/>
    <x v="1"/>
  </r>
  <r>
    <x v="1229"/>
    <x v="2"/>
    <x v="1"/>
    <n v="154.80000000000001"/>
    <n v="309.60000000000002"/>
    <x v="48"/>
    <d v="2025-02-21T00:00:00"/>
    <x v="2"/>
    <x v="1"/>
    <x v="4"/>
    <x v="0"/>
    <x v="8"/>
    <x v="2"/>
    <x v="7"/>
    <x v="2"/>
  </r>
  <r>
    <x v="1230"/>
    <x v="6"/>
    <x v="0"/>
    <n v="45"/>
    <n v="45"/>
    <x v="48"/>
    <d v="2025-02-22T00:00:00"/>
    <x v="1"/>
    <x v="3"/>
    <x v="1"/>
    <x v="0"/>
    <x v="8"/>
    <x v="5"/>
    <x v="7"/>
    <x v="1"/>
  </r>
  <r>
    <x v="1231"/>
    <x v="0"/>
    <x v="3"/>
    <n v="15.3"/>
    <n v="107.10000000000001"/>
    <x v="48"/>
    <d v="2025-02-19T00:00:00"/>
    <x v="1"/>
    <x v="0"/>
    <x v="2"/>
    <x v="0"/>
    <x v="8"/>
    <x v="3"/>
    <x v="7"/>
    <x v="1"/>
  </r>
  <r>
    <x v="1232"/>
    <x v="2"/>
    <x v="5"/>
    <n v="88.6"/>
    <n v="974.59999999999991"/>
    <x v="48"/>
    <d v="2025-02-21T00:00:00"/>
    <x v="2"/>
    <x v="0"/>
    <x v="4"/>
    <x v="0"/>
    <x v="17"/>
    <x v="2"/>
    <x v="7"/>
    <x v="2"/>
  </r>
  <r>
    <x v="1233"/>
    <x v="9"/>
    <x v="1"/>
    <n v="49.7"/>
    <n v="99.4"/>
    <x v="48"/>
    <d v="2025-02-20T00:00:00"/>
    <x v="3"/>
    <x v="4"/>
    <x v="0"/>
    <x v="0"/>
    <x v="10"/>
    <x v="1"/>
    <x v="7"/>
    <x v="3"/>
  </r>
  <r>
    <x v="1234"/>
    <x v="10"/>
    <x v="0"/>
    <n v="29"/>
    <n v="29"/>
    <x v="48"/>
    <d v="2025-02-19T00:00:00"/>
    <x v="1"/>
    <x v="0"/>
    <x v="0"/>
    <x v="0"/>
    <x v="11"/>
    <x v="3"/>
    <x v="7"/>
    <x v="1"/>
  </r>
  <r>
    <x v="1235"/>
    <x v="1"/>
    <x v="0"/>
    <n v="60.7"/>
    <n v="60.7"/>
    <x v="48"/>
    <d v="2025-02-19T00:00:00"/>
    <x v="3"/>
    <x v="0"/>
    <x v="1"/>
    <x v="0"/>
    <x v="11"/>
    <x v="3"/>
    <x v="7"/>
    <x v="3"/>
  </r>
  <r>
    <x v="1236"/>
    <x v="17"/>
    <x v="12"/>
    <n v="87.4"/>
    <n v="349.6"/>
    <x v="48"/>
    <d v="2025-02-20T00:00:00"/>
    <x v="0"/>
    <x v="0"/>
    <x v="0"/>
    <x v="0"/>
    <x v="11"/>
    <x v="1"/>
    <x v="7"/>
    <x v="0"/>
  </r>
  <r>
    <x v="1237"/>
    <x v="4"/>
    <x v="3"/>
    <n v="44.5"/>
    <n v="311.5"/>
    <x v="48"/>
    <d v="2025-02-22T00:00:00"/>
    <x v="2"/>
    <x v="2"/>
    <x v="2"/>
    <x v="0"/>
    <x v="19"/>
    <x v="5"/>
    <x v="7"/>
    <x v="2"/>
  </r>
  <r>
    <x v="1238"/>
    <x v="2"/>
    <x v="0"/>
    <n v="141"/>
    <n v="141"/>
    <x v="48"/>
    <d v="2025-02-19T00:00:00"/>
    <x v="1"/>
    <x v="4"/>
    <x v="2"/>
    <x v="0"/>
    <x v="19"/>
    <x v="3"/>
    <x v="7"/>
    <x v="1"/>
  </r>
  <r>
    <x v="1239"/>
    <x v="0"/>
    <x v="2"/>
    <n v="16.7"/>
    <n v="50.099999999999994"/>
    <x v="48"/>
    <d v="2025-02-26T00:00:00"/>
    <x v="2"/>
    <x v="0"/>
    <x v="0"/>
    <x v="0"/>
    <x v="20"/>
    <x v="9"/>
    <x v="7"/>
    <x v="2"/>
  </r>
  <r>
    <x v="1240"/>
    <x v="1"/>
    <x v="1"/>
    <n v="77.5"/>
    <n v="155"/>
    <x v="48"/>
    <d v="2025-02-19T00:00:00"/>
    <x v="0"/>
    <x v="2"/>
    <x v="2"/>
    <x v="0"/>
    <x v="13"/>
    <x v="3"/>
    <x v="7"/>
    <x v="0"/>
  </r>
  <r>
    <x v="1241"/>
    <x v="2"/>
    <x v="1"/>
    <n v="163"/>
    <n v="326"/>
    <x v="48"/>
    <d v="2025-02-24T00:00:00"/>
    <x v="2"/>
    <x v="4"/>
    <x v="0"/>
    <x v="0"/>
    <x v="21"/>
    <x v="4"/>
    <x v="7"/>
    <x v="2"/>
  </r>
  <r>
    <x v="1242"/>
    <x v="4"/>
    <x v="11"/>
    <n v="21.4"/>
    <n v="192.6"/>
    <x v="48"/>
    <d v="2025-02-21T00:00:00"/>
    <x v="2"/>
    <x v="0"/>
    <x v="0"/>
    <x v="0"/>
    <x v="51"/>
    <x v="2"/>
    <x v="7"/>
    <x v="2"/>
  </r>
  <r>
    <x v="1243"/>
    <x v="10"/>
    <x v="5"/>
    <n v="31"/>
    <n v="341"/>
    <x v="48"/>
    <d v="2025-02-20T00:00:00"/>
    <x v="2"/>
    <x v="3"/>
    <x v="2"/>
    <x v="0"/>
    <x v="1"/>
    <x v="1"/>
    <x v="7"/>
    <x v="2"/>
  </r>
  <r>
    <x v="1244"/>
    <x v="7"/>
    <x v="1"/>
    <n v="34.299999999999997"/>
    <n v="68.599999999999994"/>
    <x v="48"/>
    <d v="2025-02-20T00:00:00"/>
    <x v="2"/>
    <x v="0"/>
    <x v="3"/>
    <x v="0"/>
    <x v="1"/>
    <x v="1"/>
    <x v="7"/>
    <x v="2"/>
  </r>
  <r>
    <x v="1245"/>
    <x v="17"/>
    <x v="9"/>
    <n v="48.2"/>
    <n v="241"/>
    <x v="48"/>
    <d v="2025-02-19T00:00:00"/>
    <x v="1"/>
    <x v="1"/>
    <x v="1"/>
    <x v="0"/>
    <x v="2"/>
    <x v="3"/>
    <x v="7"/>
    <x v="1"/>
  </r>
  <r>
    <x v="1246"/>
    <x v="10"/>
    <x v="0"/>
    <n v="51.4"/>
    <n v="51.4"/>
    <x v="48"/>
    <d v="2025-02-19T00:00:00"/>
    <x v="1"/>
    <x v="0"/>
    <x v="0"/>
    <x v="0"/>
    <x v="3"/>
    <x v="3"/>
    <x v="7"/>
    <x v="1"/>
  </r>
  <r>
    <x v="1247"/>
    <x v="2"/>
    <x v="9"/>
    <n v="117.2"/>
    <n v="586"/>
    <x v="48"/>
    <d v="2025-02-21T00:00:00"/>
    <x v="2"/>
    <x v="4"/>
    <x v="4"/>
    <x v="0"/>
    <x v="3"/>
    <x v="2"/>
    <x v="7"/>
    <x v="2"/>
  </r>
  <r>
    <x v="1248"/>
    <x v="8"/>
    <x v="0"/>
    <n v="38.1"/>
    <n v="38.1"/>
    <x v="48"/>
    <d v="2025-02-18T00:00:00"/>
    <x v="1"/>
    <x v="4"/>
    <x v="1"/>
    <x v="0"/>
    <x v="3"/>
    <x v="7"/>
    <x v="7"/>
    <x v="1"/>
  </r>
  <r>
    <x v="1249"/>
    <x v="0"/>
    <x v="1"/>
    <n v="44.1"/>
    <n v="88.2"/>
    <x v="48"/>
    <d v="2025-02-20T00:00:00"/>
    <x v="2"/>
    <x v="2"/>
    <x v="0"/>
    <x v="0"/>
    <x v="3"/>
    <x v="1"/>
    <x v="7"/>
    <x v="2"/>
  </r>
  <r>
    <x v="1250"/>
    <x v="15"/>
    <x v="12"/>
    <n v="80.5"/>
    <n v="322"/>
    <x v="48"/>
    <d v="2025-02-23T00:00:00"/>
    <x v="1"/>
    <x v="0"/>
    <x v="0"/>
    <x v="0"/>
    <x v="3"/>
    <x v="0"/>
    <x v="7"/>
    <x v="1"/>
  </r>
  <r>
    <x v="1251"/>
    <x v="18"/>
    <x v="12"/>
    <n v="33.6"/>
    <n v="134.4"/>
    <x v="48"/>
    <d v="2025-02-23T00:00:00"/>
    <x v="0"/>
    <x v="0"/>
    <x v="2"/>
    <x v="0"/>
    <x v="3"/>
    <x v="0"/>
    <x v="7"/>
    <x v="0"/>
  </r>
  <r>
    <x v="1252"/>
    <x v="9"/>
    <x v="11"/>
    <n v="41.8"/>
    <n v="376.2"/>
    <x v="48"/>
    <d v="2025-02-19T00:00:00"/>
    <x v="2"/>
    <x v="0"/>
    <x v="1"/>
    <x v="0"/>
    <x v="3"/>
    <x v="3"/>
    <x v="7"/>
    <x v="2"/>
  </r>
  <r>
    <x v="1253"/>
    <x v="1"/>
    <x v="1"/>
    <n v="106.2"/>
    <n v="212.4"/>
    <x v="48"/>
    <d v="2025-02-18T00:00:00"/>
    <x v="2"/>
    <x v="4"/>
    <x v="2"/>
    <x v="0"/>
    <x v="3"/>
    <x v="7"/>
    <x v="7"/>
    <x v="2"/>
  </r>
  <r>
    <x v="1254"/>
    <x v="1"/>
    <x v="1"/>
    <n v="52.6"/>
    <n v="105.2"/>
    <x v="48"/>
    <d v="2025-02-19T00:00:00"/>
    <x v="2"/>
    <x v="0"/>
    <x v="2"/>
    <x v="0"/>
    <x v="5"/>
    <x v="3"/>
    <x v="7"/>
    <x v="2"/>
  </r>
  <r>
    <x v="1255"/>
    <x v="11"/>
    <x v="3"/>
    <n v="68.5"/>
    <n v="479.5"/>
    <x v="48"/>
    <d v="2025-02-19T00:00:00"/>
    <x v="2"/>
    <x v="1"/>
    <x v="0"/>
    <x v="0"/>
    <x v="5"/>
    <x v="3"/>
    <x v="7"/>
    <x v="2"/>
  </r>
  <r>
    <x v="1256"/>
    <x v="1"/>
    <x v="1"/>
    <n v="55.6"/>
    <n v="111.2"/>
    <x v="48"/>
    <d v="2025-02-20T00:00:00"/>
    <x v="1"/>
    <x v="1"/>
    <x v="2"/>
    <x v="0"/>
    <x v="6"/>
    <x v="1"/>
    <x v="7"/>
    <x v="1"/>
  </r>
  <r>
    <x v="1257"/>
    <x v="2"/>
    <x v="2"/>
    <n v="134.9"/>
    <n v="404.70000000000005"/>
    <x v="48"/>
    <d v="2025-02-19T00:00:00"/>
    <x v="1"/>
    <x v="1"/>
    <x v="1"/>
    <x v="0"/>
    <x v="6"/>
    <x v="3"/>
    <x v="7"/>
    <x v="1"/>
  </r>
  <r>
    <x v="1258"/>
    <x v="10"/>
    <x v="9"/>
    <n v="42.6"/>
    <n v="213"/>
    <x v="48"/>
    <d v="2025-02-19T00:00:00"/>
    <x v="1"/>
    <x v="0"/>
    <x v="0"/>
    <x v="0"/>
    <x v="6"/>
    <x v="3"/>
    <x v="7"/>
    <x v="1"/>
  </r>
  <r>
    <x v="1259"/>
    <x v="7"/>
    <x v="9"/>
    <n v="60.6"/>
    <n v="303"/>
    <x v="48"/>
    <d v="2025-02-20T00:00:00"/>
    <x v="1"/>
    <x v="4"/>
    <x v="0"/>
    <x v="0"/>
    <x v="6"/>
    <x v="1"/>
    <x v="7"/>
    <x v="1"/>
  </r>
  <r>
    <x v="1260"/>
    <x v="8"/>
    <x v="1"/>
    <n v="43.5"/>
    <n v="87"/>
    <x v="48"/>
    <d v="2025-02-19T00:00:00"/>
    <x v="1"/>
    <x v="4"/>
    <x v="0"/>
    <x v="0"/>
    <x v="7"/>
    <x v="3"/>
    <x v="7"/>
    <x v="1"/>
  </r>
  <r>
    <x v="1261"/>
    <x v="2"/>
    <x v="1"/>
    <n v="187.1"/>
    <n v="374.2"/>
    <x v="48"/>
    <d v="2025-02-19T00:00:00"/>
    <x v="1"/>
    <x v="1"/>
    <x v="2"/>
    <x v="0"/>
    <x v="8"/>
    <x v="3"/>
    <x v="7"/>
    <x v="1"/>
  </r>
  <r>
    <x v="1262"/>
    <x v="9"/>
    <x v="2"/>
    <n v="32"/>
    <n v="96"/>
    <x v="48"/>
    <d v="2025-02-20T00:00:00"/>
    <x v="1"/>
    <x v="0"/>
    <x v="0"/>
    <x v="0"/>
    <x v="8"/>
    <x v="1"/>
    <x v="7"/>
    <x v="1"/>
  </r>
  <r>
    <x v="1263"/>
    <x v="9"/>
    <x v="1"/>
    <n v="110.8"/>
    <n v="221.6"/>
    <x v="48"/>
    <d v="2025-02-18T00:00:00"/>
    <x v="1"/>
    <x v="0"/>
    <x v="2"/>
    <x v="0"/>
    <x v="8"/>
    <x v="7"/>
    <x v="7"/>
    <x v="1"/>
  </r>
  <r>
    <x v="1264"/>
    <x v="10"/>
    <x v="15"/>
    <n v="36.1"/>
    <n v="469.3"/>
    <x v="48"/>
    <d v="2025-02-21T00:00:00"/>
    <x v="2"/>
    <x v="0"/>
    <x v="1"/>
    <x v="0"/>
    <x v="8"/>
    <x v="2"/>
    <x v="7"/>
    <x v="2"/>
  </r>
  <r>
    <x v="1265"/>
    <x v="0"/>
    <x v="0"/>
    <n v="24.1"/>
    <n v="24.1"/>
    <x v="48"/>
    <d v="2025-02-20T00:00:00"/>
    <x v="2"/>
    <x v="4"/>
    <x v="2"/>
    <x v="0"/>
    <x v="8"/>
    <x v="1"/>
    <x v="7"/>
    <x v="2"/>
  </r>
  <r>
    <x v="1266"/>
    <x v="19"/>
    <x v="2"/>
    <n v="30.5"/>
    <n v="91.5"/>
    <x v="48"/>
    <d v="2025-02-20T00:00:00"/>
    <x v="1"/>
    <x v="1"/>
    <x v="0"/>
    <x v="0"/>
    <x v="8"/>
    <x v="1"/>
    <x v="7"/>
    <x v="1"/>
  </r>
  <r>
    <x v="1267"/>
    <x v="18"/>
    <x v="13"/>
    <n v="68.3"/>
    <n v="409.79999999999995"/>
    <x v="48"/>
    <d v="2025-02-21T00:00:00"/>
    <x v="1"/>
    <x v="0"/>
    <x v="0"/>
    <x v="0"/>
    <x v="8"/>
    <x v="2"/>
    <x v="7"/>
    <x v="1"/>
  </r>
  <r>
    <x v="1268"/>
    <x v="7"/>
    <x v="2"/>
    <n v="43.3"/>
    <n v="129.89999999999998"/>
    <x v="48"/>
    <d v="2025-02-22T00:00:00"/>
    <x v="2"/>
    <x v="0"/>
    <x v="0"/>
    <x v="0"/>
    <x v="17"/>
    <x v="5"/>
    <x v="7"/>
    <x v="2"/>
  </r>
  <r>
    <x v="1269"/>
    <x v="3"/>
    <x v="0"/>
    <n v="101.7"/>
    <n v="101.7"/>
    <x v="48"/>
    <d v="2025-02-21T00:00:00"/>
    <x v="2"/>
    <x v="0"/>
    <x v="1"/>
    <x v="0"/>
    <x v="17"/>
    <x v="2"/>
    <x v="7"/>
    <x v="2"/>
  </r>
  <r>
    <x v="1270"/>
    <x v="11"/>
    <x v="1"/>
    <n v="54.2"/>
    <n v="108.4"/>
    <x v="48"/>
    <d v="2025-02-19T00:00:00"/>
    <x v="2"/>
    <x v="0"/>
    <x v="1"/>
    <x v="0"/>
    <x v="17"/>
    <x v="3"/>
    <x v="7"/>
    <x v="2"/>
  </r>
  <r>
    <x v="1271"/>
    <x v="16"/>
    <x v="1"/>
    <n v="51"/>
    <n v="102"/>
    <x v="48"/>
    <d v="2025-02-18T00:00:00"/>
    <x v="1"/>
    <x v="1"/>
    <x v="0"/>
    <x v="0"/>
    <x v="26"/>
    <x v="7"/>
    <x v="7"/>
    <x v="1"/>
  </r>
  <r>
    <x v="1272"/>
    <x v="4"/>
    <x v="1"/>
    <n v="23.1"/>
    <n v="46.2"/>
    <x v="48"/>
    <d v="2025-02-21T00:00:00"/>
    <x v="1"/>
    <x v="1"/>
    <x v="0"/>
    <x v="0"/>
    <x v="10"/>
    <x v="2"/>
    <x v="7"/>
    <x v="1"/>
  </r>
  <r>
    <x v="1273"/>
    <x v="12"/>
    <x v="13"/>
    <n v="60.1"/>
    <n v="360.6"/>
    <x v="48"/>
    <d v="2025-02-18T00:00:00"/>
    <x v="2"/>
    <x v="3"/>
    <x v="0"/>
    <x v="0"/>
    <x v="11"/>
    <x v="7"/>
    <x v="7"/>
    <x v="2"/>
  </r>
  <r>
    <x v="1274"/>
    <x v="2"/>
    <x v="3"/>
    <n v="87.5"/>
    <n v="612.5"/>
    <x v="48"/>
    <d v="2025-02-20T00:00:00"/>
    <x v="2"/>
    <x v="0"/>
    <x v="1"/>
    <x v="0"/>
    <x v="11"/>
    <x v="1"/>
    <x v="7"/>
    <x v="2"/>
  </r>
  <r>
    <x v="1275"/>
    <x v="1"/>
    <x v="2"/>
    <n v="51"/>
    <n v="153"/>
    <x v="48"/>
    <d v="2025-02-19T00:00:00"/>
    <x v="2"/>
    <x v="1"/>
    <x v="0"/>
    <x v="0"/>
    <x v="11"/>
    <x v="3"/>
    <x v="7"/>
    <x v="2"/>
  </r>
  <r>
    <x v="1276"/>
    <x v="8"/>
    <x v="12"/>
    <n v="19.2"/>
    <n v="76.8"/>
    <x v="48"/>
    <d v="2025-02-20T00:00:00"/>
    <x v="2"/>
    <x v="0"/>
    <x v="0"/>
    <x v="0"/>
    <x v="11"/>
    <x v="1"/>
    <x v="7"/>
    <x v="2"/>
  </r>
  <r>
    <x v="1277"/>
    <x v="5"/>
    <x v="8"/>
    <n v="26.5"/>
    <n v="212"/>
    <x v="48"/>
    <d v="2025-02-19T00:00:00"/>
    <x v="0"/>
    <x v="3"/>
    <x v="2"/>
    <x v="0"/>
    <x v="11"/>
    <x v="3"/>
    <x v="7"/>
    <x v="0"/>
  </r>
  <r>
    <x v="1278"/>
    <x v="2"/>
    <x v="1"/>
    <n v="220.3"/>
    <n v="440.6"/>
    <x v="48"/>
    <d v="2025-02-19T00:00:00"/>
    <x v="2"/>
    <x v="1"/>
    <x v="4"/>
    <x v="0"/>
    <x v="53"/>
    <x v="3"/>
    <x v="7"/>
    <x v="2"/>
  </r>
  <r>
    <x v="1279"/>
    <x v="8"/>
    <x v="2"/>
    <n v="45.7"/>
    <n v="137.10000000000002"/>
    <x v="48"/>
    <d v="2025-02-19T00:00:00"/>
    <x v="2"/>
    <x v="4"/>
    <x v="0"/>
    <x v="0"/>
    <x v="30"/>
    <x v="3"/>
    <x v="7"/>
    <x v="2"/>
  </r>
  <r>
    <x v="1280"/>
    <x v="5"/>
    <x v="9"/>
    <n v="47.1"/>
    <n v="235.5"/>
    <x v="48"/>
    <d v="2025-02-22T00:00:00"/>
    <x v="2"/>
    <x v="3"/>
    <x v="0"/>
    <x v="0"/>
    <x v="13"/>
    <x v="5"/>
    <x v="7"/>
    <x v="2"/>
  </r>
  <r>
    <x v="1281"/>
    <x v="1"/>
    <x v="9"/>
    <n v="81.7"/>
    <n v="408.5"/>
    <x v="48"/>
    <d v="2025-02-19T00:00:00"/>
    <x v="2"/>
    <x v="0"/>
    <x v="2"/>
    <x v="0"/>
    <x v="21"/>
    <x v="3"/>
    <x v="7"/>
    <x v="2"/>
  </r>
  <r>
    <x v="1282"/>
    <x v="6"/>
    <x v="7"/>
    <n v="97.8"/>
    <n v="978"/>
    <x v="48"/>
    <d v="2025-02-18T00:00:00"/>
    <x v="1"/>
    <x v="1"/>
    <x v="1"/>
    <x v="0"/>
    <x v="21"/>
    <x v="7"/>
    <x v="7"/>
    <x v="1"/>
  </r>
  <r>
    <x v="1283"/>
    <x v="6"/>
    <x v="2"/>
    <n v="42.4"/>
    <n v="127.19999999999999"/>
    <x v="48"/>
    <d v="2025-02-19T00:00:00"/>
    <x v="2"/>
    <x v="0"/>
    <x v="2"/>
    <x v="0"/>
    <x v="54"/>
    <x v="3"/>
    <x v="7"/>
    <x v="2"/>
  </r>
  <r>
    <x v="1284"/>
    <x v="2"/>
    <x v="7"/>
    <n v="74.5"/>
    <n v="745"/>
    <x v="48"/>
    <d v="2025-02-19T00:00:00"/>
    <x v="1"/>
    <x v="2"/>
    <x v="1"/>
    <x v="0"/>
    <x v="1"/>
    <x v="3"/>
    <x v="7"/>
    <x v="1"/>
  </r>
  <r>
    <x v="1285"/>
    <x v="17"/>
    <x v="13"/>
    <n v="47.4"/>
    <n v="284.39999999999998"/>
    <x v="48"/>
    <d v="2025-02-19T00:00:00"/>
    <x v="1"/>
    <x v="1"/>
    <x v="0"/>
    <x v="0"/>
    <x v="1"/>
    <x v="3"/>
    <x v="7"/>
    <x v="1"/>
  </r>
  <r>
    <x v="1286"/>
    <x v="14"/>
    <x v="2"/>
    <n v="17.3"/>
    <n v="51.900000000000006"/>
    <x v="49"/>
    <d v="2025-02-22T00:00:00"/>
    <x v="1"/>
    <x v="2"/>
    <x v="2"/>
    <x v="0"/>
    <x v="1"/>
    <x v="2"/>
    <x v="7"/>
    <x v="1"/>
  </r>
  <r>
    <x v="1287"/>
    <x v="12"/>
    <x v="12"/>
    <n v="77.900000000000006"/>
    <n v="311.60000000000002"/>
    <x v="49"/>
    <d v="2025-02-20T00:00:00"/>
    <x v="1"/>
    <x v="1"/>
    <x v="0"/>
    <x v="0"/>
    <x v="2"/>
    <x v="3"/>
    <x v="7"/>
    <x v="1"/>
  </r>
  <r>
    <x v="1288"/>
    <x v="8"/>
    <x v="0"/>
    <n v="29.1"/>
    <n v="29.1"/>
    <x v="49"/>
    <d v="2025-02-22T00:00:00"/>
    <x v="1"/>
    <x v="0"/>
    <x v="2"/>
    <x v="0"/>
    <x v="50"/>
    <x v="2"/>
    <x v="7"/>
    <x v="1"/>
  </r>
  <r>
    <x v="1289"/>
    <x v="8"/>
    <x v="0"/>
    <n v="49"/>
    <n v="49"/>
    <x v="49"/>
    <d v="2025-02-20T00:00:00"/>
    <x v="1"/>
    <x v="1"/>
    <x v="0"/>
    <x v="0"/>
    <x v="3"/>
    <x v="3"/>
    <x v="7"/>
    <x v="1"/>
  </r>
  <r>
    <x v="1290"/>
    <x v="8"/>
    <x v="13"/>
    <n v="21.1"/>
    <n v="126.60000000000001"/>
    <x v="49"/>
    <d v="2025-02-26T00:00:00"/>
    <x v="1"/>
    <x v="0"/>
    <x v="2"/>
    <x v="0"/>
    <x v="3"/>
    <x v="6"/>
    <x v="7"/>
    <x v="1"/>
  </r>
  <r>
    <x v="1291"/>
    <x v="4"/>
    <x v="10"/>
    <n v="36.9"/>
    <n v="701.1"/>
    <x v="49"/>
    <d v="2025-02-19T00:00:00"/>
    <x v="2"/>
    <x v="0"/>
    <x v="0"/>
    <x v="0"/>
    <x v="3"/>
    <x v="7"/>
    <x v="7"/>
    <x v="2"/>
  </r>
  <r>
    <x v="1292"/>
    <x v="1"/>
    <x v="7"/>
    <n v="92.6"/>
    <n v="926"/>
    <x v="49"/>
    <d v="2025-02-24T00:00:00"/>
    <x v="1"/>
    <x v="4"/>
    <x v="2"/>
    <x v="0"/>
    <x v="3"/>
    <x v="0"/>
    <x v="7"/>
    <x v="1"/>
  </r>
  <r>
    <x v="1293"/>
    <x v="10"/>
    <x v="1"/>
    <n v="38"/>
    <n v="76"/>
    <x v="49"/>
    <d v="2025-02-20T00:00:00"/>
    <x v="1"/>
    <x v="1"/>
    <x v="1"/>
    <x v="0"/>
    <x v="3"/>
    <x v="3"/>
    <x v="7"/>
    <x v="1"/>
  </r>
  <r>
    <x v="1294"/>
    <x v="5"/>
    <x v="2"/>
    <n v="54.8"/>
    <n v="164.39999999999998"/>
    <x v="49"/>
    <d v="2025-02-23T00:00:00"/>
    <x v="0"/>
    <x v="0"/>
    <x v="1"/>
    <x v="0"/>
    <x v="3"/>
    <x v="5"/>
    <x v="7"/>
    <x v="0"/>
  </r>
  <r>
    <x v="1295"/>
    <x v="10"/>
    <x v="4"/>
    <n v="56.8"/>
    <n v="681.59999999999991"/>
    <x v="49"/>
    <d v="2025-02-21T00:00:00"/>
    <x v="1"/>
    <x v="1"/>
    <x v="0"/>
    <x v="0"/>
    <x v="3"/>
    <x v="1"/>
    <x v="7"/>
    <x v="1"/>
  </r>
  <r>
    <x v="1296"/>
    <x v="11"/>
    <x v="40"/>
    <n v="47.2"/>
    <n v="1557.6000000000001"/>
    <x v="49"/>
    <d v="2025-02-22T00:00:00"/>
    <x v="2"/>
    <x v="1"/>
    <x v="0"/>
    <x v="0"/>
    <x v="3"/>
    <x v="2"/>
    <x v="7"/>
    <x v="2"/>
  </r>
  <r>
    <x v="1297"/>
    <x v="7"/>
    <x v="13"/>
    <n v="45.1"/>
    <n v="270.60000000000002"/>
    <x v="49"/>
    <d v="2025-02-20T00:00:00"/>
    <x v="2"/>
    <x v="2"/>
    <x v="0"/>
    <x v="0"/>
    <x v="43"/>
    <x v="3"/>
    <x v="7"/>
    <x v="2"/>
  </r>
  <r>
    <x v="1298"/>
    <x v="4"/>
    <x v="4"/>
    <n v="25.2"/>
    <n v="302.39999999999998"/>
    <x v="49"/>
    <d v="2025-02-24T00:00:00"/>
    <x v="2"/>
    <x v="2"/>
    <x v="0"/>
    <x v="0"/>
    <x v="16"/>
    <x v="0"/>
    <x v="7"/>
    <x v="2"/>
  </r>
  <r>
    <x v="1299"/>
    <x v="8"/>
    <x v="0"/>
    <n v="22"/>
    <n v="22"/>
    <x v="49"/>
    <d v="2025-02-20T00:00:00"/>
    <x v="2"/>
    <x v="0"/>
    <x v="0"/>
    <x v="0"/>
    <x v="5"/>
    <x v="3"/>
    <x v="7"/>
    <x v="2"/>
  </r>
  <r>
    <x v="1300"/>
    <x v="6"/>
    <x v="1"/>
    <n v="42.2"/>
    <n v="84.4"/>
    <x v="49"/>
    <d v="2025-02-20T00:00:00"/>
    <x v="2"/>
    <x v="1"/>
    <x v="1"/>
    <x v="0"/>
    <x v="23"/>
    <x v="3"/>
    <x v="7"/>
    <x v="2"/>
  </r>
  <r>
    <x v="1301"/>
    <x v="13"/>
    <x v="2"/>
    <n v="20.5"/>
    <n v="61.5"/>
    <x v="49"/>
    <d v="2025-02-20T00:00:00"/>
    <x v="1"/>
    <x v="0"/>
    <x v="1"/>
    <x v="0"/>
    <x v="6"/>
    <x v="3"/>
    <x v="7"/>
    <x v="1"/>
  </r>
  <r>
    <x v="1302"/>
    <x v="2"/>
    <x v="0"/>
    <n v="190.4"/>
    <n v="190.4"/>
    <x v="49"/>
    <d v="2025-02-24T00:00:00"/>
    <x v="1"/>
    <x v="1"/>
    <x v="4"/>
    <x v="0"/>
    <x v="6"/>
    <x v="0"/>
    <x v="7"/>
    <x v="1"/>
  </r>
  <r>
    <x v="1303"/>
    <x v="2"/>
    <x v="0"/>
    <n v="121.9"/>
    <n v="121.9"/>
    <x v="49"/>
    <d v="2025-02-21T00:00:00"/>
    <x v="2"/>
    <x v="1"/>
    <x v="2"/>
    <x v="0"/>
    <x v="6"/>
    <x v="1"/>
    <x v="7"/>
    <x v="2"/>
  </r>
  <r>
    <x v="1304"/>
    <x v="2"/>
    <x v="13"/>
    <n v="149.19999999999999"/>
    <n v="895.19999999999993"/>
    <x v="49"/>
    <d v="2025-02-20T00:00:00"/>
    <x v="2"/>
    <x v="2"/>
    <x v="2"/>
    <x v="0"/>
    <x v="7"/>
    <x v="3"/>
    <x v="7"/>
    <x v="2"/>
  </r>
  <r>
    <x v="1305"/>
    <x v="2"/>
    <x v="0"/>
    <n v="54.1"/>
    <n v="54.1"/>
    <x v="49"/>
    <d v="2025-02-28T00:00:00"/>
    <x v="2"/>
    <x v="2"/>
    <x v="2"/>
    <x v="0"/>
    <x v="7"/>
    <x v="8"/>
    <x v="7"/>
    <x v="2"/>
  </r>
  <r>
    <x v="1306"/>
    <x v="5"/>
    <x v="1"/>
    <n v="27.4"/>
    <n v="54.8"/>
    <x v="49"/>
    <d v="2025-02-21T00:00:00"/>
    <x v="1"/>
    <x v="1"/>
    <x v="0"/>
    <x v="0"/>
    <x v="8"/>
    <x v="1"/>
    <x v="7"/>
    <x v="1"/>
  </r>
  <r>
    <x v="1307"/>
    <x v="0"/>
    <x v="15"/>
    <n v="30.4"/>
    <n v="395.2"/>
    <x v="49"/>
    <d v="2025-02-20T00:00:00"/>
    <x v="2"/>
    <x v="0"/>
    <x v="2"/>
    <x v="0"/>
    <x v="8"/>
    <x v="3"/>
    <x v="7"/>
    <x v="2"/>
  </r>
  <r>
    <x v="1308"/>
    <x v="12"/>
    <x v="2"/>
    <n v="46.2"/>
    <n v="138.60000000000002"/>
    <x v="49"/>
    <d v="2025-02-21T00:00:00"/>
    <x v="1"/>
    <x v="2"/>
    <x v="1"/>
    <x v="0"/>
    <x v="17"/>
    <x v="1"/>
    <x v="7"/>
    <x v="1"/>
  </r>
  <r>
    <x v="1309"/>
    <x v="7"/>
    <x v="8"/>
    <n v="78.599999999999994"/>
    <n v="628.79999999999995"/>
    <x v="49"/>
    <d v="2025-02-23T00:00:00"/>
    <x v="1"/>
    <x v="3"/>
    <x v="0"/>
    <x v="0"/>
    <x v="17"/>
    <x v="5"/>
    <x v="7"/>
    <x v="1"/>
  </r>
  <r>
    <x v="1310"/>
    <x v="17"/>
    <x v="7"/>
    <n v="25.9"/>
    <n v="259"/>
    <x v="49"/>
    <d v="2025-02-25T00:00:00"/>
    <x v="1"/>
    <x v="4"/>
    <x v="0"/>
    <x v="0"/>
    <x v="9"/>
    <x v="4"/>
    <x v="7"/>
    <x v="1"/>
  </r>
  <r>
    <x v="1311"/>
    <x v="6"/>
    <x v="0"/>
    <n v="134.80000000000001"/>
    <n v="134.80000000000001"/>
    <x v="49"/>
    <d v="2025-02-21T00:00:00"/>
    <x v="1"/>
    <x v="2"/>
    <x v="2"/>
    <x v="0"/>
    <x v="9"/>
    <x v="1"/>
    <x v="7"/>
    <x v="1"/>
  </r>
  <r>
    <x v="1312"/>
    <x v="15"/>
    <x v="9"/>
    <n v="43.1"/>
    <n v="215.5"/>
    <x v="49"/>
    <d v="2025-02-21T00:00:00"/>
    <x v="2"/>
    <x v="0"/>
    <x v="0"/>
    <x v="0"/>
    <x v="11"/>
    <x v="1"/>
    <x v="7"/>
    <x v="2"/>
  </r>
  <r>
    <x v="1313"/>
    <x v="2"/>
    <x v="1"/>
    <n v="215.6"/>
    <n v="431.2"/>
    <x v="49"/>
    <d v="2025-02-20T00:00:00"/>
    <x v="2"/>
    <x v="2"/>
    <x v="0"/>
    <x v="0"/>
    <x v="18"/>
    <x v="3"/>
    <x v="7"/>
    <x v="2"/>
  </r>
  <r>
    <x v="1314"/>
    <x v="6"/>
    <x v="1"/>
    <n v="80.7"/>
    <n v="161.4"/>
    <x v="49"/>
    <d v="2025-02-22T00:00:00"/>
    <x v="2"/>
    <x v="3"/>
    <x v="0"/>
    <x v="0"/>
    <x v="18"/>
    <x v="2"/>
    <x v="7"/>
    <x v="2"/>
  </r>
  <r>
    <x v="1315"/>
    <x v="10"/>
    <x v="3"/>
    <n v="20.6"/>
    <n v="144.20000000000002"/>
    <x v="49"/>
    <d v="2025-02-24T00:00:00"/>
    <x v="0"/>
    <x v="2"/>
    <x v="1"/>
    <x v="0"/>
    <x v="19"/>
    <x v="0"/>
    <x v="7"/>
    <x v="0"/>
  </r>
  <r>
    <x v="1316"/>
    <x v="12"/>
    <x v="2"/>
    <n v="37.1"/>
    <n v="111.30000000000001"/>
    <x v="49"/>
    <d v="2025-02-20T00:00:00"/>
    <x v="2"/>
    <x v="0"/>
    <x v="0"/>
    <x v="0"/>
    <x v="52"/>
    <x v="3"/>
    <x v="7"/>
    <x v="2"/>
  </r>
  <r>
    <x v="1317"/>
    <x v="12"/>
    <x v="0"/>
    <n v="104.8"/>
    <n v="104.8"/>
    <x v="50"/>
    <d v="2025-02-22T00:00:00"/>
    <x v="2"/>
    <x v="0"/>
    <x v="0"/>
    <x v="0"/>
    <x v="13"/>
    <x v="1"/>
    <x v="7"/>
    <x v="2"/>
  </r>
  <r>
    <x v="1318"/>
    <x v="8"/>
    <x v="1"/>
    <n v="59"/>
    <n v="118"/>
    <x v="50"/>
    <d v="2025-02-21T00:00:00"/>
    <x v="1"/>
    <x v="1"/>
    <x v="0"/>
    <x v="0"/>
    <x v="21"/>
    <x v="3"/>
    <x v="7"/>
    <x v="1"/>
  </r>
  <r>
    <x v="1319"/>
    <x v="8"/>
    <x v="1"/>
    <n v="32.299999999999997"/>
    <n v="64.599999999999994"/>
    <x v="50"/>
    <d v="2025-02-21T00:00:00"/>
    <x v="1"/>
    <x v="0"/>
    <x v="2"/>
    <x v="0"/>
    <x v="21"/>
    <x v="3"/>
    <x v="7"/>
    <x v="1"/>
  </r>
  <r>
    <x v="1320"/>
    <x v="8"/>
    <x v="12"/>
    <n v="28.9"/>
    <n v="115.6"/>
    <x v="50"/>
    <d v="2025-02-27T00:00:00"/>
    <x v="1"/>
    <x v="0"/>
    <x v="0"/>
    <x v="0"/>
    <x v="1"/>
    <x v="6"/>
    <x v="7"/>
    <x v="1"/>
  </r>
  <r>
    <x v="1321"/>
    <x v="0"/>
    <x v="1"/>
    <n v="29.6"/>
    <n v="59.2"/>
    <x v="50"/>
    <d v="2025-02-22T00:00:00"/>
    <x v="1"/>
    <x v="0"/>
    <x v="0"/>
    <x v="0"/>
    <x v="1"/>
    <x v="1"/>
    <x v="7"/>
    <x v="1"/>
  </r>
  <r>
    <x v="1322"/>
    <x v="0"/>
    <x v="9"/>
    <n v="29.4"/>
    <n v="147"/>
    <x v="50"/>
    <d v="2025-02-23T00:00:00"/>
    <x v="2"/>
    <x v="0"/>
    <x v="0"/>
    <x v="0"/>
    <x v="1"/>
    <x v="2"/>
    <x v="7"/>
    <x v="2"/>
  </r>
  <r>
    <x v="1323"/>
    <x v="1"/>
    <x v="1"/>
    <n v="40.6"/>
    <n v="81.2"/>
    <x v="50"/>
    <d v="2025-02-21T00:00:00"/>
    <x v="1"/>
    <x v="0"/>
    <x v="4"/>
    <x v="0"/>
    <x v="2"/>
    <x v="3"/>
    <x v="7"/>
    <x v="1"/>
  </r>
  <r>
    <x v="1324"/>
    <x v="0"/>
    <x v="2"/>
    <n v="32.5"/>
    <n v="97.5"/>
    <x v="50"/>
    <d v="2025-02-21T00:00:00"/>
    <x v="1"/>
    <x v="3"/>
    <x v="2"/>
    <x v="0"/>
    <x v="22"/>
    <x v="3"/>
    <x v="7"/>
    <x v="1"/>
  </r>
  <r>
    <x v="1325"/>
    <x v="15"/>
    <x v="0"/>
    <n v="26.2"/>
    <n v="26.2"/>
    <x v="50"/>
    <d v="2025-02-22T00:00:00"/>
    <x v="1"/>
    <x v="2"/>
    <x v="0"/>
    <x v="0"/>
    <x v="55"/>
    <x v="1"/>
    <x v="7"/>
    <x v="1"/>
  </r>
  <r>
    <x v="1326"/>
    <x v="10"/>
    <x v="17"/>
    <n v="44"/>
    <n v="1320"/>
    <x v="50"/>
    <d v="2025-02-26T00:00:00"/>
    <x v="1"/>
    <x v="4"/>
    <x v="0"/>
    <x v="0"/>
    <x v="3"/>
    <x v="4"/>
    <x v="7"/>
    <x v="1"/>
  </r>
  <r>
    <x v="1327"/>
    <x v="7"/>
    <x v="12"/>
    <n v="65.599999999999994"/>
    <n v="262.39999999999998"/>
    <x v="50"/>
    <d v="2025-02-21T00:00:00"/>
    <x v="2"/>
    <x v="1"/>
    <x v="1"/>
    <x v="0"/>
    <x v="3"/>
    <x v="3"/>
    <x v="7"/>
    <x v="2"/>
  </r>
  <r>
    <x v="1328"/>
    <x v="5"/>
    <x v="4"/>
    <n v="32.6"/>
    <n v="391.20000000000005"/>
    <x v="50"/>
    <d v="2025-02-21T00:00:00"/>
    <x v="1"/>
    <x v="4"/>
    <x v="0"/>
    <x v="0"/>
    <x v="3"/>
    <x v="3"/>
    <x v="7"/>
    <x v="1"/>
  </r>
  <r>
    <x v="1329"/>
    <x v="16"/>
    <x v="1"/>
    <n v="88.7"/>
    <n v="177.4"/>
    <x v="50"/>
    <d v="2025-02-21T00:00:00"/>
    <x v="0"/>
    <x v="3"/>
    <x v="2"/>
    <x v="0"/>
    <x v="3"/>
    <x v="3"/>
    <x v="7"/>
    <x v="0"/>
  </r>
  <r>
    <x v="1330"/>
    <x v="4"/>
    <x v="1"/>
    <n v="21.3"/>
    <n v="42.6"/>
    <x v="50"/>
    <d v="2025-02-21T00:00:00"/>
    <x v="1"/>
    <x v="0"/>
    <x v="0"/>
    <x v="0"/>
    <x v="3"/>
    <x v="3"/>
    <x v="7"/>
    <x v="1"/>
  </r>
  <r>
    <x v="1331"/>
    <x v="4"/>
    <x v="13"/>
    <n v="50.6"/>
    <n v="303.60000000000002"/>
    <x v="50"/>
    <d v="2025-02-24T00:00:00"/>
    <x v="2"/>
    <x v="2"/>
    <x v="0"/>
    <x v="0"/>
    <x v="3"/>
    <x v="5"/>
    <x v="7"/>
    <x v="2"/>
  </r>
  <r>
    <x v="1332"/>
    <x v="9"/>
    <x v="38"/>
    <n v="86.9"/>
    <n v="1824.9"/>
    <x v="50"/>
    <d v="2025-02-23T00:00:00"/>
    <x v="2"/>
    <x v="0"/>
    <x v="1"/>
    <x v="0"/>
    <x v="3"/>
    <x v="2"/>
    <x v="7"/>
    <x v="2"/>
  </r>
  <r>
    <x v="1333"/>
    <x v="11"/>
    <x v="2"/>
    <n v="31.8"/>
    <n v="95.4"/>
    <x v="50"/>
    <d v="2025-02-22T00:00:00"/>
    <x v="1"/>
    <x v="0"/>
    <x v="2"/>
    <x v="0"/>
    <x v="3"/>
    <x v="1"/>
    <x v="7"/>
    <x v="1"/>
  </r>
  <r>
    <x v="1334"/>
    <x v="8"/>
    <x v="0"/>
    <n v="19"/>
    <n v="19"/>
    <x v="50"/>
    <d v="2025-02-21T00:00:00"/>
    <x v="2"/>
    <x v="0"/>
    <x v="2"/>
    <x v="0"/>
    <x v="3"/>
    <x v="3"/>
    <x v="7"/>
    <x v="2"/>
  </r>
  <r>
    <x v="1335"/>
    <x v="5"/>
    <x v="0"/>
    <n v="54.5"/>
    <n v="54.5"/>
    <x v="50"/>
    <d v="2025-02-22T00:00:00"/>
    <x v="1"/>
    <x v="0"/>
    <x v="0"/>
    <x v="0"/>
    <x v="3"/>
    <x v="1"/>
    <x v="7"/>
    <x v="1"/>
  </r>
  <r>
    <x v="1336"/>
    <x v="9"/>
    <x v="9"/>
    <n v="68.900000000000006"/>
    <n v="344.5"/>
    <x v="50"/>
    <d v="2025-02-22T00:00:00"/>
    <x v="1"/>
    <x v="4"/>
    <x v="1"/>
    <x v="0"/>
    <x v="3"/>
    <x v="1"/>
    <x v="7"/>
    <x v="1"/>
  </r>
  <r>
    <x v="1337"/>
    <x v="6"/>
    <x v="2"/>
    <n v="84"/>
    <n v="252"/>
    <x v="50"/>
    <d v="2025-02-21T00:00:00"/>
    <x v="1"/>
    <x v="1"/>
    <x v="4"/>
    <x v="0"/>
    <x v="16"/>
    <x v="3"/>
    <x v="7"/>
    <x v="1"/>
  </r>
  <r>
    <x v="1338"/>
    <x v="15"/>
    <x v="8"/>
    <n v="23.1"/>
    <n v="184.8"/>
    <x v="50"/>
    <d v="2025-02-25T00:00:00"/>
    <x v="1"/>
    <x v="0"/>
    <x v="2"/>
    <x v="0"/>
    <x v="23"/>
    <x v="0"/>
    <x v="7"/>
    <x v="1"/>
  </r>
  <r>
    <x v="1339"/>
    <x v="7"/>
    <x v="1"/>
    <n v="62.4"/>
    <n v="124.8"/>
    <x v="50"/>
    <d v="2025-02-21T00:00:00"/>
    <x v="2"/>
    <x v="0"/>
    <x v="1"/>
    <x v="0"/>
    <x v="6"/>
    <x v="3"/>
    <x v="7"/>
    <x v="2"/>
  </r>
  <r>
    <x v="1340"/>
    <x v="6"/>
    <x v="4"/>
    <n v="40.700000000000003"/>
    <n v="488.40000000000003"/>
    <x v="50"/>
    <d v="2025-02-22T00:00:00"/>
    <x v="1"/>
    <x v="1"/>
    <x v="2"/>
    <x v="0"/>
    <x v="6"/>
    <x v="1"/>
    <x v="7"/>
    <x v="1"/>
  </r>
  <r>
    <x v="1341"/>
    <x v="6"/>
    <x v="0"/>
    <n v="49.6"/>
    <n v="49.6"/>
    <x v="50"/>
    <d v="2025-02-23T00:00:00"/>
    <x v="1"/>
    <x v="2"/>
    <x v="0"/>
    <x v="0"/>
    <x v="7"/>
    <x v="2"/>
    <x v="7"/>
    <x v="1"/>
  </r>
  <r>
    <x v="1342"/>
    <x v="7"/>
    <x v="41"/>
    <n v="66.599999999999994"/>
    <n v="2996.9999999999995"/>
    <x v="50"/>
    <d v="2025-02-23T00:00:00"/>
    <x v="1"/>
    <x v="2"/>
    <x v="0"/>
    <x v="0"/>
    <x v="8"/>
    <x v="2"/>
    <x v="7"/>
    <x v="1"/>
  </r>
  <r>
    <x v="1343"/>
    <x v="8"/>
    <x v="2"/>
    <n v="26.4"/>
    <n v="79.199999999999989"/>
    <x v="50"/>
    <d v="2025-02-21T00:00:00"/>
    <x v="2"/>
    <x v="1"/>
    <x v="1"/>
    <x v="0"/>
    <x v="8"/>
    <x v="3"/>
    <x v="7"/>
    <x v="2"/>
  </r>
  <r>
    <x v="1344"/>
    <x v="0"/>
    <x v="1"/>
    <n v="17.2"/>
    <n v="34.4"/>
    <x v="50"/>
    <d v="2025-02-23T00:00:00"/>
    <x v="1"/>
    <x v="2"/>
    <x v="1"/>
    <x v="0"/>
    <x v="8"/>
    <x v="2"/>
    <x v="7"/>
    <x v="1"/>
  </r>
  <r>
    <x v="1345"/>
    <x v="5"/>
    <x v="8"/>
    <n v="58.1"/>
    <n v="464.8"/>
    <x v="50"/>
    <d v="2025-02-23T00:00:00"/>
    <x v="2"/>
    <x v="4"/>
    <x v="0"/>
    <x v="0"/>
    <x v="8"/>
    <x v="2"/>
    <x v="7"/>
    <x v="2"/>
  </r>
  <r>
    <x v="1346"/>
    <x v="15"/>
    <x v="12"/>
    <n v="31.5"/>
    <n v="126"/>
    <x v="50"/>
    <d v="2025-02-23T00:00:00"/>
    <x v="2"/>
    <x v="4"/>
    <x v="4"/>
    <x v="0"/>
    <x v="8"/>
    <x v="2"/>
    <x v="7"/>
    <x v="2"/>
  </r>
  <r>
    <x v="1347"/>
    <x v="0"/>
    <x v="0"/>
    <n v="27.1"/>
    <n v="27.1"/>
    <x v="50"/>
    <d v="2025-02-22T00:00:00"/>
    <x v="2"/>
    <x v="0"/>
    <x v="1"/>
    <x v="0"/>
    <x v="17"/>
    <x v="1"/>
    <x v="7"/>
    <x v="2"/>
  </r>
  <r>
    <x v="1348"/>
    <x v="18"/>
    <x v="12"/>
    <n v="28.5"/>
    <n v="114"/>
    <x v="50"/>
    <d v="2025-02-22T00:00:00"/>
    <x v="1"/>
    <x v="1"/>
    <x v="2"/>
    <x v="0"/>
    <x v="9"/>
    <x v="1"/>
    <x v="7"/>
    <x v="1"/>
  </r>
  <r>
    <x v="1349"/>
    <x v="10"/>
    <x v="0"/>
    <n v="40.5"/>
    <n v="40.5"/>
    <x v="51"/>
    <d v="2025-02-23T00:00:00"/>
    <x v="3"/>
    <x v="2"/>
    <x v="0"/>
    <x v="0"/>
    <x v="9"/>
    <x v="1"/>
    <x v="7"/>
    <x v="3"/>
  </r>
  <r>
    <x v="1350"/>
    <x v="2"/>
    <x v="2"/>
    <n v="77.900000000000006"/>
    <n v="233.70000000000002"/>
    <x v="51"/>
    <d v="2025-02-25T00:00:00"/>
    <x v="2"/>
    <x v="1"/>
    <x v="2"/>
    <x v="0"/>
    <x v="19"/>
    <x v="5"/>
    <x v="7"/>
    <x v="2"/>
  </r>
  <r>
    <x v="1351"/>
    <x v="18"/>
    <x v="12"/>
    <n v="37.1"/>
    <n v="148.4"/>
    <x v="51"/>
    <d v="2025-02-23T00:00:00"/>
    <x v="1"/>
    <x v="4"/>
    <x v="2"/>
    <x v="0"/>
    <x v="19"/>
    <x v="1"/>
    <x v="7"/>
    <x v="1"/>
  </r>
  <r>
    <x v="1352"/>
    <x v="16"/>
    <x v="2"/>
    <n v="51.6"/>
    <n v="154.80000000000001"/>
    <x v="51"/>
    <d v="2025-03-01T00:00:00"/>
    <x v="2"/>
    <x v="0"/>
    <x v="4"/>
    <x v="0"/>
    <x v="19"/>
    <x v="9"/>
    <x v="7"/>
    <x v="2"/>
  </r>
  <r>
    <x v="1353"/>
    <x v="7"/>
    <x v="2"/>
    <n v="98"/>
    <n v="294"/>
    <x v="51"/>
    <d v="2025-02-22T00:00:00"/>
    <x v="1"/>
    <x v="1"/>
    <x v="1"/>
    <x v="0"/>
    <x v="19"/>
    <x v="3"/>
    <x v="7"/>
    <x v="1"/>
  </r>
  <r>
    <x v="1354"/>
    <x v="6"/>
    <x v="3"/>
    <n v="41.4"/>
    <n v="289.8"/>
    <x v="51"/>
    <d v="2025-02-22T00:00:00"/>
    <x v="1"/>
    <x v="1"/>
    <x v="0"/>
    <x v="0"/>
    <x v="20"/>
    <x v="3"/>
    <x v="7"/>
    <x v="1"/>
  </r>
  <r>
    <x v="1355"/>
    <x v="11"/>
    <x v="8"/>
    <n v="34"/>
    <n v="272"/>
    <x v="51"/>
    <d v="2025-02-26T00:00:00"/>
    <x v="2"/>
    <x v="0"/>
    <x v="2"/>
    <x v="0"/>
    <x v="52"/>
    <x v="0"/>
    <x v="7"/>
    <x v="2"/>
  </r>
  <r>
    <x v="1356"/>
    <x v="6"/>
    <x v="0"/>
    <n v="66.3"/>
    <n v="66.3"/>
    <x v="51"/>
    <d v="2025-02-22T00:00:00"/>
    <x v="2"/>
    <x v="1"/>
    <x v="0"/>
    <x v="0"/>
    <x v="13"/>
    <x v="3"/>
    <x v="7"/>
    <x v="2"/>
  </r>
  <r>
    <x v="1357"/>
    <x v="7"/>
    <x v="0"/>
    <n v="33.5"/>
    <n v="33.5"/>
    <x v="51"/>
    <d v="2025-02-25T00:00:00"/>
    <x v="1"/>
    <x v="2"/>
    <x v="0"/>
    <x v="0"/>
    <x v="13"/>
    <x v="5"/>
    <x v="7"/>
    <x v="1"/>
  </r>
  <r>
    <x v="1358"/>
    <x v="12"/>
    <x v="1"/>
    <n v="70.8"/>
    <n v="141.6"/>
    <x v="51"/>
    <d v="2025-02-22T00:00:00"/>
    <x v="0"/>
    <x v="0"/>
    <x v="0"/>
    <x v="0"/>
    <x v="28"/>
    <x v="3"/>
    <x v="7"/>
    <x v="0"/>
  </r>
  <r>
    <x v="1359"/>
    <x v="6"/>
    <x v="1"/>
    <n v="127.6"/>
    <n v="255.2"/>
    <x v="51"/>
    <d v="2025-02-22T00:00:00"/>
    <x v="1"/>
    <x v="0"/>
    <x v="0"/>
    <x v="0"/>
    <x v="21"/>
    <x v="3"/>
    <x v="7"/>
    <x v="1"/>
  </r>
  <r>
    <x v="1360"/>
    <x v="6"/>
    <x v="2"/>
    <n v="95.9"/>
    <n v="287.70000000000005"/>
    <x v="51"/>
    <d v="2025-02-22T00:00:00"/>
    <x v="2"/>
    <x v="1"/>
    <x v="1"/>
    <x v="0"/>
    <x v="21"/>
    <x v="3"/>
    <x v="7"/>
    <x v="2"/>
  </r>
  <r>
    <x v="1361"/>
    <x v="2"/>
    <x v="1"/>
    <n v="78.099999999999994"/>
    <n v="156.19999999999999"/>
    <x v="51"/>
    <d v="2025-02-22T00:00:00"/>
    <x v="1"/>
    <x v="0"/>
    <x v="0"/>
    <x v="0"/>
    <x v="1"/>
    <x v="3"/>
    <x v="7"/>
    <x v="1"/>
  </r>
  <r>
    <x v="1362"/>
    <x v="13"/>
    <x v="1"/>
    <n v="43.2"/>
    <n v="86.4"/>
    <x v="51"/>
    <d v="2025-02-22T00:00:00"/>
    <x v="0"/>
    <x v="1"/>
    <x v="1"/>
    <x v="0"/>
    <x v="1"/>
    <x v="3"/>
    <x v="7"/>
    <x v="0"/>
  </r>
  <r>
    <x v="1363"/>
    <x v="8"/>
    <x v="12"/>
    <n v="28.4"/>
    <n v="113.6"/>
    <x v="51"/>
    <d v="2025-02-27T00:00:00"/>
    <x v="1"/>
    <x v="2"/>
    <x v="0"/>
    <x v="0"/>
    <x v="3"/>
    <x v="4"/>
    <x v="7"/>
    <x v="1"/>
  </r>
  <r>
    <x v="1364"/>
    <x v="2"/>
    <x v="1"/>
    <n v="81.7"/>
    <n v="163.4"/>
    <x v="51"/>
    <d v="2025-02-21T00:00:00"/>
    <x v="1"/>
    <x v="0"/>
    <x v="0"/>
    <x v="0"/>
    <x v="3"/>
    <x v="7"/>
    <x v="7"/>
    <x v="1"/>
  </r>
  <r>
    <x v="1365"/>
    <x v="18"/>
    <x v="1"/>
    <n v="56.7"/>
    <n v="113.4"/>
    <x v="51"/>
    <d v="2025-02-23T00:00:00"/>
    <x v="0"/>
    <x v="0"/>
    <x v="2"/>
    <x v="0"/>
    <x v="3"/>
    <x v="1"/>
    <x v="7"/>
    <x v="0"/>
  </r>
  <r>
    <x v="1366"/>
    <x v="3"/>
    <x v="12"/>
    <n v="66.5"/>
    <n v="266"/>
    <x v="51"/>
    <d v="2025-02-21T00:00:00"/>
    <x v="2"/>
    <x v="0"/>
    <x v="2"/>
    <x v="0"/>
    <x v="3"/>
    <x v="7"/>
    <x v="7"/>
    <x v="2"/>
  </r>
  <r>
    <x v="1367"/>
    <x v="1"/>
    <x v="1"/>
    <n v="105.3"/>
    <n v="210.6"/>
    <x v="51"/>
    <d v="2025-02-25T00:00:00"/>
    <x v="1"/>
    <x v="0"/>
    <x v="1"/>
    <x v="0"/>
    <x v="3"/>
    <x v="5"/>
    <x v="7"/>
    <x v="1"/>
  </r>
  <r>
    <x v="1368"/>
    <x v="10"/>
    <x v="9"/>
    <n v="33.799999999999997"/>
    <n v="169"/>
    <x v="51"/>
    <d v="2025-02-26T00:00:00"/>
    <x v="1"/>
    <x v="0"/>
    <x v="0"/>
    <x v="0"/>
    <x v="3"/>
    <x v="0"/>
    <x v="7"/>
    <x v="1"/>
  </r>
  <r>
    <x v="1369"/>
    <x v="6"/>
    <x v="2"/>
    <n v="63.4"/>
    <n v="190.2"/>
    <x v="51"/>
    <d v="2025-02-26T00:00:00"/>
    <x v="1"/>
    <x v="3"/>
    <x v="1"/>
    <x v="0"/>
    <x v="24"/>
    <x v="0"/>
    <x v="7"/>
    <x v="1"/>
  </r>
  <r>
    <x v="1370"/>
    <x v="6"/>
    <x v="2"/>
    <n v="49"/>
    <n v="147"/>
    <x v="51"/>
    <d v="2025-02-25T00:00:00"/>
    <x v="1"/>
    <x v="3"/>
    <x v="0"/>
    <x v="0"/>
    <x v="49"/>
    <x v="5"/>
    <x v="7"/>
    <x v="1"/>
  </r>
  <r>
    <x v="1371"/>
    <x v="1"/>
    <x v="1"/>
    <n v="40"/>
    <n v="80"/>
    <x v="51"/>
    <d v="2025-02-22T00:00:00"/>
    <x v="2"/>
    <x v="4"/>
    <x v="1"/>
    <x v="0"/>
    <x v="23"/>
    <x v="3"/>
    <x v="7"/>
    <x v="2"/>
  </r>
  <r>
    <x v="1372"/>
    <x v="6"/>
    <x v="12"/>
    <n v="86.3"/>
    <n v="345.2"/>
    <x v="51"/>
    <d v="2025-02-22T00:00:00"/>
    <x v="3"/>
    <x v="0"/>
    <x v="0"/>
    <x v="0"/>
    <x v="6"/>
    <x v="3"/>
    <x v="7"/>
    <x v="3"/>
  </r>
  <r>
    <x v="1373"/>
    <x v="6"/>
    <x v="0"/>
    <n v="51.6"/>
    <n v="51.6"/>
    <x v="51"/>
    <d v="2025-02-23T00:00:00"/>
    <x v="2"/>
    <x v="2"/>
    <x v="2"/>
    <x v="0"/>
    <x v="6"/>
    <x v="1"/>
    <x v="7"/>
    <x v="2"/>
  </r>
  <r>
    <x v="1374"/>
    <x v="10"/>
    <x v="2"/>
    <n v="26.7"/>
    <n v="80.099999999999994"/>
    <x v="51"/>
    <d v="2025-02-26T00:00:00"/>
    <x v="2"/>
    <x v="2"/>
    <x v="1"/>
    <x v="0"/>
    <x v="6"/>
    <x v="0"/>
    <x v="7"/>
    <x v="2"/>
  </r>
  <r>
    <x v="1375"/>
    <x v="18"/>
    <x v="1"/>
    <n v="68.099999999999994"/>
    <n v="136.19999999999999"/>
    <x v="51"/>
    <d v="2025-02-22T00:00:00"/>
    <x v="1"/>
    <x v="0"/>
    <x v="1"/>
    <x v="0"/>
    <x v="6"/>
    <x v="3"/>
    <x v="7"/>
    <x v="1"/>
  </r>
  <r>
    <x v="1376"/>
    <x v="1"/>
    <x v="0"/>
    <n v="81.7"/>
    <n v="81.7"/>
    <x v="51"/>
    <d v="2025-02-22T00:00:00"/>
    <x v="1"/>
    <x v="0"/>
    <x v="0"/>
    <x v="0"/>
    <x v="7"/>
    <x v="3"/>
    <x v="7"/>
    <x v="1"/>
  </r>
  <r>
    <x v="1377"/>
    <x v="18"/>
    <x v="7"/>
    <n v="25.1"/>
    <n v="251"/>
    <x v="51"/>
    <d v="2025-02-24T00:00:00"/>
    <x v="1"/>
    <x v="3"/>
    <x v="1"/>
    <x v="0"/>
    <x v="8"/>
    <x v="2"/>
    <x v="7"/>
    <x v="1"/>
  </r>
  <r>
    <x v="1378"/>
    <x v="8"/>
    <x v="0"/>
    <n v="20.2"/>
    <n v="20.2"/>
    <x v="51"/>
    <d v="2025-02-25T00:00:00"/>
    <x v="2"/>
    <x v="0"/>
    <x v="0"/>
    <x v="0"/>
    <x v="8"/>
    <x v="5"/>
    <x v="7"/>
    <x v="2"/>
  </r>
  <r>
    <x v="1379"/>
    <x v="8"/>
    <x v="2"/>
    <n v="15.4"/>
    <n v="46.2"/>
    <x v="51"/>
    <d v="2025-02-22T00:00:00"/>
    <x v="1"/>
    <x v="1"/>
    <x v="2"/>
    <x v="0"/>
    <x v="8"/>
    <x v="3"/>
    <x v="7"/>
    <x v="1"/>
  </r>
  <r>
    <x v="1380"/>
    <x v="10"/>
    <x v="0"/>
    <n v="59.2"/>
    <n v="59.2"/>
    <x v="51"/>
    <d v="2025-02-22T00:00:00"/>
    <x v="1"/>
    <x v="2"/>
    <x v="2"/>
    <x v="0"/>
    <x v="17"/>
    <x v="3"/>
    <x v="7"/>
    <x v="1"/>
  </r>
  <r>
    <x v="1381"/>
    <x v="0"/>
    <x v="0"/>
    <n v="46.7"/>
    <n v="46.7"/>
    <x v="51"/>
    <d v="2025-02-26T00:00:00"/>
    <x v="1"/>
    <x v="0"/>
    <x v="0"/>
    <x v="0"/>
    <x v="17"/>
    <x v="0"/>
    <x v="7"/>
    <x v="1"/>
  </r>
  <r>
    <x v="1382"/>
    <x v="6"/>
    <x v="20"/>
    <n v="41.6"/>
    <n v="624"/>
    <x v="51"/>
    <d v="2025-02-23T00:00:00"/>
    <x v="1"/>
    <x v="1"/>
    <x v="0"/>
    <x v="0"/>
    <x v="26"/>
    <x v="1"/>
    <x v="7"/>
    <x v="1"/>
  </r>
  <r>
    <x v="1383"/>
    <x v="8"/>
    <x v="1"/>
    <n v="19.2"/>
    <n v="38.4"/>
    <x v="51"/>
    <d v="2025-02-24T00:00:00"/>
    <x v="1"/>
    <x v="4"/>
    <x v="2"/>
    <x v="0"/>
    <x v="9"/>
    <x v="2"/>
    <x v="7"/>
    <x v="1"/>
  </r>
  <r>
    <x v="1384"/>
    <x v="17"/>
    <x v="3"/>
    <n v="41.8"/>
    <n v="292.59999999999997"/>
    <x v="51"/>
    <d v="2025-02-23T00:00:00"/>
    <x v="2"/>
    <x v="2"/>
    <x v="0"/>
    <x v="0"/>
    <x v="11"/>
    <x v="1"/>
    <x v="7"/>
    <x v="2"/>
  </r>
  <r>
    <x v="1385"/>
    <x v="8"/>
    <x v="13"/>
    <n v="37.4"/>
    <n v="224.39999999999998"/>
    <x v="51"/>
    <d v="2025-02-23T00:00:00"/>
    <x v="1"/>
    <x v="0"/>
    <x v="2"/>
    <x v="0"/>
    <x v="11"/>
    <x v="1"/>
    <x v="7"/>
    <x v="1"/>
  </r>
  <r>
    <x v="1386"/>
    <x v="10"/>
    <x v="2"/>
    <n v="60.2"/>
    <n v="180.60000000000002"/>
    <x v="51"/>
    <d v="2025-02-24T00:00:00"/>
    <x v="1"/>
    <x v="4"/>
    <x v="1"/>
    <x v="0"/>
    <x v="38"/>
    <x v="2"/>
    <x v="7"/>
    <x v="1"/>
  </r>
  <r>
    <x v="1387"/>
    <x v="9"/>
    <x v="1"/>
    <n v="91.5"/>
    <n v="183"/>
    <x v="52"/>
    <d v="2025-02-23T00:00:00"/>
    <x v="1"/>
    <x v="0"/>
    <x v="0"/>
    <x v="0"/>
    <x v="13"/>
    <x v="3"/>
    <x v="7"/>
    <x v="1"/>
  </r>
  <r>
    <x v="1388"/>
    <x v="3"/>
    <x v="9"/>
    <n v="55.7"/>
    <n v="278.5"/>
    <x v="52"/>
    <d v="2025-02-24T00:00:00"/>
    <x v="0"/>
    <x v="1"/>
    <x v="2"/>
    <x v="0"/>
    <x v="21"/>
    <x v="1"/>
    <x v="7"/>
    <x v="0"/>
  </r>
  <r>
    <x v="1389"/>
    <x v="7"/>
    <x v="1"/>
    <n v="76.7"/>
    <n v="153.4"/>
    <x v="52"/>
    <d v="2025-02-24T00:00:00"/>
    <x v="1"/>
    <x v="0"/>
    <x v="1"/>
    <x v="0"/>
    <x v="21"/>
    <x v="1"/>
    <x v="7"/>
    <x v="1"/>
  </r>
  <r>
    <x v="1390"/>
    <x v="8"/>
    <x v="38"/>
    <n v="28.2"/>
    <n v="592.19999999999993"/>
    <x v="52"/>
    <d v="2025-02-27T00:00:00"/>
    <x v="1"/>
    <x v="2"/>
    <x v="0"/>
    <x v="0"/>
    <x v="1"/>
    <x v="0"/>
    <x v="7"/>
    <x v="1"/>
  </r>
  <r>
    <x v="1391"/>
    <x v="7"/>
    <x v="9"/>
    <n v="93.2"/>
    <n v="466"/>
    <x v="52"/>
    <d v="2025-02-24T00:00:00"/>
    <x v="2"/>
    <x v="4"/>
    <x v="2"/>
    <x v="0"/>
    <x v="1"/>
    <x v="1"/>
    <x v="7"/>
    <x v="2"/>
  </r>
  <r>
    <x v="1392"/>
    <x v="17"/>
    <x v="0"/>
    <n v="33.299999999999997"/>
    <n v="33.299999999999997"/>
    <x v="52"/>
    <d v="2025-02-23T00:00:00"/>
    <x v="1"/>
    <x v="4"/>
    <x v="0"/>
    <x v="0"/>
    <x v="2"/>
    <x v="3"/>
    <x v="7"/>
    <x v="1"/>
  </r>
  <r>
    <x v="1393"/>
    <x v="10"/>
    <x v="1"/>
    <n v="39.1"/>
    <n v="78.2"/>
    <x v="52"/>
    <d v="2025-02-25T00:00:00"/>
    <x v="1"/>
    <x v="0"/>
    <x v="0"/>
    <x v="0"/>
    <x v="44"/>
    <x v="2"/>
    <x v="7"/>
    <x v="1"/>
  </r>
  <r>
    <x v="1394"/>
    <x v="7"/>
    <x v="4"/>
    <n v="45.3"/>
    <n v="543.59999999999991"/>
    <x v="52"/>
    <d v="2025-02-23T00:00:00"/>
    <x v="1"/>
    <x v="2"/>
    <x v="0"/>
    <x v="0"/>
    <x v="33"/>
    <x v="3"/>
    <x v="7"/>
    <x v="1"/>
  </r>
  <r>
    <x v="1395"/>
    <x v="9"/>
    <x v="3"/>
    <n v="33.9"/>
    <n v="237.29999999999998"/>
    <x v="52"/>
    <d v="2025-02-23T00:00:00"/>
    <x v="1"/>
    <x v="4"/>
    <x v="0"/>
    <x v="0"/>
    <x v="33"/>
    <x v="3"/>
    <x v="7"/>
    <x v="1"/>
  </r>
  <r>
    <x v="1396"/>
    <x v="8"/>
    <x v="2"/>
    <n v="19"/>
    <n v="57"/>
    <x v="52"/>
    <d v="2025-02-23T00:00:00"/>
    <x v="1"/>
    <x v="0"/>
    <x v="2"/>
    <x v="0"/>
    <x v="15"/>
    <x v="3"/>
    <x v="7"/>
    <x v="1"/>
  </r>
  <r>
    <x v="1397"/>
    <x v="4"/>
    <x v="0"/>
    <n v="41.9"/>
    <n v="41.9"/>
    <x v="52"/>
    <d v="2025-02-25T00:00:00"/>
    <x v="2"/>
    <x v="2"/>
    <x v="0"/>
    <x v="0"/>
    <x v="22"/>
    <x v="2"/>
    <x v="7"/>
    <x v="2"/>
  </r>
  <r>
    <x v="1398"/>
    <x v="1"/>
    <x v="12"/>
    <n v="37.5"/>
    <n v="150"/>
    <x v="52"/>
    <d v="2025-02-22T00:00:00"/>
    <x v="2"/>
    <x v="0"/>
    <x v="0"/>
    <x v="0"/>
    <x v="3"/>
    <x v="7"/>
    <x v="7"/>
    <x v="2"/>
  </r>
  <r>
    <x v="1399"/>
    <x v="0"/>
    <x v="1"/>
    <n v="40.799999999999997"/>
    <n v="81.599999999999994"/>
    <x v="52"/>
    <d v="2025-02-25T00:00:00"/>
    <x v="1"/>
    <x v="0"/>
    <x v="0"/>
    <x v="0"/>
    <x v="3"/>
    <x v="2"/>
    <x v="7"/>
    <x v="1"/>
  </r>
  <r>
    <x v="1400"/>
    <x v="0"/>
    <x v="12"/>
    <n v="23.1"/>
    <n v="92.4"/>
    <x v="52"/>
    <d v="2025-02-23T00:00:00"/>
    <x v="2"/>
    <x v="4"/>
    <x v="0"/>
    <x v="0"/>
    <x v="3"/>
    <x v="3"/>
    <x v="7"/>
    <x v="2"/>
  </r>
  <r>
    <x v="1401"/>
    <x v="8"/>
    <x v="9"/>
    <n v="39.299999999999997"/>
    <n v="196.5"/>
    <x v="52"/>
    <d v="2025-02-23T00:00:00"/>
    <x v="2"/>
    <x v="0"/>
    <x v="0"/>
    <x v="0"/>
    <x v="3"/>
    <x v="3"/>
    <x v="7"/>
    <x v="2"/>
  </r>
  <r>
    <x v="1402"/>
    <x v="2"/>
    <x v="12"/>
    <n v="85.2"/>
    <n v="340.8"/>
    <x v="52"/>
    <d v="2025-02-27T00:00:00"/>
    <x v="1"/>
    <x v="2"/>
    <x v="0"/>
    <x v="0"/>
    <x v="3"/>
    <x v="0"/>
    <x v="7"/>
    <x v="1"/>
  </r>
  <r>
    <x v="1403"/>
    <x v="8"/>
    <x v="13"/>
    <n v="16"/>
    <n v="96"/>
    <x v="52"/>
    <d v="2025-02-25T00:00:00"/>
    <x v="1"/>
    <x v="1"/>
    <x v="0"/>
    <x v="0"/>
    <x v="3"/>
    <x v="2"/>
    <x v="7"/>
    <x v="1"/>
  </r>
  <r>
    <x v="1404"/>
    <x v="1"/>
    <x v="1"/>
    <n v="33.799999999999997"/>
    <n v="67.599999999999994"/>
    <x v="52"/>
    <d v="2025-02-26T00:00:00"/>
    <x v="2"/>
    <x v="1"/>
    <x v="0"/>
    <x v="0"/>
    <x v="3"/>
    <x v="5"/>
    <x v="7"/>
    <x v="2"/>
  </r>
  <r>
    <x v="1405"/>
    <x v="3"/>
    <x v="0"/>
    <n v="70"/>
    <n v="70"/>
    <x v="52"/>
    <d v="2025-02-23T00:00:00"/>
    <x v="2"/>
    <x v="0"/>
    <x v="0"/>
    <x v="0"/>
    <x v="3"/>
    <x v="3"/>
    <x v="7"/>
    <x v="2"/>
  </r>
  <r>
    <x v="1406"/>
    <x v="9"/>
    <x v="0"/>
    <n v="88"/>
    <n v="88"/>
    <x v="52"/>
    <d v="2025-02-27T00:00:00"/>
    <x v="2"/>
    <x v="3"/>
    <x v="0"/>
    <x v="0"/>
    <x v="3"/>
    <x v="0"/>
    <x v="7"/>
    <x v="2"/>
  </r>
  <r>
    <x v="1407"/>
    <x v="2"/>
    <x v="2"/>
    <n v="74.099999999999994"/>
    <n v="222.29999999999998"/>
    <x v="52"/>
    <d v="2025-02-22T00:00:00"/>
    <x v="1"/>
    <x v="4"/>
    <x v="1"/>
    <x v="0"/>
    <x v="3"/>
    <x v="7"/>
    <x v="7"/>
    <x v="1"/>
  </r>
  <r>
    <x v="1408"/>
    <x v="2"/>
    <x v="0"/>
    <n v="161.9"/>
    <n v="161.9"/>
    <x v="52"/>
    <d v="2025-02-24T00:00:00"/>
    <x v="1"/>
    <x v="2"/>
    <x v="0"/>
    <x v="0"/>
    <x v="3"/>
    <x v="1"/>
    <x v="7"/>
    <x v="1"/>
  </r>
  <r>
    <x v="1409"/>
    <x v="4"/>
    <x v="1"/>
    <n v="44"/>
    <n v="88"/>
    <x v="52"/>
    <d v="2025-02-23T00:00:00"/>
    <x v="3"/>
    <x v="4"/>
    <x v="1"/>
    <x v="0"/>
    <x v="3"/>
    <x v="3"/>
    <x v="7"/>
    <x v="3"/>
  </r>
  <r>
    <x v="1410"/>
    <x v="11"/>
    <x v="0"/>
    <n v="32.1"/>
    <n v="32.1"/>
    <x v="52"/>
    <d v="2025-02-22T00:00:00"/>
    <x v="2"/>
    <x v="3"/>
    <x v="3"/>
    <x v="0"/>
    <x v="3"/>
    <x v="7"/>
    <x v="7"/>
    <x v="2"/>
  </r>
  <r>
    <x v="1411"/>
    <x v="2"/>
    <x v="12"/>
    <n v="104.8"/>
    <n v="419.2"/>
    <x v="53"/>
    <d v="2025-02-25T00:00:00"/>
    <x v="3"/>
    <x v="0"/>
    <x v="0"/>
    <x v="0"/>
    <x v="3"/>
    <x v="1"/>
    <x v="8"/>
    <x v="3"/>
  </r>
  <r>
    <x v="1412"/>
    <x v="9"/>
    <x v="13"/>
    <n v="67.400000000000006"/>
    <n v="404.40000000000003"/>
    <x v="53"/>
    <d v="2025-02-24T00:00:00"/>
    <x v="2"/>
    <x v="3"/>
    <x v="0"/>
    <x v="0"/>
    <x v="3"/>
    <x v="3"/>
    <x v="8"/>
    <x v="2"/>
  </r>
  <r>
    <x v="1413"/>
    <x v="6"/>
    <x v="1"/>
    <n v="115.2"/>
    <n v="230.4"/>
    <x v="53"/>
    <d v="2025-02-24T00:00:00"/>
    <x v="2"/>
    <x v="1"/>
    <x v="0"/>
    <x v="0"/>
    <x v="4"/>
    <x v="3"/>
    <x v="8"/>
    <x v="2"/>
  </r>
  <r>
    <x v="1414"/>
    <x v="8"/>
    <x v="19"/>
    <n v="15.5"/>
    <n v="449.5"/>
    <x v="53"/>
    <d v="2025-02-25T00:00:00"/>
    <x v="2"/>
    <x v="0"/>
    <x v="1"/>
    <x v="0"/>
    <x v="23"/>
    <x v="1"/>
    <x v="8"/>
    <x v="2"/>
  </r>
  <r>
    <x v="1415"/>
    <x v="6"/>
    <x v="5"/>
    <n v="66.400000000000006"/>
    <n v="730.40000000000009"/>
    <x v="53"/>
    <d v="2025-02-25T00:00:00"/>
    <x v="2"/>
    <x v="0"/>
    <x v="0"/>
    <x v="0"/>
    <x v="6"/>
    <x v="1"/>
    <x v="8"/>
    <x v="2"/>
  </r>
  <r>
    <x v="1416"/>
    <x v="9"/>
    <x v="4"/>
    <n v="68.099999999999994"/>
    <n v="817.19999999999993"/>
    <x v="53"/>
    <d v="2025-02-24T00:00:00"/>
    <x v="2"/>
    <x v="2"/>
    <x v="0"/>
    <x v="0"/>
    <x v="8"/>
    <x v="3"/>
    <x v="8"/>
    <x v="2"/>
  </r>
  <r>
    <x v="1417"/>
    <x v="8"/>
    <x v="9"/>
    <n v="32.5"/>
    <n v="162.5"/>
    <x v="53"/>
    <d v="2025-02-27T00:00:00"/>
    <x v="1"/>
    <x v="2"/>
    <x v="1"/>
    <x v="0"/>
    <x v="8"/>
    <x v="5"/>
    <x v="8"/>
    <x v="1"/>
  </r>
  <r>
    <x v="1418"/>
    <x v="15"/>
    <x v="2"/>
    <n v="61.2"/>
    <n v="183.60000000000002"/>
    <x v="53"/>
    <d v="2025-02-25T00:00:00"/>
    <x v="2"/>
    <x v="1"/>
    <x v="1"/>
    <x v="0"/>
    <x v="8"/>
    <x v="1"/>
    <x v="8"/>
    <x v="2"/>
  </r>
  <r>
    <x v="1419"/>
    <x v="9"/>
    <x v="1"/>
    <n v="54.2"/>
    <n v="108.4"/>
    <x v="53"/>
    <d v="2025-02-24T00:00:00"/>
    <x v="2"/>
    <x v="1"/>
    <x v="0"/>
    <x v="0"/>
    <x v="8"/>
    <x v="3"/>
    <x v="8"/>
    <x v="2"/>
  </r>
  <r>
    <x v="1420"/>
    <x v="11"/>
    <x v="8"/>
    <n v="28.7"/>
    <n v="229.6"/>
    <x v="53"/>
    <d v="2025-02-25T00:00:00"/>
    <x v="1"/>
    <x v="1"/>
    <x v="0"/>
    <x v="0"/>
    <x v="9"/>
    <x v="1"/>
    <x v="8"/>
    <x v="1"/>
  </r>
  <r>
    <x v="1421"/>
    <x v="12"/>
    <x v="13"/>
    <n v="38.200000000000003"/>
    <n v="229.20000000000002"/>
    <x v="53"/>
    <d v="2025-02-27T00:00:00"/>
    <x v="2"/>
    <x v="0"/>
    <x v="1"/>
    <x v="0"/>
    <x v="9"/>
    <x v="5"/>
    <x v="8"/>
    <x v="2"/>
  </r>
  <r>
    <x v="1422"/>
    <x v="8"/>
    <x v="4"/>
    <n v="17.600000000000001"/>
    <n v="211.20000000000002"/>
    <x v="53"/>
    <d v="2025-02-24T00:00:00"/>
    <x v="2"/>
    <x v="2"/>
    <x v="1"/>
    <x v="0"/>
    <x v="9"/>
    <x v="3"/>
    <x v="8"/>
    <x v="2"/>
  </r>
  <r>
    <x v="1423"/>
    <x v="10"/>
    <x v="2"/>
    <n v="74.599999999999994"/>
    <n v="223.79999999999998"/>
    <x v="53"/>
    <d v="2025-02-23T00:00:00"/>
    <x v="2"/>
    <x v="2"/>
    <x v="0"/>
    <x v="0"/>
    <x v="11"/>
    <x v="7"/>
    <x v="8"/>
    <x v="2"/>
  </r>
  <r>
    <x v="1424"/>
    <x v="16"/>
    <x v="20"/>
    <n v="72.599999999999994"/>
    <n v="1089"/>
    <x v="53"/>
    <d v="2025-02-23T00:00:00"/>
    <x v="0"/>
    <x v="1"/>
    <x v="1"/>
    <x v="0"/>
    <x v="11"/>
    <x v="7"/>
    <x v="8"/>
    <x v="0"/>
  </r>
  <r>
    <x v="1425"/>
    <x v="7"/>
    <x v="0"/>
    <n v="62.3"/>
    <n v="62.3"/>
    <x v="53"/>
    <d v="2025-02-24T00:00:00"/>
    <x v="2"/>
    <x v="1"/>
    <x v="0"/>
    <x v="0"/>
    <x v="11"/>
    <x v="3"/>
    <x v="8"/>
    <x v="2"/>
  </r>
  <r>
    <x v="1426"/>
    <x v="3"/>
    <x v="2"/>
    <n v="33.799999999999997"/>
    <n v="101.39999999999999"/>
    <x v="53"/>
    <d v="2025-02-25T00:00:00"/>
    <x v="1"/>
    <x v="0"/>
    <x v="2"/>
    <x v="0"/>
    <x v="20"/>
    <x v="1"/>
    <x v="8"/>
    <x v="1"/>
  </r>
  <r>
    <x v="1427"/>
    <x v="9"/>
    <x v="0"/>
    <n v="85.7"/>
    <n v="85.7"/>
    <x v="53"/>
    <d v="2025-02-26T00:00:00"/>
    <x v="1"/>
    <x v="3"/>
    <x v="1"/>
    <x v="0"/>
    <x v="21"/>
    <x v="2"/>
    <x v="8"/>
    <x v="1"/>
  </r>
  <r>
    <x v="1428"/>
    <x v="6"/>
    <x v="1"/>
    <n v="92.1"/>
    <n v="184.2"/>
    <x v="53"/>
    <d v="2025-02-25T00:00:00"/>
    <x v="1"/>
    <x v="1"/>
    <x v="0"/>
    <x v="0"/>
    <x v="21"/>
    <x v="1"/>
    <x v="8"/>
    <x v="1"/>
  </r>
  <r>
    <x v="1429"/>
    <x v="16"/>
    <x v="2"/>
    <n v="65.099999999999994"/>
    <n v="195.29999999999998"/>
    <x v="53"/>
    <d v="2025-02-26T00:00:00"/>
    <x v="1"/>
    <x v="0"/>
    <x v="0"/>
    <x v="0"/>
    <x v="1"/>
    <x v="2"/>
    <x v="8"/>
    <x v="1"/>
  </r>
  <r>
    <x v="1430"/>
    <x v="9"/>
    <x v="3"/>
    <n v="20.3"/>
    <n v="142.1"/>
    <x v="53"/>
    <d v="2025-02-24T00:00:00"/>
    <x v="2"/>
    <x v="2"/>
    <x v="2"/>
    <x v="0"/>
    <x v="2"/>
    <x v="3"/>
    <x v="8"/>
    <x v="2"/>
  </r>
  <r>
    <x v="1431"/>
    <x v="19"/>
    <x v="1"/>
    <n v="29.8"/>
    <n v="59.6"/>
    <x v="53"/>
    <d v="2025-02-25T00:00:00"/>
    <x v="2"/>
    <x v="1"/>
    <x v="2"/>
    <x v="0"/>
    <x v="34"/>
    <x v="1"/>
    <x v="8"/>
    <x v="2"/>
  </r>
  <r>
    <x v="1432"/>
    <x v="0"/>
    <x v="1"/>
    <n v="24.2"/>
    <n v="48.4"/>
    <x v="53"/>
    <d v="2025-02-25T00:00:00"/>
    <x v="2"/>
    <x v="3"/>
    <x v="2"/>
    <x v="0"/>
    <x v="3"/>
    <x v="1"/>
    <x v="8"/>
    <x v="2"/>
  </r>
  <r>
    <x v="1433"/>
    <x v="3"/>
    <x v="0"/>
    <n v="57.3"/>
    <n v="57.3"/>
    <x v="53"/>
    <d v="2025-02-25T00:00:00"/>
    <x v="1"/>
    <x v="0"/>
    <x v="0"/>
    <x v="0"/>
    <x v="3"/>
    <x v="1"/>
    <x v="8"/>
    <x v="1"/>
  </r>
  <r>
    <x v="1434"/>
    <x v="2"/>
    <x v="0"/>
    <n v="108.9"/>
    <n v="108.9"/>
    <x v="53"/>
    <d v="2025-02-25T00:00:00"/>
    <x v="2"/>
    <x v="1"/>
    <x v="0"/>
    <x v="0"/>
    <x v="3"/>
    <x v="1"/>
    <x v="8"/>
    <x v="2"/>
  </r>
  <r>
    <x v="1435"/>
    <x v="7"/>
    <x v="9"/>
    <n v="50.7"/>
    <n v="253.5"/>
    <x v="53"/>
    <d v="2025-02-24T00:00:00"/>
    <x v="2"/>
    <x v="0"/>
    <x v="0"/>
    <x v="0"/>
    <x v="3"/>
    <x v="3"/>
    <x v="8"/>
    <x v="2"/>
  </r>
  <r>
    <x v="1436"/>
    <x v="7"/>
    <x v="11"/>
    <n v="66.099999999999994"/>
    <n v="594.9"/>
    <x v="53"/>
    <d v="2025-03-09T00:00:00"/>
    <x v="2"/>
    <x v="1"/>
    <x v="0"/>
    <x v="0"/>
    <x v="3"/>
    <x v="12"/>
    <x v="8"/>
    <x v="2"/>
  </r>
  <r>
    <x v="1437"/>
    <x v="12"/>
    <x v="9"/>
    <n v="36.700000000000003"/>
    <n v="183.5"/>
    <x v="53"/>
    <d v="2025-02-27T00:00:00"/>
    <x v="2"/>
    <x v="4"/>
    <x v="0"/>
    <x v="0"/>
    <x v="3"/>
    <x v="5"/>
    <x v="8"/>
    <x v="2"/>
  </r>
  <r>
    <x v="1438"/>
    <x v="8"/>
    <x v="14"/>
    <n v="19.3"/>
    <n v="328.1"/>
    <x v="53"/>
    <d v="2025-02-25T00:00:00"/>
    <x v="1"/>
    <x v="0"/>
    <x v="0"/>
    <x v="0"/>
    <x v="43"/>
    <x v="1"/>
    <x v="8"/>
    <x v="1"/>
  </r>
  <r>
    <x v="1439"/>
    <x v="8"/>
    <x v="12"/>
    <n v="20.7"/>
    <n v="82.8"/>
    <x v="53"/>
    <d v="2025-02-24T00:00:00"/>
    <x v="1"/>
    <x v="1"/>
    <x v="2"/>
    <x v="0"/>
    <x v="6"/>
    <x v="3"/>
    <x v="8"/>
    <x v="1"/>
  </r>
  <r>
    <x v="1440"/>
    <x v="5"/>
    <x v="2"/>
    <n v="54.7"/>
    <n v="164.10000000000002"/>
    <x v="53"/>
    <d v="2025-02-23T00:00:00"/>
    <x v="3"/>
    <x v="1"/>
    <x v="4"/>
    <x v="0"/>
    <x v="6"/>
    <x v="7"/>
    <x v="8"/>
    <x v="3"/>
  </r>
  <r>
    <x v="1441"/>
    <x v="4"/>
    <x v="1"/>
    <n v="19.8"/>
    <n v="39.6"/>
    <x v="53"/>
    <d v="2025-02-27T00:00:00"/>
    <x v="2"/>
    <x v="4"/>
    <x v="1"/>
    <x v="0"/>
    <x v="8"/>
    <x v="5"/>
    <x v="8"/>
    <x v="2"/>
  </r>
  <r>
    <x v="1442"/>
    <x v="7"/>
    <x v="0"/>
    <n v="41.1"/>
    <n v="41.1"/>
    <x v="53"/>
    <d v="2025-02-25T00:00:00"/>
    <x v="2"/>
    <x v="0"/>
    <x v="2"/>
    <x v="0"/>
    <x v="8"/>
    <x v="1"/>
    <x v="8"/>
    <x v="2"/>
  </r>
  <r>
    <x v="1443"/>
    <x v="11"/>
    <x v="8"/>
    <n v="43.5"/>
    <n v="348"/>
    <x v="53"/>
    <d v="2025-02-27T00:00:00"/>
    <x v="2"/>
    <x v="3"/>
    <x v="0"/>
    <x v="0"/>
    <x v="8"/>
    <x v="5"/>
    <x v="8"/>
    <x v="2"/>
  </r>
  <r>
    <x v="1444"/>
    <x v="8"/>
    <x v="21"/>
    <n v="19"/>
    <n v="266"/>
    <x v="53"/>
    <d v="2025-02-24T00:00:00"/>
    <x v="1"/>
    <x v="0"/>
    <x v="0"/>
    <x v="0"/>
    <x v="26"/>
    <x v="3"/>
    <x v="8"/>
    <x v="1"/>
  </r>
  <r>
    <x v="1445"/>
    <x v="2"/>
    <x v="12"/>
    <n v="51.4"/>
    <n v="205.6"/>
    <x v="53"/>
    <d v="2025-02-23T00:00:00"/>
    <x v="2"/>
    <x v="0"/>
    <x v="0"/>
    <x v="0"/>
    <x v="26"/>
    <x v="7"/>
    <x v="8"/>
    <x v="2"/>
  </r>
  <r>
    <x v="1446"/>
    <x v="10"/>
    <x v="1"/>
    <n v="39.799999999999997"/>
    <n v="79.599999999999994"/>
    <x v="53"/>
    <d v="2025-02-26T00:00:00"/>
    <x v="1"/>
    <x v="3"/>
    <x v="1"/>
    <x v="0"/>
    <x v="13"/>
    <x v="2"/>
    <x v="8"/>
    <x v="1"/>
  </r>
  <r>
    <x v="1447"/>
    <x v="6"/>
    <x v="9"/>
    <n v="61"/>
    <n v="305"/>
    <x v="53"/>
    <d v="2025-02-24T00:00:00"/>
    <x v="0"/>
    <x v="0"/>
    <x v="2"/>
    <x v="0"/>
    <x v="21"/>
    <x v="3"/>
    <x v="8"/>
    <x v="0"/>
  </r>
  <r>
    <x v="1448"/>
    <x v="8"/>
    <x v="5"/>
    <n v="15.1"/>
    <n v="166.1"/>
    <x v="54"/>
    <d v="2025-03-01T00:00:00"/>
    <x v="1"/>
    <x v="3"/>
    <x v="2"/>
    <x v="0"/>
    <x v="2"/>
    <x v="0"/>
    <x v="8"/>
    <x v="1"/>
  </r>
  <r>
    <x v="1449"/>
    <x v="1"/>
    <x v="3"/>
    <n v="71.3"/>
    <n v="499.09999999999997"/>
    <x v="54"/>
    <d v="2025-02-25T00:00:00"/>
    <x v="1"/>
    <x v="4"/>
    <x v="0"/>
    <x v="0"/>
    <x v="3"/>
    <x v="3"/>
    <x v="8"/>
    <x v="1"/>
  </r>
  <r>
    <x v="1450"/>
    <x v="10"/>
    <x v="0"/>
    <n v="25.8"/>
    <n v="25.8"/>
    <x v="54"/>
    <d v="2025-02-26T00:00:00"/>
    <x v="2"/>
    <x v="0"/>
    <x v="2"/>
    <x v="0"/>
    <x v="3"/>
    <x v="1"/>
    <x v="8"/>
    <x v="2"/>
  </r>
  <r>
    <x v="1451"/>
    <x v="8"/>
    <x v="9"/>
    <n v="39.6"/>
    <n v="198"/>
    <x v="54"/>
    <d v="2025-02-26T00:00:00"/>
    <x v="1"/>
    <x v="1"/>
    <x v="2"/>
    <x v="0"/>
    <x v="3"/>
    <x v="1"/>
    <x v="8"/>
    <x v="1"/>
  </r>
  <r>
    <x v="1452"/>
    <x v="5"/>
    <x v="1"/>
    <n v="64"/>
    <n v="128"/>
    <x v="54"/>
    <d v="2025-02-24T00:00:00"/>
    <x v="1"/>
    <x v="1"/>
    <x v="1"/>
    <x v="0"/>
    <x v="3"/>
    <x v="7"/>
    <x v="8"/>
    <x v="1"/>
  </r>
  <r>
    <x v="1453"/>
    <x v="8"/>
    <x v="1"/>
    <n v="30.6"/>
    <n v="61.2"/>
    <x v="54"/>
    <d v="2025-02-27T00:00:00"/>
    <x v="1"/>
    <x v="0"/>
    <x v="2"/>
    <x v="0"/>
    <x v="3"/>
    <x v="2"/>
    <x v="8"/>
    <x v="1"/>
  </r>
  <r>
    <x v="1454"/>
    <x v="8"/>
    <x v="1"/>
    <n v="21.3"/>
    <n v="42.6"/>
    <x v="54"/>
    <d v="2025-02-25T00:00:00"/>
    <x v="1"/>
    <x v="0"/>
    <x v="1"/>
    <x v="0"/>
    <x v="3"/>
    <x v="3"/>
    <x v="8"/>
    <x v="1"/>
  </r>
  <r>
    <x v="1455"/>
    <x v="7"/>
    <x v="0"/>
    <n v="40.799999999999997"/>
    <n v="40.799999999999997"/>
    <x v="54"/>
    <d v="2025-02-26T00:00:00"/>
    <x v="2"/>
    <x v="4"/>
    <x v="0"/>
    <x v="0"/>
    <x v="3"/>
    <x v="1"/>
    <x v="8"/>
    <x v="2"/>
  </r>
  <r>
    <x v="1456"/>
    <x v="9"/>
    <x v="12"/>
    <n v="27.7"/>
    <n v="110.8"/>
    <x v="54"/>
    <d v="2025-02-25T00:00:00"/>
    <x v="2"/>
    <x v="0"/>
    <x v="1"/>
    <x v="0"/>
    <x v="3"/>
    <x v="3"/>
    <x v="8"/>
    <x v="2"/>
  </r>
  <r>
    <x v="1457"/>
    <x v="6"/>
    <x v="1"/>
    <n v="64.599999999999994"/>
    <n v="129.19999999999999"/>
    <x v="54"/>
    <d v="2025-02-25T00:00:00"/>
    <x v="1"/>
    <x v="0"/>
    <x v="1"/>
    <x v="0"/>
    <x v="3"/>
    <x v="3"/>
    <x v="8"/>
    <x v="1"/>
  </r>
  <r>
    <x v="1458"/>
    <x v="6"/>
    <x v="27"/>
    <n v="91.1"/>
    <n v="1457.6"/>
    <x v="54"/>
    <d v="2025-02-25T00:00:00"/>
    <x v="2"/>
    <x v="1"/>
    <x v="2"/>
    <x v="0"/>
    <x v="3"/>
    <x v="3"/>
    <x v="8"/>
    <x v="2"/>
  </r>
  <r>
    <x v="1459"/>
    <x v="1"/>
    <x v="0"/>
    <n v="39.5"/>
    <n v="39.5"/>
    <x v="54"/>
    <d v="2025-03-04T00:00:00"/>
    <x v="2"/>
    <x v="0"/>
    <x v="0"/>
    <x v="0"/>
    <x v="3"/>
    <x v="9"/>
    <x v="8"/>
    <x v="2"/>
  </r>
  <r>
    <x v="1460"/>
    <x v="9"/>
    <x v="1"/>
    <n v="21.8"/>
    <n v="43.6"/>
    <x v="54"/>
    <d v="2025-02-28T00:00:00"/>
    <x v="1"/>
    <x v="4"/>
    <x v="2"/>
    <x v="0"/>
    <x v="3"/>
    <x v="5"/>
    <x v="8"/>
    <x v="1"/>
  </r>
  <r>
    <x v="1461"/>
    <x v="8"/>
    <x v="1"/>
    <n v="51"/>
    <n v="102"/>
    <x v="54"/>
    <d v="2025-02-27T00:00:00"/>
    <x v="1"/>
    <x v="3"/>
    <x v="2"/>
    <x v="0"/>
    <x v="3"/>
    <x v="2"/>
    <x v="8"/>
    <x v="1"/>
  </r>
  <r>
    <x v="1462"/>
    <x v="2"/>
    <x v="0"/>
    <n v="92.6"/>
    <n v="92.6"/>
    <x v="54"/>
    <d v="2025-02-27T00:00:00"/>
    <x v="2"/>
    <x v="0"/>
    <x v="2"/>
    <x v="0"/>
    <x v="35"/>
    <x v="2"/>
    <x v="8"/>
    <x v="2"/>
  </r>
  <r>
    <x v="1463"/>
    <x v="9"/>
    <x v="1"/>
    <n v="31.1"/>
    <n v="62.2"/>
    <x v="54"/>
    <d v="2025-03-01T00:00:00"/>
    <x v="0"/>
    <x v="1"/>
    <x v="3"/>
    <x v="0"/>
    <x v="23"/>
    <x v="0"/>
    <x v="8"/>
    <x v="0"/>
  </r>
  <r>
    <x v="1464"/>
    <x v="5"/>
    <x v="2"/>
    <n v="56.4"/>
    <n v="169.2"/>
    <x v="54"/>
    <d v="2025-02-25T00:00:00"/>
    <x v="0"/>
    <x v="1"/>
    <x v="0"/>
    <x v="0"/>
    <x v="6"/>
    <x v="3"/>
    <x v="8"/>
    <x v="0"/>
  </r>
  <r>
    <x v="1465"/>
    <x v="9"/>
    <x v="0"/>
    <n v="41.9"/>
    <n v="41.9"/>
    <x v="54"/>
    <d v="2025-02-24T00:00:00"/>
    <x v="1"/>
    <x v="1"/>
    <x v="0"/>
    <x v="0"/>
    <x v="6"/>
    <x v="7"/>
    <x v="8"/>
    <x v="1"/>
  </r>
  <r>
    <x v="1466"/>
    <x v="10"/>
    <x v="3"/>
    <n v="45.9"/>
    <n v="321.3"/>
    <x v="54"/>
    <d v="2025-02-25T00:00:00"/>
    <x v="1"/>
    <x v="3"/>
    <x v="2"/>
    <x v="0"/>
    <x v="8"/>
    <x v="3"/>
    <x v="8"/>
    <x v="1"/>
  </r>
  <r>
    <x v="1467"/>
    <x v="14"/>
    <x v="11"/>
    <n v="24.4"/>
    <n v="219.6"/>
    <x v="54"/>
    <d v="2025-02-28T00:00:00"/>
    <x v="1"/>
    <x v="3"/>
    <x v="2"/>
    <x v="0"/>
    <x v="8"/>
    <x v="5"/>
    <x v="8"/>
    <x v="1"/>
  </r>
  <r>
    <x v="1468"/>
    <x v="8"/>
    <x v="0"/>
    <n v="18.2"/>
    <n v="18.2"/>
    <x v="54"/>
    <d v="2025-02-25T00:00:00"/>
    <x v="2"/>
    <x v="2"/>
    <x v="2"/>
    <x v="0"/>
    <x v="8"/>
    <x v="3"/>
    <x v="8"/>
    <x v="2"/>
  </r>
  <r>
    <x v="1469"/>
    <x v="8"/>
    <x v="12"/>
    <n v="51.2"/>
    <n v="204.8"/>
    <x v="54"/>
    <d v="2025-02-25T00:00:00"/>
    <x v="2"/>
    <x v="0"/>
    <x v="0"/>
    <x v="0"/>
    <x v="8"/>
    <x v="3"/>
    <x v="8"/>
    <x v="2"/>
  </r>
  <r>
    <x v="1470"/>
    <x v="6"/>
    <x v="0"/>
    <n v="59.7"/>
    <n v="59.7"/>
    <x v="54"/>
    <d v="2025-02-27T00:00:00"/>
    <x v="1"/>
    <x v="0"/>
    <x v="2"/>
    <x v="0"/>
    <x v="8"/>
    <x v="2"/>
    <x v="8"/>
    <x v="1"/>
  </r>
  <r>
    <x v="1471"/>
    <x v="4"/>
    <x v="1"/>
    <n v="33.6"/>
    <n v="67.2"/>
    <x v="54"/>
    <d v="2025-02-26T00:00:00"/>
    <x v="2"/>
    <x v="0"/>
    <x v="0"/>
    <x v="0"/>
    <x v="17"/>
    <x v="1"/>
    <x v="8"/>
    <x v="2"/>
  </r>
  <r>
    <x v="1472"/>
    <x v="12"/>
    <x v="0"/>
    <n v="90.4"/>
    <n v="90.4"/>
    <x v="54"/>
    <d v="2025-02-28T00:00:00"/>
    <x v="1"/>
    <x v="1"/>
    <x v="2"/>
    <x v="0"/>
    <x v="10"/>
    <x v="5"/>
    <x v="8"/>
    <x v="1"/>
  </r>
  <r>
    <x v="1473"/>
    <x v="11"/>
    <x v="2"/>
    <n v="70.3"/>
    <n v="210.89999999999998"/>
    <x v="54"/>
    <d v="2025-02-24T00:00:00"/>
    <x v="1"/>
    <x v="1"/>
    <x v="2"/>
    <x v="0"/>
    <x v="11"/>
    <x v="7"/>
    <x v="8"/>
    <x v="1"/>
  </r>
  <r>
    <x v="1474"/>
    <x v="4"/>
    <x v="1"/>
    <n v="20.5"/>
    <n v="41"/>
    <x v="54"/>
    <d v="2025-02-27T00:00:00"/>
    <x v="2"/>
    <x v="0"/>
    <x v="1"/>
    <x v="0"/>
    <x v="11"/>
    <x v="2"/>
    <x v="8"/>
    <x v="2"/>
  </r>
  <r>
    <x v="1475"/>
    <x v="5"/>
    <x v="5"/>
    <n v="37.6"/>
    <n v="413.6"/>
    <x v="54"/>
    <d v="2025-02-25T00:00:00"/>
    <x v="1"/>
    <x v="0"/>
    <x v="0"/>
    <x v="0"/>
    <x v="38"/>
    <x v="3"/>
    <x v="8"/>
    <x v="1"/>
  </r>
  <r>
    <x v="1476"/>
    <x v="5"/>
    <x v="12"/>
    <n v="61.5"/>
    <n v="246"/>
    <x v="54"/>
    <d v="2025-03-03T00:00:00"/>
    <x v="2"/>
    <x v="1"/>
    <x v="4"/>
    <x v="0"/>
    <x v="13"/>
    <x v="6"/>
    <x v="8"/>
    <x v="2"/>
  </r>
  <r>
    <x v="1477"/>
    <x v="9"/>
    <x v="0"/>
    <n v="33.5"/>
    <n v="33.5"/>
    <x v="55"/>
    <d v="2025-03-01T00:00:00"/>
    <x v="1"/>
    <x v="4"/>
    <x v="1"/>
    <x v="0"/>
    <x v="21"/>
    <x v="5"/>
    <x v="8"/>
    <x v="1"/>
  </r>
  <r>
    <x v="1478"/>
    <x v="4"/>
    <x v="2"/>
    <n v="29.3"/>
    <n v="87.9"/>
    <x v="55"/>
    <d v="2025-02-27T00:00:00"/>
    <x v="2"/>
    <x v="1"/>
    <x v="2"/>
    <x v="0"/>
    <x v="1"/>
    <x v="1"/>
    <x v="8"/>
    <x v="2"/>
  </r>
  <r>
    <x v="1479"/>
    <x v="2"/>
    <x v="1"/>
    <n v="125.9"/>
    <n v="251.8"/>
    <x v="55"/>
    <d v="2025-03-02T00:00:00"/>
    <x v="2"/>
    <x v="4"/>
    <x v="1"/>
    <x v="0"/>
    <x v="1"/>
    <x v="0"/>
    <x v="8"/>
    <x v="2"/>
  </r>
  <r>
    <x v="1480"/>
    <x v="5"/>
    <x v="9"/>
    <n v="29.3"/>
    <n v="146.5"/>
    <x v="55"/>
    <d v="2025-02-25T00:00:00"/>
    <x v="1"/>
    <x v="2"/>
    <x v="0"/>
    <x v="0"/>
    <x v="44"/>
    <x v="7"/>
    <x v="8"/>
    <x v="1"/>
  </r>
  <r>
    <x v="1481"/>
    <x v="9"/>
    <x v="0"/>
    <n v="37.799999999999997"/>
    <n v="37.799999999999997"/>
    <x v="55"/>
    <d v="2025-02-28T00:00:00"/>
    <x v="2"/>
    <x v="0"/>
    <x v="2"/>
    <x v="0"/>
    <x v="3"/>
    <x v="2"/>
    <x v="8"/>
    <x v="2"/>
  </r>
  <r>
    <x v="1482"/>
    <x v="0"/>
    <x v="12"/>
    <n v="31.7"/>
    <n v="126.8"/>
    <x v="55"/>
    <d v="2025-02-26T00:00:00"/>
    <x v="1"/>
    <x v="2"/>
    <x v="2"/>
    <x v="0"/>
    <x v="3"/>
    <x v="3"/>
    <x v="8"/>
    <x v="1"/>
  </r>
  <r>
    <x v="1483"/>
    <x v="8"/>
    <x v="9"/>
    <n v="26.3"/>
    <n v="131.5"/>
    <x v="55"/>
    <d v="2025-02-26T00:00:00"/>
    <x v="2"/>
    <x v="3"/>
    <x v="2"/>
    <x v="0"/>
    <x v="3"/>
    <x v="3"/>
    <x v="8"/>
    <x v="2"/>
  </r>
  <r>
    <x v="1484"/>
    <x v="8"/>
    <x v="2"/>
    <n v="23.1"/>
    <n v="69.300000000000011"/>
    <x v="55"/>
    <d v="2025-02-26T00:00:00"/>
    <x v="3"/>
    <x v="2"/>
    <x v="1"/>
    <x v="0"/>
    <x v="3"/>
    <x v="3"/>
    <x v="8"/>
    <x v="3"/>
  </r>
  <r>
    <x v="1485"/>
    <x v="4"/>
    <x v="0"/>
    <n v="22.3"/>
    <n v="22.3"/>
    <x v="55"/>
    <d v="2025-02-27T00:00:00"/>
    <x v="2"/>
    <x v="2"/>
    <x v="0"/>
    <x v="0"/>
    <x v="3"/>
    <x v="1"/>
    <x v="8"/>
    <x v="2"/>
  </r>
  <r>
    <x v="1486"/>
    <x v="12"/>
    <x v="1"/>
    <n v="99.5"/>
    <n v="199"/>
    <x v="55"/>
    <d v="2025-02-27T00:00:00"/>
    <x v="2"/>
    <x v="2"/>
    <x v="0"/>
    <x v="0"/>
    <x v="3"/>
    <x v="1"/>
    <x v="8"/>
    <x v="2"/>
  </r>
  <r>
    <x v="1487"/>
    <x v="12"/>
    <x v="12"/>
    <n v="47.4"/>
    <n v="189.6"/>
    <x v="55"/>
    <d v="2025-02-28T00:00:00"/>
    <x v="2"/>
    <x v="1"/>
    <x v="0"/>
    <x v="0"/>
    <x v="3"/>
    <x v="2"/>
    <x v="8"/>
    <x v="2"/>
  </r>
  <r>
    <x v="1488"/>
    <x v="0"/>
    <x v="5"/>
    <n v="37.5"/>
    <n v="412.5"/>
    <x v="55"/>
    <d v="2025-02-27T00:00:00"/>
    <x v="2"/>
    <x v="0"/>
    <x v="3"/>
    <x v="0"/>
    <x v="3"/>
    <x v="1"/>
    <x v="8"/>
    <x v="2"/>
  </r>
  <r>
    <x v="1489"/>
    <x v="10"/>
    <x v="0"/>
    <n v="45.1"/>
    <n v="45.1"/>
    <x v="55"/>
    <d v="2025-03-02T00:00:00"/>
    <x v="1"/>
    <x v="3"/>
    <x v="2"/>
    <x v="0"/>
    <x v="24"/>
    <x v="0"/>
    <x v="8"/>
    <x v="1"/>
  </r>
  <r>
    <x v="1490"/>
    <x v="5"/>
    <x v="7"/>
    <n v="34.4"/>
    <n v="344"/>
    <x v="55"/>
    <d v="2025-02-28T00:00:00"/>
    <x v="1"/>
    <x v="2"/>
    <x v="0"/>
    <x v="0"/>
    <x v="16"/>
    <x v="2"/>
    <x v="8"/>
    <x v="1"/>
  </r>
  <r>
    <x v="1491"/>
    <x v="4"/>
    <x v="1"/>
    <n v="38"/>
    <n v="76"/>
    <x v="55"/>
    <d v="2025-02-27T00:00:00"/>
    <x v="2"/>
    <x v="1"/>
    <x v="0"/>
    <x v="0"/>
    <x v="5"/>
    <x v="1"/>
    <x v="8"/>
    <x v="2"/>
  </r>
  <r>
    <x v="1492"/>
    <x v="3"/>
    <x v="21"/>
    <n v="32.4"/>
    <n v="453.59999999999997"/>
    <x v="55"/>
    <d v="2025-02-28T00:00:00"/>
    <x v="1"/>
    <x v="4"/>
    <x v="0"/>
    <x v="0"/>
    <x v="6"/>
    <x v="2"/>
    <x v="8"/>
    <x v="1"/>
  </r>
  <r>
    <x v="1493"/>
    <x v="6"/>
    <x v="2"/>
    <n v="40.9"/>
    <n v="122.69999999999999"/>
    <x v="55"/>
    <d v="2025-02-25T00:00:00"/>
    <x v="0"/>
    <x v="1"/>
    <x v="0"/>
    <x v="0"/>
    <x v="8"/>
    <x v="7"/>
    <x v="8"/>
    <x v="0"/>
  </r>
  <r>
    <x v="1494"/>
    <x v="7"/>
    <x v="3"/>
    <n v="76.2"/>
    <n v="533.4"/>
    <x v="55"/>
    <d v="2025-02-27T00:00:00"/>
    <x v="2"/>
    <x v="2"/>
    <x v="1"/>
    <x v="0"/>
    <x v="8"/>
    <x v="1"/>
    <x v="8"/>
    <x v="2"/>
  </r>
  <r>
    <x v="1495"/>
    <x v="2"/>
    <x v="0"/>
    <n v="85.6"/>
    <n v="85.6"/>
    <x v="55"/>
    <d v="2025-02-27T00:00:00"/>
    <x v="1"/>
    <x v="2"/>
    <x v="0"/>
    <x v="0"/>
    <x v="8"/>
    <x v="1"/>
    <x v="8"/>
    <x v="1"/>
  </r>
  <r>
    <x v="1496"/>
    <x v="4"/>
    <x v="12"/>
    <n v="25"/>
    <n v="100"/>
    <x v="55"/>
    <d v="2025-02-27T00:00:00"/>
    <x v="2"/>
    <x v="2"/>
    <x v="2"/>
    <x v="0"/>
    <x v="8"/>
    <x v="1"/>
    <x v="8"/>
    <x v="2"/>
  </r>
  <r>
    <x v="1497"/>
    <x v="2"/>
    <x v="9"/>
    <n v="150.69999999999999"/>
    <n v="753.5"/>
    <x v="55"/>
    <d v="2025-02-26T00:00:00"/>
    <x v="0"/>
    <x v="0"/>
    <x v="2"/>
    <x v="0"/>
    <x v="8"/>
    <x v="3"/>
    <x v="8"/>
    <x v="0"/>
  </r>
  <r>
    <x v="1498"/>
    <x v="8"/>
    <x v="0"/>
    <n v="19.600000000000001"/>
    <n v="19.600000000000001"/>
    <x v="55"/>
    <d v="2025-02-26T00:00:00"/>
    <x v="1"/>
    <x v="1"/>
    <x v="4"/>
    <x v="0"/>
    <x v="8"/>
    <x v="3"/>
    <x v="8"/>
    <x v="1"/>
  </r>
  <r>
    <x v="1499"/>
    <x v="13"/>
    <x v="1"/>
    <n v="37.5"/>
    <n v="75"/>
    <x v="55"/>
    <d v="2025-02-28T00:00:00"/>
    <x v="2"/>
    <x v="1"/>
    <x v="2"/>
    <x v="0"/>
    <x v="17"/>
    <x v="2"/>
    <x v="8"/>
    <x v="2"/>
  </r>
  <r>
    <x v="1500"/>
    <x v="9"/>
    <x v="2"/>
    <n v="51.9"/>
    <n v="155.69999999999999"/>
    <x v="55"/>
    <d v="2025-03-03T00:00:00"/>
    <x v="2"/>
    <x v="0"/>
    <x v="4"/>
    <x v="0"/>
    <x v="11"/>
    <x v="4"/>
    <x v="8"/>
    <x v="2"/>
  </r>
  <r>
    <x v="1501"/>
    <x v="1"/>
    <x v="1"/>
    <n v="30.9"/>
    <n v="61.8"/>
    <x v="55"/>
    <d v="2025-02-27T00:00:00"/>
    <x v="2"/>
    <x v="1"/>
    <x v="0"/>
    <x v="0"/>
    <x v="18"/>
    <x v="1"/>
    <x v="8"/>
    <x v="2"/>
  </r>
  <r>
    <x v="1502"/>
    <x v="4"/>
    <x v="2"/>
    <n v="21.2"/>
    <n v="63.599999999999994"/>
    <x v="55"/>
    <d v="2025-02-28T00:00:00"/>
    <x v="2"/>
    <x v="1"/>
    <x v="0"/>
    <x v="0"/>
    <x v="19"/>
    <x v="2"/>
    <x v="8"/>
    <x v="2"/>
  </r>
  <r>
    <x v="1503"/>
    <x v="13"/>
    <x v="14"/>
    <n v="17.5"/>
    <n v="297.5"/>
    <x v="55"/>
    <d v="2025-02-26T00:00:00"/>
    <x v="1"/>
    <x v="1"/>
    <x v="1"/>
    <x v="0"/>
    <x v="13"/>
    <x v="3"/>
    <x v="8"/>
    <x v="1"/>
  </r>
  <r>
    <x v="1504"/>
    <x v="12"/>
    <x v="1"/>
    <n v="53.8"/>
    <n v="107.6"/>
    <x v="55"/>
    <d v="2025-03-02T00:00:00"/>
    <x v="2"/>
    <x v="0"/>
    <x v="2"/>
    <x v="0"/>
    <x v="21"/>
    <x v="0"/>
    <x v="8"/>
    <x v="2"/>
  </r>
  <r>
    <x v="1505"/>
    <x v="19"/>
    <x v="1"/>
    <n v="17"/>
    <n v="34"/>
    <x v="55"/>
    <d v="2025-02-26T00:00:00"/>
    <x v="1"/>
    <x v="3"/>
    <x v="0"/>
    <x v="0"/>
    <x v="21"/>
    <x v="3"/>
    <x v="8"/>
    <x v="1"/>
  </r>
  <r>
    <x v="1506"/>
    <x v="6"/>
    <x v="0"/>
    <n v="103.2"/>
    <n v="103.2"/>
    <x v="55"/>
    <d v="2025-03-05T00:00:00"/>
    <x v="1"/>
    <x v="2"/>
    <x v="1"/>
    <x v="0"/>
    <x v="1"/>
    <x v="9"/>
    <x v="8"/>
    <x v="1"/>
  </r>
  <r>
    <x v="1507"/>
    <x v="6"/>
    <x v="12"/>
    <n v="70.3"/>
    <n v="281.2"/>
    <x v="55"/>
    <d v="2025-02-26T00:00:00"/>
    <x v="1"/>
    <x v="0"/>
    <x v="0"/>
    <x v="0"/>
    <x v="3"/>
    <x v="3"/>
    <x v="8"/>
    <x v="1"/>
  </r>
  <r>
    <x v="1508"/>
    <x v="2"/>
    <x v="1"/>
    <n v="73.8"/>
    <n v="147.6"/>
    <x v="55"/>
    <d v="2025-02-25T00:00:00"/>
    <x v="1"/>
    <x v="3"/>
    <x v="2"/>
    <x v="0"/>
    <x v="3"/>
    <x v="7"/>
    <x v="8"/>
    <x v="1"/>
  </r>
  <r>
    <x v="1509"/>
    <x v="1"/>
    <x v="4"/>
    <n v="67.7"/>
    <n v="812.40000000000009"/>
    <x v="55"/>
    <d v="2025-03-01T00:00:00"/>
    <x v="1"/>
    <x v="1"/>
    <x v="1"/>
    <x v="0"/>
    <x v="3"/>
    <x v="5"/>
    <x v="8"/>
    <x v="1"/>
  </r>
  <r>
    <x v="1510"/>
    <x v="13"/>
    <x v="3"/>
    <n v="43.8"/>
    <n v="306.59999999999997"/>
    <x v="55"/>
    <d v="2025-02-27T00:00:00"/>
    <x v="1"/>
    <x v="1"/>
    <x v="0"/>
    <x v="0"/>
    <x v="3"/>
    <x v="1"/>
    <x v="8"/>
    <x v="1"/>
  </r>
  <r>
    <x v="1511"/>
    <x v="17"/>
    <x v="13"/>
    <n v="71.900000000000006"/>
    <n v="431.40000000000003"/>
    <x v="55"/>
    <d v="2025-02-26T00:00:00"/>
    <x v="2"/>
    <x v="2"/>
    <x v="0"/>
    <x v="0"/>
    <x v="3"/>
    <x v="3"/>
    <x v="8"/>
    <x v="2"/>
  </r>
  <r>
    <x v="1512"/>
    <x v="8"/>
    <x v="1"/>
    <n v="26.3"/>
    <n v="52.6"/>
    <x v="56"/>
    <d v="2025-02-28T00:00:00"/>
    <x v="2"/>
    <x v="0"/>
    <x v="1"/>
    <x v="0"/>
    <x v="3"/>
    <x v="1"/>
    <x v="8"/>
    <x v="2"/>
  </r>
  <r>
    <x v="1513"/>
    <x v="6"/>
    <x v="12"/>
    <n v="52.6"/>
    <n v="210.4"/>
    <x v="56"/>
    <d v="2025-02-28T00:00:00"/>
    <x v="2"/>
    <x v="2"/>
    <x v="1"/>
    <x v="0"/>
    <x v="3"/>
    <x v="1"/>
    <x v="8"/>
    <x v="2"/>
  </r>
  <r>
    <x v="1514"/>
    <x v="10"/>
    <x v="0"/>
    <n v="32.700000000000003"/>
    <n v="32.700000000000003"/>
    <x v="56"/>
    <d v="2025-03-05T00:00:00"/>
    <x v="2"/>
    <x v="0"/>
    <x v="2"/>
    <x v="0"/>
    <x v="3"/>
    <x v="6"/>
    <x v="8"/>
    <x v="2"/>
  </r>
  <r>
    <x v="1515"/>
    <x v="5"/>
    <x v="12"/>
    <n v="38.9"/>
    <n v="155.6"/>
    <x v="56"/>
    <d v="2025-02-27T00:00:00"/>
    <x v="2"/>
    <x v="0"/>
    <x v="0"/>
    <x v="0"/>
    <x v="3"/>
    <x v="3"/>
    <x v="8"/>
    <x v="2"/>
  </r>
  <r>
    <x v="1516"/>
    <x v="9"/>
    <x v="9"/>
    <n v="35"/>
    <n v="175"/>
    <x v="56"/>
    <d v="2025-02-28T00:00:00"/>
    <x v="1"/>
    <x v="0"/>
    <x v="0"/>
    <x v="0"/>
    <x v="3"/>
    <x v="1"/>
    <x v="8"/>
    <x v="1"/>
  </r>
  <r>
    <x v="1517"/>
    <x v="2"/>
    <x v="1"/>
    <n v="121"/>
    <n v="242"/>
    <x v="56"/>
    <d v="2025-02-27T00:00:00"/>
    <x v="2"/>
    <x v="1"/>
    <x v="1"/>
    <x v="0"/>
    <x v="3"/>
    <x v="3"/>
    <x v="8"/>
    <x v="2"/>
  </r>
  <r>
    <x v="1518"/>
    <x v="6"/>
    <x v="2"/>
    <n v="65.099999999999994"/>
    <n v="195.29999999999998"/>
    <x v="56"/>
    <d v="2025-03-02T00:00:00"/>
    <x v="1"/>
    <x v="2"/>
    <x v="0"/>
    <x v="0"/>
    <x v="36"/>
    <x v="5"/>
    <x v="8"/>
    <x v="1"/>
  </r>
  <r>
    <x v="1519"/>
    <x v="1"/>
    <x v="38"/>
    <n v="63.8"/>
    <n v="1339.8"/>
    <x v="56"/>
    <d v="2025-02-28T00:00:00"/>
    <x v="2"/>
    <x v="0"/>
    <x v="0"/>
    <x v="0"/>
    <x v="8"/>
    <x v="1"/>
    <x v="8"/>
    <x v="2"/>
  </r>
  <r>
    <x v="1520"/>
    <x v="7"/>
    <x v="0"/>
    <n v="77.7"/>
    <n v="77.7"/>
    <x v="56"/>
    <d v="2025-02-28T00:00:00"/>
    <x v="1"/>
    <x v="0"/>
    <x v="0"/>
    <x v="0"/>
    <x v="8"/>
    <x v="1"/>
    <x v="8"/>
    <x v="1"/>
  </r>
  <r>
    <x v="1521"/>
    <x v="5"/>
    <x v="12"/>
    <n v="60.3"/>
    <n v="241.2"/>
    <x v="56"/>
    <d v="2025-02-26T00:00:00"/>
    <x v="1"/>
    <x v="0"/>
    <x v="2"/>
    <x v="0"/>
    <x v="8"/>
    <x v="7"/>
    <x v="8"/>
    <x v="1"/>
  </r>
  <r>
    <x v="1522"/>
    <x v="5"/>
    <x v="1"/>
    <n v="124.1"/>
    <n v="248.2"/>
    <x v="56"/>
    <d v="2025-03-01T00:00:00"/>
    <x v="2"/>
    <x v="0"/>
    <x v="2"/>
    <x v="0"/>
    <x v="8"/>
    <x v="2"/>
    <x v="8"/>
    <x v="2"/>
  </r>
  <r>
    <x v="1523"/>
    <x v="16"/>
    <x v="3"/>
    <n v="66"/>
    <n v="462"/>
    <x v="56"/>
    <d v="2025-02-26T00:00:00"/>
    <x v="0"/>
    <x v="3"/>
    <x v="0"/>
    <x v="0"/>
    <x v="17"/>
    <x v="7"/>
    <x v="8"/>
    <x v="0"/>
  </r>
  <r>
    <x v="1524"/>
    <x v="2"/>
    <x v="42"/>
    <n v="118.2"/>
    <n v="7446.6"/>
    <x v="56"/>
    <d v="2025-03-03T00:00:00"/>
    <x v="0"/>
    <x v="0"/>
    <x v="0"/>
    <x v="0"/>
    <x v="17"/>
    <x v="0"/>
    <x v="8"/>
    <x v="0"/>
  </r>
  <r>
    <x v="1525"/>
    <x v="5"/>
    <x v="9"/>
    <n v="64.3"/>
    <n v="321.5"/>
    <x v="56"/>
    <d v="2025-02-27T00:00:00"/>
    <x v="1"/>
    <x v="4"/>
    <x v="4"/>
    <x v="0"/>
    <x v="26"/>
    <x v="3"/>
    <x v="8"/>
    <x v="1"/>
  </r>
  <r>
    <x v="1526"/>
    <x v="1"/>
    <x v="1"/>
    <n v="54.8"/>
    <n v="109.6"/>
    <x v="56"/>
    <d v="2025-02-26T00:00:00"/>
    <x v="1"/>
    <x v="0"/>
    <x v="1"/>
    <x v="0"/>
    <x v="26"/>
    <x v="7"/>
    <x v="8"/>
    <x v="1"/>
  </r>
  <r>
    <x v="1527"/>
    <x v="7"/>
    <x v="1"/>
    <n v="78.599999999999994"/>
    <n v="157.19999999999999"/>
    <x v="56"/>
    <d v="2025-02-27T00:00:00"/>
    <x v="1"/>
    <x v="0"/>
    <x v="2"/>
    <x v="0"/>
    <x v="9"/>
    <x v="3"/>
    <x v="8"/>
    <x v="1"/>
  </r>
  <r>
    <x v="1528"/>
    <x v="2"/>
    <x v="9"/>
    <n v="158.5"/>
    <n v="792.5"/>
    <x v="56"/>
    <d v="2025-02-28T00:00:00"/>
    <x v="0"/>
    <x v="2"/>
    <x v="2"/>
    <x v="0"/>
    <x v="9"/>
    <x v="1"/>
    <x v="8"/>
    <x v="0"/>
  </r>
  <r>
    <x v="1529"/>
    <x v="4"/>
    <x v="7"/>
    <n v="23.5"/>
    <n v="235"/>
    <x v="56"/>
    <d v="2025-03-01T00:00:00"/>
    <x v="1"/>
    <x v="0"/>
    <x v="4"/>
    <x v="0"/>
    <x v="10"/>
    <x v="2"/>
    <x v="8"/>
    <x v="1"/>
  </r>
  <r>
    <x v="1530"/>
    <x v="5"/>
    <x v="1"/>
    <n v="32.1"/>
    <n v="64.2"/>
    <x v="56"/>
    <d v="2025-02-28T00:00:00"/>
    <x v="0"/>
    <x v="3"/>
    <x v="0"/>
    <x v="0"/>
    <x v="10"/>
    <x v="1"/>
    <x v="8"/>
    <x v="0"/>
  </r>
  <r>
    <x v="1531"/>
    <x v="17"/>
    <x v="12"/>
    <n v="71.900000000000006"/>
    <n v="287.60000000000002"/>
    <x v="56"/>
    <d v="2025-02-26T00:00:00"/>
    <x v="1"/>
    <x v="2"/>
    <x v="0"/>
    <x v="0"/>
    <x v="19"/>
    <x v="7"/>
    <x v="8"/>
    <x v="1"/>
  </r>
  <r>
    <x v="1532"/>
    <x v="4"/>
    <x v="13"/>
    <n v="22.3"/>
    <n v="133.80000000000001"/>
    <x v="56"/>
    <d v="2025-02-27T00:00:00"/>
    <x v="0"/>
    <x v="3"/>
    <x v="2"/>
    <x v="0"/>
    <x v="13"/>
    <x v="3"/>
    <x v="8"/>
    <x v="0"/>
  </r>
  <r>
    <x v="1533"/>
    <x v="11"/>
    <x v="1"/>
    <n v="29.5"/>
    <n v="59"/>
    <x v="56"/>
    <d v="2025-02-27T00:00:00"/>
    <x v="2"/>
    <x v="0"/>
    <x v="2"/>
    <x v="0"/>
    <x v="13"/>
    <x v="3"/>
    <x v="8"/>
    <x v="2"/>
  </r>
  <r>
    <x v="1534"/>
    <x v="6"/>
    <x v="12"/>
    <n v="41.9"/>
    <n v="167.6"/>
    <x v="56"/>
    <d v="2025-03-02T00:00:00"/>
    <x v="2"/>
    <x v="0"/>
    <x v="1"/>
    <x v="0"/>
    <x v="21"/>
    <x v="5"/>
    <x v="8"/>
    <x v="2"/>
  </r>
  <r>
    <x v="1535"/>
    <x v="6"/>
    <x v="2"/>
    <n v="107.8"/>
    <n v="323.39999999999998"/>
    <x v="56"/>
    <d v="2025-02-27T00:00:00"/>
    <x v="1"/>
    <x v="1"/>
    <x v="2"/>
    <x v="0"/>
    <x v="46"/>
    <x v="3"/>
    <x v="8"/>
    <x v="1"/>
  </r>
  <r>
    <x v="1536"/>
    <x v="4"/>
    <x v="9"/>
    <n v="18.100000000000001"/>
    <n v="90.5"/>
    <x v="56"/>
    <d v="2025-03-01T00:00:00"/>
    <x v="1"/>
    <x v="0"/>
    <x v="2"/>
    <x v="0"/>
    <x v="2"/>
    <x v="2"/>
    <x v="8"/>
    <x v="1"/>
  </r>
  <r>
    <x v="1537"/>
    <x v="12"/>
    <x v="11"/>
    <n v="79.8"/>
    <n v="718.19999999999993"/>
    <x v="56"/>
    <d v="2025-02-27T00:00:00"/>
    <x v="2"/>
    <x v="1"/>
    <x v="1"/>
    <x v="0"/>
    <x v="22"/>
    <x v="3"/>
    <x v="8"/>
    <x v="2"/>
  </r>
  <r>
    <x v="1538"/>
    <x v="0"/>
    <x v="2"/>
    <n v="22.3"/>
    <n v="66.900000000000006"/>
    <x v="56"/>
    <d v="2025-03-01T00:00:00"/>
    <x v="2"/>
    <x v="0"/>
    <x v="2"/>
    <x v="0"/>
    <x v="22"/>
    <x v="2"/>
    <x v="8"/>
    <x v="2"/>
  </r>
  <r>
    <x v="1539"/>
    <x v="8"/>
    <x v="0"/>
    <n v="22.9"/>
    <n v="22.9"/>
    <x v="56"/>
    <d v="2025-02-26T00:00:00"/>
    <x v="2"/>
    <x v="1"/>
    <x v="0"/>
    <x v="0"/>
    <x v="22"/>
    <x v="7"/>
    <x v="8"/>
    <x v="2"/>
  </r>
  <r>
    <x v="1540"/>
    <x v="0"/>
    <x v="2"/>
    <n v="16.2"/>
    <n v="48.599999999999994"/>
    <x v="57"/>
    <d v="2025-02-27T00:00:00"/>
    <x v="1"/>
    <x v="4"/>
    <x v="2"/>
    <x v="0"/>
    <x v="3"/>
    <x v="7"/>
    <x v="8"/>
    <x v="1"/>
  </r>
  <r>
    <x v="1541"/>
    <x v="10"/>
    <x v="12"/>
    <n v="59.5"/>
    <n v="238"/>
    <x v="57"/>
    <d v="2025-02-28T00:00:00"/>
    <x v="1"/>
    <x v="1"/>
    <x v="2"/>
    <x v="0"/>
    <x v="3"/>
    <x v="3"/>
    <x v="8"/>
    <x v="1"/>
  </r>
  <r>
    <x v="1542"/>
    <x v="18"/>
    <x v="9"/>
    <n v="26.2"/>
    <n v="131"/>
    <x v="57"/>
    <d v="2025-03-02T00:00:00"/>
    <x v="1"/>
    <x v="3"/>
    <x v="4"/>
    <x v="0"/>
    <x v="3"/>
    <x v="2"/>
    <x v="8"/>
    <x v="1"/>
  </r>
  <r>
    <x v="1543"/>
    <x v="3"/>
    <x v="0"/>
    <n v="44.2"/>
    <n v="44.2"/>
    <x v="57"/>
    <d v="2025-03-02T00:00:00"/>
    <x v="2"/>
    <x v="1"/>
    <x v="0"/>
    <x v="0"/>
    <x v="3"/>
    <x v="2"/>
    <x v="8"/>
    <x v="2"/>
  </r>
  <r>
    <x v="1544"/>
    <x v="9"/>
    <x v="1"/>
    <n v="59.2"/>
    <n v="118.4"/>
    <x v="57"/>
    <d v="2025-02-27T00:00:00"/>
    <x v="2"/>
    <x v="1"/>
    <x v="4"/>
    <x v="0"/>
    <x v="3"/>
    <x v="7"/>
    <x v="8"/>
    <x v="2"/>
  </r>
  <r>
    <x v="1545"/>
    <x v="15"/>
    <x v="12"/>
    <n v="41.5"/>
    <n v="166"/>
    <x v="57"/>
    <d v="2025-03-01T00:00:00"/>
    <x v="2"/>
    <x v="0"/>
    <x v="0"/>
    <x v="0"/>
    <x v="16"/>
    <x v="1"/>
    <x v="8"/>
    <x v="2"/>
  </r>
  <r>
    <x v="1546"/>
    <x v="6"/>
    <x v="4"/>
    <n v="67.099999999999994"/>
    <n v="805.19999999999993"/>
    <x v="57"/>
    <d v="2025-03-13T00:00:00"/>
    <x v="2"/>
    <x v="0"/>
    <x v="2"/>
    <x v="0"/>
    <x v="23"/>
    <x v="12"/>
    <x v="8"/>
    <x v="2"/>
  </r>
  <r>
    <x v="1547"/>
    <x v="8"/>
    <x v="1"/>
    <n v="28.7"/>
    <n v="57.4"/>
    <x v="57"/>
    <d v="2025-03-03T00:00:00"/>
    <x v="2"/>
    <x v="1"/>
    <x v="0"/>
    <x v="0"/>
    <x v="6"/>
    <x v="5"/>
    <x v="8"/>
    <x v="2"/>
  </r>
  <r>
    <x v="1548"/>
    <x v="2"/>
    <x v="12"/>
    <n v="132.1"/>
    <n v="528.4"/>
    <x v="57"/>
    <d v="2025-02-28T00:00:00"/>
    <x v="2"/>
    <x v="0"/>
    <x v="1"/>
    <x v="0"/>
    <x v="6"/>
    <x v="3"/>
    <x v="8"/>
    <x v="2"/>
  </r>
  <r>
    <x v="1549"/>
    <x v="18"/>
    <x v="1"/>
    <n v="47"/>
    <n v="94"/>
    <x v="57"/>
    <d v="2025-03-01T00:00:00"/>
    <x v="1"/>
    <x v="4"/>
    <x v="0"/>
    <x v="0"/>
    <x v="8"/>
    <x v="1"/>
    <x v="8"/>
    <x v="1"/>
  </r>
  <r>
    <x v="1550"/>
    <x v="8"/>
    <x v="1"/>
    <n v="41.6"/>
    <n v="83.2"/>
    <x v="57"/>
    <d v="2025-03-03T00:00:00"/>
    <x v="1"/>
    <x v="1"/>
    <x v="2"/>
    <x v="0"/>
    <x v="8"/>
    <x v="5"/>
    <x v="8"/>
    <x v="1"/>
  </r>
  <r>
    <x v="1551"/>
    <x v="8"/>
    <x v="43"/>
    <n v="17.3"/>
    <n v="657.4"/>
    <x v="57"/>
    <d v="2025-03-01T00:00:00"/>
    <x v="1"/>
    <x v="2"/>
    <x v="2"/>
    <x v="0"/>
    <x v="8"/>
    <x v="1"/>
    <x v="8"/>
    <x v="1"/>
  </r>
  <r>
    <x v="1552"/>
    <x v="13"/>
    <x v="2"/>
    <n v="41.8"/>
    <n v="125.39999999999999"/>
    <x v="57"/>
    <d v="2025-03-02T00:00:00"/>
    <x v="1"/>
    <x v="0"/>
    <x v="2"/>
    <x v="0"/>
    <x v="8"/>
    <x v="2"/>
    <x v="8"/>
    <x v="1"/>
  </r>
  <r>
    <x v="1553"/>
    <x v="10"/>
    <x v="0"/>
    <n v="24"/>
    <n v="24"/>
    <x v="57"/>
    <d v="2025-02-28T00:00:00"/>
    <x v="2"/>
    <x v="0"/>
    <x v="0"/>
    <x v="0"/>
    <x v="17"/>
    <x v="3"/>
    <x v="8"/>
    <x v="2"/>
  </r>
  <r>
    <x v="1554"/>
    <x v="14"/>
    <x v="11"/>
    <n v="18.5"/>
    <n v="166.5"/>
    <x v="57"/>
    <d v="2025-03-01T00:00:00"/>
    <x v="2"/>
    <x v="0"/>
    <x v="0"/>
    <x v="0"/>
    <x v="9"/>
    <x v="1"/>
    <x v="8"/>
    <x v="2"/>
  </r>
  <r>
    <x v="1555"/>
    <x v="3"/>
    <x v="4"/>
    <n v="66.7"/>
    <n v="800.40000000000009"/>
    <x v="57"/>
    <d v="2025-03-02T00:00:00"/>
    <x v="0"/>
    <x v="0"/>
    <x v="2"/>
    <x v="0"/>
    <x v="11"/>
    <x v="2"/>
    <x v="8"/>
    <x v="0"/>
  </r>
  <r>
    <x v="1556"/>
    <x v="1"/>
    <x v="12"/>
    <n v="33.1"/>
    <n v="132.4"/>
    <x v="57"/>
    <d v="2025-03-04T00:00:00"/>
    <x v="1"/>
    <x v="3"/>
    <x v="0"/>
    <x v="0"/>
    <x v="11"/>
    <x v="0"/>
    <x v="8"/>
    <x v="1"/>
  </r>
  <r>
    <x v="1557"/>
    <x v="19"/>
    <x v="11"/>
    <n v="42.1"/>
    <n v="378.90000000000003"/>
    <x v="57"/>
    <d v="2025-03-10T00:00:00"/>
    <x v="1"/>
    <x v="1"/>
    <x v="0"/>
    <x v="0"/>
    <x v="18"/>
    <x v="11"/>
    <x v="8"/>
    <x v="1"/>
  </r>
  <r>
    <x v="1558"/>
    <x v="18"/>
    <x v="3"/>
    <n v="58.7"/>
    <n v="410.90000000000003"/>
    <x v="57"/>
    <d v="2025-02-27T00:00:00"/>
    <x v="3"/>
    <x v="3"/>
    <x v="0"/>
    <x v="0"/>
    <x v="31"/>
    <x v="7"/>
    <x v="8"/>
    <x v="3"/>
  </r>
  <r>
    <x v="1559"/>
    <x v="6"/>
    <x v="12"/>
    <n v="54"/>
    <n v="216"/>
    <x v="57"/>
    <d v="2025-03-01T00:00:00"/>
    <x v="2"/>
    <x v="1"/>
    <x v="0"/>
    <x v="0"/>
    <x v="1"/>
    <x v="1"/>
    <x v="8"/>
    <x v="2"/>
  </r>
  <r>
    <x v="1560"/>
    <x v="8"/>
    <x v="0"/>
    <n v="52.1"/>
    <n v="52.1"/>
    <x v="57"/>
    <d v="2025-02-28T00:00:00"/>
    <x v="2"/>
    <x v="2"/>
    <x v="2"/>
    <x v="0"/>
    <x v="2"/>
    <x v="3"/>
    <x v="8"/>
    <x v="2"/>
  </r>
  <r>
    <x v="1561"/>
    <x v="19"/>
    <x v="1"/>
    <n v="27"/>
    <n v="54"/>
    <x v="57"/>
    <d v="2025-03-02T00:00:00"/>
    <x v="3"/>
    <x v="2"/>
    <x v="0"/>
    <x v="0"/>
    <x v="22"/>
    <x v="2"/>
    <x v="8"/>
    <x v="3"/>
  </r>
  <r>
    <x v="1562"/>
    <x v="12"/>
    <x v="7"/>
    <n v="31"/>
    <n v="310"/>
    <x v="58"/>
    <d v="2025-03-01T00:00:00"/>
    <x v="2"/>
    <x v="3"/>
    <x v="2"/>
    <x v="0"/>
    <x v="22"/>
    <x v="3"/>
    <x v="8"/>
    <x v="2"/>
  </r>
  <r>
    <x v="1563"/>
    <x v="10"/>
    <x v="1"/>
    <n v="46.7"/>
    <n v="93.4"/>
    <x v="58"/>
    <d v="2025-02-28T00:00:00"/>
    <x v="2"/>
    <x v="0"/>
    <x v="0"/>
    <x v="0"/>
    <x v="34"/>
    <x v="7"/>
    <x v="8"/>
    <x v="2"/>
  </r>
  <r>
    <x v="1564"/>
    <x v="6"/>
    <x v="0"/>
    <n v="144.69999999999999"/>
    <n v="144.69999999999999"/>
    <x v="58"/>
    <d v="2025-03-03T00:00:00"/>
    <x v="1"/>
    <x v="0"/>
    <x v="2"/>
    <x v="0"/>
    <x v="3"/>
    <x v="2"/>
    <x v="8"/>
    <x v="1"/>
  </r>
  <r>
    <x v="1565"/>
    <x v="2"/>
    <x v="11"/>
    <n v="90.9"/>
    <n v="818.1"/>
    <x v="58"/>
    <d v="2025-03-01T00:00:00"/>
    <x v="1"/>
    <x v="0"/>
    <x v="2"/>
    <x v="0"/>
    <x v="3"/>
    <x v="3"/>
    <x v="8"/>
    <x v="1"/>
  </r>
  <r>
    <x v="1566"/>
    <x v="1"/>
    <x v="1"/>
    <n v="75.8"/>
    <n v="151.6"/>
    <x v="58"/>
    <d v="2025-03-01T00:00:00"/>
    <x v="2"/>
    <x v="2"/>
    <x v="1"/>
    <x v="0"/>
    <x v="3"/>
    <x v="3"/>
    <x v="8"/>
    <x v="2"/>
  </r>
  <r>
    <x v="1567"/>
    <x v="7"/>
    <x v="9"/>
    <n v="57.9"/>
    <n v="289.5"/>
    <x v="58"/>
    <d v="2025-03-02T00:00:00"/>
    <x v="1"/>
    <x v="2"/>
    <x v="2"/>
    <x v="0"/>
    <x v="3"/>
    <x v="1"/>
    <x v="8"/>
    <x v="1"/>
  </r>
  <r>
    <x v="1568"/>
    <x v="8"/>
    <x v="9"/>
    <n v="44.8"/>
    <n v="224"/>
    <x v="58"/>
    <d v="2025-03-01T00:00:00"/>
    <x v="2"/>
    <x v="3"/>
    <x v="2"/>
    <x v="0"/>
    <x v="3"/>
    <x v="3"/>
    <x v="8"/>
    <x v="2"/>
  </r>
  <r>
    <x v="1569"/>
    <x v="9"/>
    <x v="2"/>
    <n v="44.2"/>
    <n v="132.60000000000002"/>
    <x v="58"/>
    <d v="2025-03-04T00:00:00"/>
    <x v="1"/>
    <x v="2"/>
    <x v="2"/>
    <x v="0"/>
    <x v="3"/>
    <x v="5"/>
    <x v="8"/>
    <x v="1"/>
  </r>
  <r>
    <x v="1570"/>
    <x v="5"/>
    <x v="9"/>
    <n v="53.5"/>
    <n v="267.5"/>
    <x v="58"/>
    <d v="2025-03-02T00:00:00"/>
    <x v="1"/>
    <x v="0"/>
    <x v="0"/>
    <x v="0"/>
    <x v="37"/>
    <x v="1"/>
    <x v="8"/>
    <x v="1"/>
  </r>
  <r>
    <x v="1571"/>
    <x v="6"/>
    <x v="1"/>
    <n v="72.2"/>
    <n v="144.4"/>
    <x v="58"/>
    <d v="2025-03-01T00:00:00"/>
    <x v="1"/>
    <x v="0"/>
    <x v="2"/>
    <x v="0"/>
    <x v="25"/>
    <x v="3"/>
    <x v="8"/>
    <x v="1"/>
  </r>
  <r>
    <x v="1572"/>
    <x v="6"/>
    <x v="12"/>
    <n v="62.4"/>
    <n v="249.6"/>
    <x v="58"/>
    <d v="2025-03-03T00:00:00"/>
    <x v="2"/>
    <x v="0"/>
    <x v="1"/>
    <x v="0"/>
    <x v="23"/>
    <x v="2"/>
    <x v="8"/>
    <x v="2"/>
  </r>
  <r>
    <x v="1573"/>
    <x v="10"/>
    <x v="9"/>
    <n v="24.7"/>
    <n v="123.5"/>
    <x v="58"/>
    <d v="2025-03-01T00:00:00"/>
    <x v="2"/>
    <x v="0"/>
    <x v="0"/>
    <x v="0"/>
    <x v="6"/>
    <x v="3"/>
    <x v="8"/>
    <x v="2"/>
  </r>
  <r>
    <x v="1574"/>
    <x v="1"/>
    <x v="9"/>
    <n v="61.7"/>
    <n v="308.5"/>
    <x v="58"/>
    <d v="2025-03-02T00:00:00"/>
    <x v="2"/>
    <x v="2"/>
    <x v="0"/>
    <x v="0"/>
    <x v="8"/>
    <x v="1"/>
    <x v="8"/>
    <x v="2"/>
  </r>
  <r>
    <x v="1575"/>
    <x v="8"/>
    <x v="9"/>
    <n v="18.2"/>
    <n v="91"/>
    <x v="58"/>
    <d v="2025-03-02T00:00:00"/>
    <x v="2"/>
    <x v="3"/>
    <x v="0"/>
    <x v="0"/>
    <x v="8"/>
    <x v="1"/>
    <x v="8"/>
    <x v="2"/>
  </r>
  <r>
    <x v="1576"/>
    <x v="10"/>
    <x v="12"/>
    <n v="37.200000000000003"/>
    <n v="148.80000000000001"/>
    <x v="58"/>
    <d v="2025-03-06T00:00:00"/>
    <x v="2"/>
    <x v="0"/>
    <x v="0"/>
    <x v="0"/>
    <x v="8"/>
    <x v="4"/>
    <x v="8"/>
    <x v="2"/>
  </r>
  <r>
    <x v="1577"/>
    <x v="9"/>
    <x v="2"/>
    <n v="53.5"/>
    <n v="160.5"/>
    <x v="58"/>
    <d v="2025-03-02T00:00:00"/>
    <x v="2"/>
    <x v="1"/>
    <x v="2"/>
    <x v="0"/>
    <x v="9"/>
    <x v="1"/>
    <x v="8"/>
    <x v="2"/>
  </r>
  <r>
    <x v="1578"/>
    <x v="8"/>
    <x v="2"/>
    <n v="43.6"/>
    <n v="130.80000000000001"/>
    <x v="58"/>
    <d v="2025-02-28T00:00:00"/>
    <x v="2"/>
    <x v="0"/>
    <x v="0"/>
    <x v="0"/>
    <x v="9"/>
    <x v="7"/>
    <x v="8"/>
    <x v="2"/>
  </r>
  <r>
    <x v="1579"/>
    <x v="1"/>
    <x v="7"/>
    <n v="135"/>
    <n v="1350"/>
    <x v="58"/>
    <d v="2025-03-02T00:00:00"/>
    <x v="2"/>
    <x v="0"/>
    <x v="2"/>
    <x v="0"/>
    <x v="9"/>
    <x v="1"/>
    <x v="8"/>
    <x v="2"/>
  </r>
  <r>
    <x v="1580"/>
    <x v="8"/>
    <x v="9"/>
    <n v="38.5"/>
    <n v="192.5"/>
    <x v="58"/>
    <d v="2025-02-28T00:00:00"/>
    <x v="1"/>
    <x v="4"/>
    <x v="2"/>
    <x v="0"/>
    <x v="10"/>
    <x v="7"/>
    <x v="8"/>
    <x v="1"/>
  </r>
  <r>
    <x v="1581"/>
    <x v="9"/>
    <x v="1"/>
    <n v="24"/>
    <n v="48"/>
    <x v="58"/>
    <d v="2025-03-05T00:00:00"/>
    <x v="2"/>
    <x v="0"/>
    <x v="0"/>
    <x v="0"/>
    <x v="11"/>
    <x v="0"/>
    <x v="8"/>
    <x v="2"/>
  </r>
  <r>
    <x v="1582"/>
    <x v="4"/>
    <x v="2"/>
    <n v="28.2"/>
    <n v="84.6"/>
    <x v="58"/>
    <d v="2025-03-02T00:00:00"/>
    <x v="1"/>
    <x v="0"/>
    <x v="3"/>
    <x v="0"/>
    <x v="18"/>
    <x v="1"/>
    <x v="8"/>
    <x v="1"/>
  </r>
  <r>
    <x v="1583"/>
    <x v="7"/>
    <x v="2"/>
    <n v="37.4"/>
    <n v="112.19999999999999"/>
    <x v="58"/>
    <d v="2025-03-01T00:00:00"/>
    <x v="2"/>
    <x v="3"/>
    <x v="0"/>
    <x v="0"/>
    <x v="1"/>
    <x v="3"/>
    <x v="8"/>
    <x v="2"/>
  </r>
  <r>
    <x v="1584"/>
    <x v="6"/>
    <x v="2"/>
    <n v="53.5"/>
    <n v="160.5"/>
    <x v="58"/>
    <d v="2025-03-03T00:00:00"/>
    <x v="0"/>
    <x v="4"/>
    <x v="4"/>
    <x v="0"/>
    <x v="1"/>
    <x v="2"/>
    <x v="8"/>
    <x v="0"/>
  </r>
  <r>
    <x v="1585"/>
    <x v="11"/>
    <x v="9"/>
    <n v="36.200000000000003"/>
    <n v="181"/>
    <x v="58"/>
    <d v="2025-03-01T00:00:00"/>
    <x v="1"/>
    <x v="1"/>
    <x v="2"/>
    <x v="0"/>
    <x v="33"/>
    <x v="3"/>
    <x v="8"/>
    <x v="1"/>
  </r>
  <r>
    <x v="1586"/>
    <x v="0"/>
    <x v="8"/>
    <n v="31.9"/>
    <n v="255.2"/>
    <x v="58"/>
    <d v="2025-03-01T00:00:00"/>
    <x v="2"/>
    <x v="4"/>
    <x v="0"/>
    <x v="0"/>
    <x v="3"/>
    <x v="3"/>
    <x v="8"/>
    <x v="2"/>
  </r>
  <r>
    <x v="1587"/>
    <x v="8"/>
    <x v="2"/>
    <n v="21.3"/>
    <n v="63.900000000000006"/>
    <x v="58"/>
    <d v="2025-03-01T00:00:00"/>
    <x v="1"/>
    <x v="0"/>
    <x v="2"/>
    <x v="0"/>
    <x v="3"/>
    <x v="3"/>
    <x v="8"/>
    <x v="1"/>
  </r>
  <r>
    <x v="1588"/>
    <x v="8"/>
    <x v="0"/>
    <n v="36.299999999999997"/>
    <n v="36.299999999999997"/>
    <x v="58"/>
    <d v="2025-03-02T00:00:00"/>
    <x v="3"/>
    <x v="4"/>
    <x v="0"/>
    <x v="0"/>
    <x v="3"/>
    <x v="1"/>
    <x v="8"/>
    <x v="3"/>
  </r>
  <r>
    <x v="1589"/>
    <x v="6"/>
    <x v="2"/>
    <n v="110.5"/>
    <n v="331.5"/>
    <x v="58"/>
    <d v="2025-03-01T00:00:00"/>
    <x v="2"/>
    <x v="0"/>
    <x v="3"/>
    <x v="0"/>
    <x v="3"/>
    <x v="3"/>
    <x v="8"/>
    <x v="2"/>
  </r>
  <r>
    <x v="1590"/>
    <x v="10"/>
    <x v="3"/>
    <n v="32.6"/>
    <n v="228.20000000000002"/>
    <x v="58"/>
    <d v="2025-03-02T00:00:00"/>
    <x v="2"/>
    <x v="0"/>
    <x v="1"/>
    <x v="0"/>
    <x v="3"/>
    <x v="1"/>
    <x v="8"/>
    <x v="2"/>
  </r>
  <r>
    <x v="1591"/>
    <x v="5"/>
    <x v="2"/>
    <n v="55.6"/>
    <n v="166.8"/>
    <x v="59"/>
    <d v="2025-03-14T00:00:00"/>
    <x v="2"/>
    <x v="0"/>
    <x v="0"/>
    <x v="0"/>
    <x v="3"/>
    <x v="10"/>
    <x v="8"/>
    <x v="2"/>
  </r>
  <r>
    <x v="1592"/>
    <x v="1"/>
    <x v="12"/>
    <n v="38"/>
    <n v="152"/>
    <x v="59"/>
    <d v="2025-03-02T00:00:00"/>
    <x v="2"/>
    <x v="3"/>
    <x v="2"/>
    <x v="0"/>
    <x v="5"/>
    <x v="3"/>
    <x v="8"/>
    <x v="2"/>
  </r>
  <r>
    <x v="1593"/>
    <x v="10"/>
    <x v="1"/>
    <n v="51.8"/>
    <n v="103.6"/>
    <x v="59"/>
    <d v="2025-03-07T00:00:00"/>
    <x v="1"/>
    <x v="1"/>
    <x v="4"/>
    <x v="0"/>
    <x v="6"/>
    <x v="4"/>
    <x v="8"/>
    <x v="1"/>
  </r>
  <r>
    <x v="1594"/>
    <x v="11"/>
    <x v="8"/>
    <n v="28.7"/>
    <n v="229.6"/>
    <x v="59"/>
    <d v="2025-03-06T00:00:00"/>
    <x v="2"/>
    <x v="0"/>
    <x v="0"/>
    <x v="0"/>
    <x v="6"/>
    <x v="0"/>
    <x v="8"/>
    <x v="2"/>
  </r>
  <r>
    <x v="1595"/>
    <x v="6"/>
    <x v="4"/>
    <n v="52.2"/>
    <n v="626.40000000000009"/>
    <x v="59"/>
    <d v="2025-03-01T00:00:00"/>
    <x v="1"/>
    <x v="0"/>
    <x v="1"/>
    <x v="0"/>
    <x v="6"/>
    <x v="7"/>
    <x v="8"/>
    <x v="1"/>
  </r>
  <r>
    <x v="1596"/>
    <x v="1"/>
    <x v="1"/>
    <n v="68.2"/>
    <n v="136.4"/>
    <x v="59"/>
    <d v="2025-03-02T00:00:00"/>
    <x v="0"/>
    <x v="2"/>
    <x v="0"/>
    <x v="0"/>
    <x v="7"/>
    <x v="3"/>
    <x v="8"/>
    <x v="0"/>
  </r>
  <r>
    <x v="1597"/>
    <x v="0"/>
    <x v="2"/>
    <n v="34"/>
    <n v="102"/>
    <x v="59"/>
    <d v="2025-03-05T00:00:00"/>
    <x v="2"/>
    <x v="0"/>
    <x v="0"/>
    <x v="0"/>
    <x v="8"/>
    <x v="5"/>
    <x v="8"/>
    <x v="2"/>
  </r>
  <r>
    <x v="1598"/>
    <x v="8"/>
    <x v="2"/>
    <n v="19.100000000000001"/>
    <n v="57.300000000000004"/>
    <x v="59"/>
    <d v="2025-03-02T00:00:00"/>
    <x v="2"/>
    <x v="4"/>
    <x v="0"/>
    <x v="0"/>
    <x v="8"/>
    <x v="3"/>
    <x v="8"/>
    <x v="2"/>
  </r>
  <r>
    <x v="1599"/>
    <x v="5"/>
    <x v="8"/>
    <n v="34"/>
    <n v="272"/>
    <x v="59"/>
    <d v="2025-03-09T00:00:00"/>
    <x v="2"/>
    <x v="4"/>
    <x v="0"/>
    <x v="0"/>
    <x v="8"/>
    <x v="9"/>
    <x v="8"/>
    <x v="2"/>
  </r>
  <r>
    <x v="1600"/>
    <x v="12"/>
    <x v="1"/>
    <n v="109.1"/>
    <n v="218.2"/>
    <x v="59"/>
    <d v="2025-03-03T00:00:00"/>
    <x v="1"/>
    <x v="0"/>
    <x v="2"/>
    <x v="0"/>
    <x v="8"/>
    <x v="1"/>
    <x v="8"/>
    <x v="1"/>
  </r>
  <r>
    <x v="1601"/>
    <x v="18"/>
    <x v="1"/>
    <n v="64.8"/>
    <n v="129.6"/>
    <x v="59"/>
    <d v="2025-03-03T00:00:00"/>
    <x v="1"/>
    <x v="0"/>
    <x v="2"/>
    <x v="0"/>
    <x v="8"/>
    <x v="1"/>
    <x v="8"/>
    <x v="1"/>
  </r>
  <r>
    <x v="1602"/>
    <x v="10"/>
    <x v="1"/>
    <n v="21.1"/>
    <n v="42.2"/>
    <x v="59"/>
    <d v="2025-03-01T00:00:00"/>
    <x v="2"/>
    <x v="1"/>
    <x v="0"/>
    <x v="0"/>
    <x v="11"/>
    <x v="7"/>
    <x v="8"/>
    <x v="2"/>
  </r>
  <r>
    <x v="1603"/>
    <x v="0"/>
    <x v="8"/>
    <n v="21.3"/>
    <n v="170.4"/>
    <x v="59"/>
    <d v="2025-03-03T00:00:00"/>
    <x v="1"/>
    <x v="3"/>
    <x v="1"/>
    <x v="0"/>
    <x v="18"/>
    <x v="1"/>
    <x v="8"/>
    <x v="1"/>
  </r>
  <r>
    <x v="1604"/>
    <x v="9"/>
    <x v="2"/>
    <n v="24.3"/>
    <n v="72.900000000000006"/>
    <x v="59"/>
    <d v="2025-03-02T00:00:00"/>
    <x v="1"/>
    <x v="1"/>
    <x v="0"/>
    <x v="0"/>
    <x v="19"/>
    <x v="3"/>
    <x v="8"/>
    <x v="1"/>
  </r>
  <r>
    <x v="1605"/>
    <x v="8"/>
    <x v="0"/>
    <n v="43.3"/>
    <n v="43.3"/>
    <x v="59"/>
    <d v="2025-03-05T00:00:00"/>
    <x v="1"/>
    <x v="1"/>
    <x v="1"/>
    <x v="0"/>
    <x v="13"/>
    <x v="5"/>
    <x v="8"/>
    <x v="1"/>
  </r>
  <r>
    <x v="1606"/>
    <x v="9"/>
    <x v="2"/>
    <n v="41"/>
    <n v="123"/>
    <x v="59"/>
    <d v="2025-03-02T00:00:00"/>
    <x v="2"/>
    <x v="3"/>
    <x v="4"/>
    <x v="0"/>
    <x v="21"/>
    <x v="3"/>
    <x v="8"/>
    <x v="2"/>
  </r>
  <r>
    <x v="1607"/>
    <x v="16"/>
    <x v="2"/>
    <n v="54.1"/>
    <n v="162.30000000000001"/>
    <x v="59"/>
    <d v="2025-03-03T00:00:00"/>
    <x v="2"/>
    <x v="4"/>
    <x v="0"/>
    <x v="0"/>
    <x v="21"/>
    <x v="1"/>
    <x v="8"/>
    <x v="2"/>
  </r>
  <r>
    <x v="1608"/>
    <x v="11"/>
    <x v="1"/>
    <n v="39"/>
    <n v="78"/>
    <x v="59"/>
    <d v="2025-03-02T00:00:00"/>
    <x v="1"/>
    <x v="1"/>
    <x v="2"/>
    <x v="0"/>
    <x v="1"/>
    <x v="3"/>
    <x v="8"/>
    <x v="1"/>
  </r>
  <r>
    <x v="1609"/>
    <x v="8"/>
    <x v="1"/>
    <n v="40.299999999999997"/>
    <n v="80.599999999999994"/>
    <x v="59"/>
    <d v="2025-03-03T00:00:00"/>
    <x v="1"/>
    <x v="3"/>
    <x v="0"/>
    <x v="0"/>
    <x v="27"/>
    <x v="1"/>
    <x v="8"/>
    <x v="1"/>
  </r>
  <r>
    <x v="1610"/>
    <x v="8"/>
    <x v="2"/>
    <n v="24.1"/>
    <n v="72.300000000000011"/>
    <x v="59"/>
    <d v="2025-03-02T00:00:00"/>
    <x v="1"/>
    <x v="0"/>
    <x v="2"/>
    <x v="0"/>
    <x v="34"/>
    <x v="3"/>
    <x v="8"/>
    <x v="1"/>
  </r>
  <r>
    <x v="1611"/>
    <x v="6"/>
    <x v="9"/>
    <n v="52.3"/>
    <n v="261.5"/>
    <x v="59"/>
    <d v="2025-03-02T00:00:00"/>
    <x v="1"/>
    <x v="2"/>
    <x v="0"/>
    <x v="0"/>
    <x v="3"/>
    <x v="3"/>
    <x v="8"/>
    <x v="1"/>
  </r>
  <r>
    <x v="1612"/>
    <x v="12"/>
    <x v="12"/>
    <n v="68.8"/>
    <n v="275.2"/>
    <x v="59"/>
    <d v="2025-03-05T00:00:00"/>
    <x v="2"/>
    <x v="4"/>
    <x v="2"/>
    <x v="0"/>
    <x v="3"/>
    <x v="5"/>
    <x v="8"/>
    <x v="2"/>
  </r>
  <r>
    <x v="1613"/>
    <x v="2"/>
    <x v="1"/>
    <n v="128.80000000000001"/>
    <n v="257.60000000000002"/>
    <x v="60"/>
    <d v="2025-03-05T00:00:00"/>
    <x v="2"/>
    <x v="1"/>
    <x v="1"/>
    <x v="0"/>
    <x v="3"/>
    <x v="2"/>
    <x v="9"/>
    <x v="2"/>
  </r>
  <r>
    <x v="1614"/>
    <x v="15"/>
    <x v="9"/>
    <n v="48.2"/>
    <n v="241"/>
    <x v="60"/>
    <d v="2025-03-04T00:00:00"/>
    <x v="2"/>
    <x v="3"/>
    <x v="0"/>
    <x v="0"/>
    <x v="3"/>
    <x v="1"/>
    <x v="9"/>
    <x v="2"/>
  </r>
  <r>
    <x v="1615"/>
    <x v="10"/>
    <x v="0"/>
    <n v="39.700000000000003"/>
    <n v="39.700000000000003"/>
    <x v="60"/>
    <d v="2025-03-04T00:00:00"/>
    <x v="2"/>
    <x v="0"/>
    <x v="1"/>
    <x v="0"/>
    <x v="3"/>
    <x v="1"/>
    <x v="9"/>
    <x v="2"/>
  </r>
  <r>
    <x v="1616"/>
    <x v="9"/>
    <x v="0"/>
    <n v="59.7"/>
    <n v="59.7"/>
    <x v="60"/>
    <d v="2025-03-05T00:00:00"/>
    <x v="2"/>
    <x v="4"/>
    <x v="0"/>
    <x v="0"/>
    <x v="3"/>
    <x v="2"/>
    <x v="9"/>
    <x v="2"/>
  </r>
  <r>
    <x v="1617"/>
    <x v="6"/>
    <x v="0"/>
    <n v="48.3"/>
    <n v="48.3"/>
    <x v="60"/>
    <d v="2025-03-16T00:00:00"/>
    <x v="3"/>
    <x v="0"/>
    <x v="2"/>
    <x v="0"/>
    <x v="3"/>
    <x v="12"/>
    <x v="9"/>
    <x v="3"/>
  </r>
  <r>
    <x v="1618"/>
    <x v="8"/>
    <x v="2"/>
    <n v="45.5"/>
    <n v="136.5"/>
    <x v="60"/>
    <d v="2025-03-04T00:00:00"/>
    <x v="1"/>
    <x v="2"/>
    <x v="1"/>
    <x v="0"/>
    <x v="3"/>
    <x v="1"/>
    <x v="9"/>
    <x v="1"/>
  </r>
  <r>
    <x v="1619"/>
    <x v="9"/>
    <x v="6"/>
    <n v="51"/>
    <n v="1377"/>
    <x v="60"/>
    <d v="2025-03-02T00:00:00"/>
    <x v="2"/>
    <x v="2"/>
    <x v="0"/>
    <x v="0"/>
    <x v="3"/>
    <x v="7"/>
    <x v="9"/>
    <x v="2"/>
  </r>
  <r>
    <x v="1620"/>
    <x v="4"/>
    <x v="13"/>
    <n v="20.399999999999999"/>
    <n v="122.39999999999999"/>
    <x v="60"/>
    <d v="2025-03-03T00:00:00"/>
    <x v="1"/>
    <x v="2"/>
    <x v="0"/>
    <x v="0"/>
    <x v="3"/>
    <x v="3"/>
    <x v="9"/>
    <x v="1"/>
  </r>
  <r>
    <x v="1621"/>
    <x v="10"/>
    <x v="1"/>
    <n v="30.4"/>
    <n v="60.8"/>
    <x v="60"/>
    <d v="2025-03-04T00:00:00"/>
    <x v="1"/>
    <x v="2"/>
    <x v="0"/>
    <x v="0"/>
    <x v="3"/>
    <x v="1"/>
    <x v="9"/>
    <x v="1"/>
  </r>
  <r>
    <x v="1622"/>
    <x v="7"/>
    <x v="1"/>
    <n v="71.5"/>
    <n v="143"/>
    <x v="60"/>
    <d v="2025-03-06T00:00:00"/>
    <x v="2"/>
    <x v="0"/>
    <x v="0"/>
    <x v="0"/>
    <x v="3"/>
    <x v="5"/>
    <x v="9"/>
    <x v="2"/>
  </r>
  <r>
    <x v="1623"/>
    <x v="8"/>
    <x v="13"/>
    <n v="18"/>
    <n v="108"/>
    <x v="60"/>
    <d v="2025-03-03T00:00:00"/>
    <x v="3"/>
    <x v="1"/>
    <x v="2"/>
    <x v="0"/>
    <x v="6"/>
    <x v="3"/>
    <x v="9"/>
    <x v="3"/>
  </r>
  <r>
    <x v="1624"/>
    <x v="15"/>
    <x v="5"/>
    <n v="45.6"/>
    <n v="501.6"/>
    <x v="60"/>
    <d v="2025-03-03T00:00:00"/>
    <x v="3"/>
    <x v="1"/>
    <x v="1"/>
    <x v="0"/>
    <x v="7"/>
    <x v="3"/>
    <x v="9"/>
    <x v="3"/>
  </r>
  <r>
    <x v="1625"/>
    <x v="9"/>
    <x v="0"/>
    <n v="31.8"/>
    <n v="31.8"/>
    <x v="60"/>
    <d v="2025-03-06T00:00:00"/>
    <x v="2"/>
    <x v="0"/>
    <x v="2"/>
    <x v="0"/>
    <x v="7"/>
    <x v="5"/>
    <x v="9"/>
    <x v="2"/>
  </r>
  <r>
    <x v="1626"/>
    <x v="8"/>
    <x v="9"/>
    <n v="19.899999999999999"/>
    <n v="99.5"/>
    <x v="60"/>
    <d v="2025-03-03T00:00:00"/>
    <x v="2"/>
    <x v="1"/>
    <x v="0"/>
    <x v="0"/>
    <x v="7"/>
    <x v="3"/>
    <x v="9"/>
    <x v="2"/>
  </r>
  <r>
    <x v="1627"/>
    <x v="12"/>
    <x v="11"/>
    <n v="52.1"/>
    <n v="468.90000000000003"/>
    <x v="60"/>
    <d v="2025-03-04T00:00:00"/>
    <x v="1"/>
    <x v="0"/>
    <x v="0"/>
    <x v="0"/>
    <x v="8"/>
    <x v="1"/>
    <x v="9"/>
    <x v="1"/>
  </r>
  <r>
    <x v="1628"/>
    <x v="1"/>
    <x v="3"/>
    <n v="45.9"/>
    <n v="321.3"/>
    <x v="60"/>
    <d v="2025-03-03T00:00:00"/>
    <x v="1"/>
    <x v="0"/>
    <x v="1"/>
    <x v="0"/>
    <x v="8"/>
    <x v="3"/>
    <x v="9"/>
    <x v="1"/>
  </r>
  <r>
    <x v="1629"/>
    <x v="1"/>
    <x v="7"/>
    <n v="115.9"/>
    <n v="1159"/>
    <x v="60"/>
    <d v="2025-03-05T00:00:00"/>
    <x v="2"/>
    <x v="1"/>
    <x v="0"/>
    <x v="0"/>
    <x v="8"/>
    <x v="2"/>
    <x v="9"/>
    <x v="2"/>
  </r>
  <r>
    <x v="1630"/>
    <x v="6"/>
    <x v="11"/>
    <n v="86"/>
    <n v="774"/>
    <x v="60"/>
    <d v="2025-03-07T00:00:00"/>
    <x v="2"/>
    <x v="0"/>
    <x v="1"/>
    <x v="0"/>
    <x v="8"/>
    <x v="0"/>
    <x v="9"/>
    <x v="2"/>
  </r>
  <r>
    <x v="1631"/>
    <x v="7"/>
    <x v="3"/>
    <n v="73.599999999999994"/>
    <n v="515.19999999999993"/>
    <x v="60"/>
    <d v="2025-03-04T00:00:00"/>
    <x v="2"/>
    <x v="0"/>
    <x v="0"/>
    <x v="0"/>
    <x v="17"/>
    <x v="1"/>
    <x v="9"/>
    <x v="2"/>
  </r>
  <r>
    <x v="1632"/>
    <x v="10"/>
    <x v="2"/>
    <n v="26.7"/>
    <n v="80.099999999999994"/>
    <x v="60"/>
    <d v="2025-03-06T00:00:00"/>
    <x v="2"/>
    <x v="0"/>
    <x v="0"/>
    <x v="0"/>
    <x v="11"/>
    <x v="5"/>
    <x v="9"/>
    <x v="2"/>
  </r>
  <r>
    <x v="1633"/>
    <x v="8"/>
    <x v="3"/>
    <n v="46.6"/>
    <n v="326.2"/>
    <x v="60"/>
    <d v="2025-03-04T00:00:00"/>
    <x v="0"/>
    <x v="3"/>
    <x v="0"/>
    <x v="0"/>
    <x v="11"/>
    <x v="1"/>
    <x v="9"/>
    <x v="0"/>
  </r>
  <r>
    <x v="1634"/>
    <x v="3"/>
    <x v="2"/>
    <n v="84.6"/>
    <n v="253.79999999999998"/>
    <x v="60"/>
    <d v="2025-03-04T00:00:00"/>
    <x v="1"/>
    <x v="4"/>
    <x v="0"/>
    <x v="0"/>
    <x v="11"/>
    <x v="1"/>
    <x v="9"/>
    <x v="1"/>
  </r>
  <r>
    <x v="1635"/>
    <x v="7"/>
    <x v="21"/>
    <n v="41.5"/>
    <n v="581"/>
    <x v="60"/>
    <d v="2025-03-16T00:00:00"/>
    <x v="1"/>
    <x v="1"/>
    <x v="0"/>
    <x v="0"/>
    <x v="53"/>
    <x v="12"/>
    <x v="9"/>
    <x v="1"/>
  </r>
  <r>
    <x v="1636"/>
    <x v="8"/>
    <x v="0"/>
    <n v="32.799999999999997"/>
    <n v="32.799999999999997"/>
    <x v="60"/>
    <d v="2025-03-05T00:00:00"/>
    <x v="1"/>
    <x v="0"/>
    <x v="2"/>
    <x v="0"/>
    <x v="30"/>
    <x v="2"/>
    <x v="9"/>
    <x v="1"/>
  </r>
  <r>
    <x v="1637"/>
    <x v="4"/>
    <x v="3"/>
    <n v="46.7"/>
    <n v="326.90000000000003"/>
    <x v="60"/>
    <d v="2025-03-04T00:00:00"/>
    <x v="3"/>
    <x v="0"/>
    <x v="2"/>
    <x v="0"/>
    <x v="18"/>
    <x v="1"/>
    <x v="9"/>
    <x v="3"/>
  </r>
  <r>
    <x v="1638"/>
    <x v="15"/>
    <x v="3"/>
    <n v="21"/>
    <n v="147"/>
    <x v="60"/>
    <d v="2025-03-05T00:00:00"/>
    <x v="1"/>
    <x v="2"/>
    <x v="1"/>
    <x v="0"/>
    <x v="21"/>
    <x v="2"/>
    <x v="9"/>
    <x v="1"/>
  </r>
  <r>
    <x v="1639"/>
    <x v="5"/>
    <x v="3"/>
    <n v="29.4"/>
    <n v="205.79999999999998"/>
    <x v="60"/>
    <d v="2025-03-02T00:00:00"/>
    <x v="1"/>
    <x v="3"/>
    <x v="2"/>
    <x v="0"/>
    <x v="21"/>
    <x v="7"/>
    <x v="9"/>
    <x v="1"/>
  </r>
  <r>
    <x v="1640"/>
    <x v="15"/>
    <x v="1"/>
    <n v="32.299999999999997"/>
    <n v="64.599999999999994"/>
    <x v="60"/>
    <d v="2025-03-03T00:00:00"/>
    <x v="1"/>
    <x v="0"/>
    <x v="2"/>
    <x v="0"/>
    <x v="21"/>
    <x v="3"/>
    <x v="9"/>
    <x v="1"/>
  </r>
  <r>
    <x v="1641"/>
    <x v="6"/>
    <x v="0"/>
    <n v="42.2"/>
    <n v="42.2"/>
    <x v="61"/>
    <d v="2025-03-05T00:00:00"/>
    <x v="2"/>
    <x v="0"/>
    <x v="2"/>
    <x v="0"/>
    <x v="21"/>
    <x v="1"/>
    <x v="9"/>
    <x v="2"/>
  </r>
  <r>
    <x v="1642"/>
    <x v="6"/>
    <x v="0"/>
    <n v="53.7"/>
    <n v="53.7"/>
    <x v="61"/>
    <d v="2025-03-05T00:00:00"/>
    <x v="1"/>
    <x v="1"/>
    <x v="1"/>
    <x v="0"/>
    <x v="1"/>
    <x v="1"/>
    <x v="9"/>
    <x v="1"/>
  </r>
  <r>
    <x v="1643"/>
    <x v="2"/>
    <x v="1"/>
    <n v="123.9"/>
    <n v="247.8"/>
    <x v="61"/>
    <d v="2025-03-06T00:00:00"/>
    <x v="1"/>
    <x v="2"/>
    <x v="0"/>
    <x v="0"/>
    <x v="1"/>
    <x v="2"/>
    <x v="9"/>
    <x v="1"/>
  </r>
  <r>
    <x v="1644"/>
    <x v="4"/>
    <x v="2"/>
    <n v="35.9"/>
    <n v="107.69999999999999"/>
    <x v="61"/>
    <d v="2025-03-05T00:00:00"/>
    <x v="1"/>
    <x v="2"/>
    <x v="0"/>
    <x v="0"/>
    <x v="22"/>
    <x v="1"/>
    <x v="9"/>
    <x v="1"/>
  </r>
  <r>
    <x v="1645"/>
    <x v="4"/>
    <x v="1"/>
    <n v="23.6"/>
    <n v="47.2"/>
    <x v="61"/>
    <d v="2025-03-06T00:00:00"/>
    <x v="1"/>
    <x v="0"/>
    <x v="2"/>
    <x v="0"/>
    <x v="3"/>
    <x v="2"/>
    <x v="9"/>
    <x v="1"/>
  </r>
  <r>
    <x v="1646"/>
    <x v="15"/>
    <x v="36"/>
    <n v="45.7"/>
    <n v="1599.5"/>
    <x v="61"/>
    <d v="2025-03-04T00:00:00"/>
    <x v="1"/>
    <x v="0"/>
    <x v="1"/>
    <x v="0"/>
    <x v="3"/>
    <x v="3"/>
    <x v="9"/>
    <x v="1"/>
  </r>
  <r>
    <x v="1647"/>
    <x v="6"/>
    <x v="5"/>
    <n v="118.3"/>
    <n v="1301.3"/>
    <x v="61"/>
    <d v="2025-03-05T00:00:00"/>
    <x v="1"/>
    <x v="4"/>
    <x v="2"/>
    <x v="0"/>
    <x v="3"/>
    <x v="1"/>
    <x v="9"/>
    <x v="1"/>
  </r>
  <r>
    <x v="1648"/>
    <x v="19"/>
    <x v="0"/>
    <n v="36"/>
    <n v="36"/>
    <x v="61"/>
    <d v="2025-03-04T00:00:00"/>
    <x v="2"/>
    <x v="0"/>
    <x v="1"/>
    <x v="0"/>
    <x v="3"/>
    <x v="3"/>
    <x v="9"/>
    <x v="2"/>
  </r>
  <r>
    <x v="1649"/>
    <x v="8"/>
    <x v="1"/>
    <n v="37.1"/>
    <n v="74.2"/>
    <x v="61"/>
    <d v="2025-03-06T00:00:00"/>
    <x v="2"/>
    <x v="2"/>
    <x v="0"/>
    <x v="0"/>
    <x v="3"/>
    <x v="2"/>
    <x v="9"/>
    <x v="2"/>
  </r>
  <r>
    <x v="1650"/>
    <x v="18"/>
    <x v="2"/>
    <n v="45.1"/>
    <n v="135.30000000000001"/>
    <x v="61"/>
    <d v="2025-03-05T00:00:00"/>
    <x v="2"/>
    <x v="1"/>
    <x v="2"/>
    <x v="0"/>
    <x v="3"/>
    <x v="1"/>
    <x v="9"/>
    <x v="2"/>
  </r>
  <r>
    <x v="1651"/>
    <x v="5"/>
    <x v="27"/>
    <n v="37.9"/>
    <n v="606.4"/>
    <x v="61"/>
    <d v="2025-03-04T00:00:00"/>
    <x v="2"/>
    <x v="3"/>
    <x v="2"/>
    <x v="0"/>
    <x v="3"/>
    <x v="3"/>
    <x v="9"/>
    <x v="2"/>
  </r>
  <r>
    <x v="1652"/>
    <x v="2"/>
    <x v="1"/>
    <n v="121.6"/>
    <n v="243.2"/>
    <x v="61"/>
    <d v="2025-03-06T00:00:00"/>
    <x v="1"/>
    <x v="3"/>
    <x v="2"/>
    <x v="0"/>
    <x v="3"/>
    <x v="2"/>
    <x v="9"/>
    <x v="1"/>
  </r>
  <r>
    <x v="1653"/>
    <x v="5"/>
    <x v="3"/>
    <n v="38.200000000000003"/>
    <n v="267.40000000000003"/>
    <x v="61"/>
    <d v="2025-03-06T00:00:00"/>
    <x v="2"/>
    <x v="0"/>
    <x v="0"/>
    <x v="0"/>
    <x v="3"/>
    <x v="2"/>
    <x v="9"/>
    <x v="2"/>
  </r>
  <r>
    <x v="1654"/>
    <x v="17"/>
    <x v="1"/>
    <n v="37.200000000000003"/>
    <n v="74.400000000000006"/>
    <x v="61"/>
    <d v="2025-03-06T00:00:00"/>
    <x v="1"/>
    <x v="4"/>
    <x v="0"/>
    <x v="0"/>
    <x v="3"/>
    <x v="2"/>
    <x v="9"/>
    <x v="1"/>
  </r>
  <r>
    <x v="1655"/>
    <x v="2"/>
    <x v="12"/>
    <n v="115.7"/>
    <n v="462.8"/>
    <x v="61"/>
    <d v="2025-03-06T00:00:00"/>
    <x v="2"/>
    <x v="1"/>
    <x v="0"/>
    <x v="0"/>
    <x v="3"/>
    <x v="2"/>
    <x v="9"/>
    <x v="2"/>
  </r>
  <r>
    <x v="1656"/>
    <x v="2"/>
    <x v="13"/>
    <n v="99.4"/>
    <n v="596.40000000000009"/>
    <x v="61"/>
    <d v="2025-03-06T00:00:00"/>
    <x v="1"/>
    <x v="0"/>
    <x v="2"/>
    <x v="0"/>
    <x v="3"/>
    <x v="2"/>
    <x v="9"/>
    <x v="1"/>
  </r>
  <r>
    <x v="1657"/>
    <x v="11"/>
    <x v="0"/>
    <n v="38.700000000000003"/>
    <n v="38.700000000000003"/>
    <x v="61"/>
    <d v="2025-03-04T00:00:00"/>
    <x v="2"/>
    <x v="2"/>
    <x v="0"/>
    <x v="0"/>
    <x v="25"/>
    <x v="3"/>
    <x v="9"/>
    <x v="2"/>
  </r>
  <r>
    <x v="1658"/>
    <x v="4"/>
    <x v="1"/>
    <n v="35.5"/>
    <n v="71"/>
    <x v="61"/>
    <d v="2025-03-06T00:00:00"/>
    <x v="1"/>
    <x v="0"/>
    <x v="2"/>
    <x v="0"/>
    <x v="25"/>
    <x v="2"/>
    <x v="9"/>
    <x v="1"/>
  </r>
  <r>
    <x v="1659"/>
    <x v="2"/>
    <x v="12"/>
    <n v="93.3"/>
    <n v="373.2"/>
    <x v="61"/>
    <d v="2025-03-06T00:00:00"/>
    <x v="2"/>
    <x v="0"/>
    <x v="2"/>
    <x v="0"/>
    <x v="6"/>
    <x v="2"/>
    <x v="9"/>
    <x v="2"/>
  </r>
  <r>
    <x v="1660"/>
    <x v="16"/>
    <x v="0"/>
    <n v="31.4"/>
    <n v="31.4"/>
    <x v="61"/>
    <d v="2025-03-08T00:00:00"/>
    <x v="2"/>
    <x v="2"/>
    <x v="2"/>
    <x v="0"/>
    <x v="6"/>
    <x v="0"/>
    <x v="9"/>
    <x v="2"/>
  </r>
  <r>
    <x v="1661"/>
    <x v="1"/>
    <x v="0"/>
    <n v="85.9"/>
    <n v="85.9"/>
    <x v="61"/>
    <d v="2025-03-06T00:00:00"/>
    <x v="1"/>
    <x v="1"/>
    <x v="0"/>
    <x v="0"/>
    <x v="6"/>
    <x v="2"/>
    <x v="9"/>
    <x v="1"/>
  </r>
  <r>
    <x v="1662"/>
    <x v="6"/>
    <x v="8"/>
    <n v="41.7"/>
    <n v="333.6"/>
    <x v="61"/>
    <d v="2025-03-11T00:00:00"/>
    <x v="1"/>
    <x v="0"/>
    <x v="2"/>
    <x v="0"/>
    <x v="7"/>
    <x v="9"/>
    <x v="9"/>
    <x v="1"/>
  </r>
  <r>
    <x v="1663"/>
    <x v="8"/>
    <x v="12"/>
    <n v="31.5"/>
    <n v="126"/>
    <x v="61"/>
    <d v="2025-03-04T00:00:00"/>
    <x v="2"/>
    <x v="0"/>
    <x v="0"/>
    <x v="0"/>
    <x v="7"/>
    <x v="3"/>
    <x v="9"/>
    <x v="2"/>
  </r>
  <r>
    <x v="1664"/>
    <x v="8"/>
    <x v="1"/>
    <n v="36.299999999999997"/>
    <n v="72.599999999999994"/>
    <x v="61"/>
    <d v="2025-03-04T00:00:00"/>
    <x v="2"/>
    <x v="0"/>
    <x v="4"/>
    <x v="0"/>
    <x v="8"/>
    <x v="3"/>
    <x v="9"/>
    <x v="2"/>
  </r>
  <r>
    <x v="1665"/>
    <x v="8"/>
    <x v="2"/>
    <n v="33.4"/>
    <n v="100.19999999999999"/>
    <x v="61"/>
    <d v="2025-03-04T00:00:00"/>
    <x v="2"/>
    <x v="3"/>
    <x v="0"/>
    <x v="0"/>
    <x v="17"/>
    <x v="3"/>
    <x v="9"/>
    <x v="2"/>
  </r>
  <r>
    <x v="1666"/>
    <x v="2"/>
    <x v="2"/>
    <n v="65.2"/>
    <n v="195.60000000000002"/>
    <x v="61"/>
    <d v="2025-03-04T00:00:00"/>
    <x v="2"/>
    <x v="2"/>
    <x v="2"/>
    <x v="0"/>
    <x v="26"/>
    <x v="3"/>
    <x v="9"/>
    <x v="2"/>
  </r>
  <r>
    <x v="1667"/>
    <x v="8"/>
    <x v="11"/>
    <n v="65.5"/>
    <n v="589.5"/>
    <x v="61"/>
    <d v="2025-03-06T00:00:00"/>
    <x v="2"/>
    <x v="0"/>
    <x v="2"/>
    <x v="0"/>
    <x v="9"/>
    <x v="2"/>
    <x v="9"/>
    <x v="2"/>
  </r>
  <r>
    <x v="1668"/>
    <x v="6"/>
    <x v="2"/>
    <n v="52.8"/>
    <n v="158.39999999999998"/>
    <x v="61"/>
    <d v="2025-03-06T00:00:00"/>
    <x v="1"/>
    <x v="2"/>
    <x v="0"/>
    <x v="0"/>
    <x v="9"/>
    <x v="2"/>
    <x v="9"/>
    <x v="1"/>
  </r>
  <r>
    <x v="1669"/>
    <x v="9"/>
    <x v="9"/>
    <n v="24"/>
    <n v="120"/>
    <x v="61"/>
    <d v="2025-03-07T00:00:00"/>
    <x v="1"/>
    <x v="0"/>
    <x v="1"/>
    <x v="0"/>
    <x v="11"/>
    <x v="5"/>
    <x v="9"/>
    <x v="1"/>
  </r>
  <r>
    <x v="1670"/>
    <x v="3"/>
    <x v="2"/>
    <n v="51.2"/>
    <n v="153.60000000000002"/>
    <x v="61"/>
    <d v="2025-03-04T00:00:00"/>
    <x v="2"/>
    <x v="0"/>
    <x v="0"/>
    <x v="0"/>
    <x v="32"/>
    <x v="3"/>
    <x v="9"/>
    <x v="2"/>
  </r>
  <r>
    <x v="1671"/>
    <x v="5"/>
    <x v="2"/>
    <n v="28.3"/>
    <n v="84.9"/>
    <x v="61"/>
    <d v="2025-03-05T00:00:00"/>
    <x v="1"/>
    <x v="4"/>
    <x v="0"/>
    <x v="0"/>
    <x v="19"/>
    <x v="1"/>
    <x v="9"/>
    <x v="1"/>
  </r>
  <r>
    <x v="1672"/>
    <x v="6"/>
    <x v="2"/>
    <n v="42.3"/>
    <n v="126.89999999999999"/>
    <x v="61"/>
    <d v="2025-03-03T00:00:00"/>
    <x v="2"/>
    <x v="2"/>
    <x v="1"/>
    <x v="0"/>
    <x v="19"/>
    <x v="7"/>
    <x v="9"/>
    <x v="2"/>
  </r>
  <r>
    <x v="1673"/>
    <x v="2"/>
    <x v="8"/>
    <n v="163.30000000000001"/>
    <n v="1306.4000000000001"/>
    <x v="62"/>
    <d v="2025-03-05T00:00:00"/>
    <x v="2"/>
    <x v="1"/>
    <x v="0"/>
    <x v="0"/>
    <x v="13"/>
    <x v="3"/>
    <x v="9"/>
    <x v="2"/>
  </r>
  <r>
    <x v="1674"/>
    <x v="6"/>
    <x v="3"/>
    <n v="47.3"/>
    <n v="331.09999999999997"/>
    <x v="62"/>
    <d v="2025-03-07T00:00:00"/>
    <x v="2"/>
    <x v="4"/>
    <x v="1"/>
    <x v="0"/>
    <x v="21"/>
    <x v="2"/>
    <x v="9"/>
    <x v="2"/>
  </r>
  <r>
    <x v="1675"/>
    <x v="8"/>
    <x v="27"/>
    <n v="27.3"/>
    <n v="436.8"/>
    <x v="62"/>
    <d v="2025-03-05T00:00:00"/>
    <x v="2"/>
    <x v="2"/>
    <x v="0"/>
    <x v="0"/>
    <x v="21"/>
    <x v="3"/>
    <x v="9"/>
    <x v="2"/>
  </r>
  <r>
    <x v="1676"/>
    <x v="10"/>
    <x v="13"/>
    <n v="34.9"/>
    <n v="209.39999999999998"/>
    <x v="62"/>
    <d v="2025-03-15T00:00:00"/>
    <x v="2"/>
    <x v="0"/>
    <x v="0"/>
    <x v="0"/>
    <x v="21"/>
    <x v="11"/>
    <x v="9"/>
    <x v="2"/>
  </r>
  <r>
    <x v="1677"/>
    <x v="6"/>
    <x v="1"/>
    <n v="53.9"/>
    <n v="107.8"/>
    <x v="62"/>
    <d v="2025-03-07T00:00:00"/>
    <x v="3"/>
    <x v="0"/>
    <x v="4"/>
    <x v="0"/>
    <x v="1"/>
    <x v="2"/>
    <x v="9"/>
    <x v="3"/>
  </r>
  <r>
    <x v="1678"/>
    <x v="2"/>
    <x v="1"/>
    <n v="87.2"/>
    <n v="174.4"/>
    <x v="62"/>
    <d v="2025-03-05T00:00:00"/>
    <x v="2"/>
    <x v="0"/>
    <x v="1"/>
    <x v="0"/>
    <x v="1"/>
    <x v="3"/>
    <x v="9"/>
    <x v="2"/>
  </r>
  <r>
    <x v="1679"/>
    <x v="15"/>
    <x v="0"/>
    <n v="58.8"/>
    <n v="58.8"/>
    <x v="62"/>
    <d v="2025-03-06T00:00:00"/>
    <x v="2"/>
    <x v="2"/>
    <x v="0"/>
    <x v="0"/>
    <x v="44"/>
    <x v="1"/>
    <x v="9"/>
    <x v="2"/>
  </r>
  <r>
    <x v="1680"/>
    <x v="2"/>
    <x v="3"/>
    <n v="125.5"/>
    <n v="878.5"/>
    <x v="62"/>
    <d v="2025-03-05T00:00:00"/>
    <x v="1"/>
    <x v="2"/>
    <x v="4"/>
    <x v="0"/>
    <x v="22"/>
    <x v="3"/>
    <x v="9"/>
    <x v="1"/>
  </r>
  <r>
    <x v="1681"/>
    <x v="1"/>
    <x v="12"/>
    <n v="124.6"/>
    <n v="498.4"/>
    <x v="62"/>
    <d v="2025-03-06T00:00:00"/>
    <x v="2"/>
    <x v="0"/>
    <x v="1"/>
    <x v="0"/>
    <x v="22"/>
    <x v="1"/>
    <x v="9"/>
    <x v="2"/>
  </r>
  <r>
    <x v="1682"/>
    <x v="1"/>
    <x v="3"/>
    <n v="39.9"/>
    <n v="279.3"/>
    <x v="62"/>
    <d v="2025-03-05T00:00:00"/>
    <x v="1"/>
    <x v="2"/>
    <x v="1"/>
    <x v="0"/>
    <x v="3"/>
    <x v="3"/>
    <x v="9"/>
    <x v="1"/>
  </r>
  <r>
    <x v="1683"/>
    <x v="6"/>
    <x v="0"/>
    <n v="94.6"/>
    <n v="94.6"/>
    <x v="62"/>
    <d v="2025-03-18T00:00:00"/>
    <x v="2"/>
    <x v="0"/>
    <x v="1"/>
    <x v="0"/>
    <x v="3"/>
    <x v="12"/>
    <x v="9"/>
    <x v="2"/>
  </r>
  <r>
    <x v="1684"/>
    <x v="2"/>
    <x v="1"/>
    <n v="149.6"/>
    <n v="299.2"/>
    <x v="62"/>
    <d v="2025-03-05T00:00:00"/>
    <x v="2"/>
    <x v="0"/>
    <x v="0"/>
    <x v="0"/>
    <x v="3"/>
    <x v="3"/>
    <x v="9"/>
    <x v="2"/>
  </r>
  <r>
    <x v="1685"/>
    <x v="8"/>
    <x v="0"/>
    <n v="52.2"/>
    <n v="52.2"/>
    <x v="62"/>
    <d v="2025-03-05T00:00:00"/>
    <x v="0"/>
    <x v="1"/>
    <x v="0"/>
    <x v="0"/>
    <x v="3"/>
    <x v="3"/>
    <x v="9"/>
    <x v="0"/>
  </r>
  <r>
    <x v="1686"/>
    <x v="6"/>
    <x v="1"/>
    <n v="96.5"/>
    <n v="193"/>
    <x v="62"/>
    <d v="2025-03-05T00:00:00"/>
    <x v="2"/>
    <x v="1"/>
    <x v="1"/>
    <x v="0"/>
    <x v="3"/>
    <x v="3"/>
    <x v="9"/>
    <x v="2"/>
  </r>
  <r>
    <x v="1687"/>
    <x v="8"/>
    <x v="1"/>
    <n v="79.8"/>
    <n v="159.6"/>
    <x v="62"/>
    <d v="2025-03-06T00:00:00"/>
    <x v="2"/>
    <x v="0"/>
    <x v="1"/>
    <x v="0"/>
    <x v="3"/>
    <x v="1"/>
    <x v="9"/>
    <x v="2"/>
  </r>
  <r>
    <x v="1688"/>
    <x v="8"/>
    <x v="2"/>
    <n v="35.6"/>
    <n v="106.80000000000001"/>
    <x v="62"/>
    <d v="2025-03-05T00:00:00"/>
    <x v="2"/>
    <x v="2"/>
    <x v="0"/>
    <x v="0"/>
    <x v="3"/>
    <x v="3"/>
    <x v="9"/>
    <x v="2"/>
  </r>
  <r>
    <x v="1689"/>
    <x v="16"/>
    <x v="0"/>
    <n v="50.2"/>
    <n v="50.2"/>
    <x v="62"/>
    <d v="2025-03-05T00:00:00"/>
    <x v="2"/>
    <x v="1"/>
    <x v="2"/>
    <x v="0"/>
    <x v="3"/>
    <x v="3"/>
    <x v="9"/>
    <x v="2"/>
  </r>
  <r>
    <x v="1690"/>
    <x v="1"/>
    <x v="2"/>
    <n v="55.3"/>
    <n v="165.89999999999998"/>
    <x v="62"/>
    <d v="2025-03-07T00:00:00"/>
    <x v="2"/>
    <x v="0"/>
    <x v="4"/>
    <x v="0"/>
    <x v="40"/>
    <x v="2"/>
    <x v="9"/>
    <x v="2"/>
  </r>
  <r>
    <x v="1691"/>
    <x v="6"/>
    <x v="3"/>
    <n v="104.5"/>
    <n v="731.5"/>
    <x v="62"/>
    <d v="2025-03-08T00:00:00"/>
    <x v="2"/>
    <x v="1"/>
    <x v="0"/>
    <x v="0"/>
    <x v="7"/>
    <x v="5"/>
    <x v="9"/>
    <x v="2"/>
  </r>
  <r>
    <x v="1692"/>
    <x v="6"/>
    <x v="12"/>
    <n v="66.5"/>
    <n v="266"/>
    <x v="62"/>
    <d v="2025-03-06T00:00:00"/>
    <x v="1"/>
    <x v="1"/>
    <x v="0"/>
    <x v="0"/>
    <x v="7"/>
    <x v="1"/>
    <x v="9"/>
    <x v="1"/>
  </r>
  <r>
    <x v="1693"/>
    <x v="10"/>
    <x v="8"/>
    <n v="38.299999999999997"/>
    <n v="306.39999999999998"/>
    <x v="62"/>
    <d v="2025-03-05T00:00:00"/>
    <x v="2"/>
    <x v="0"/>
    <x v="0"/>
    <x v="0"/>
    <x v="7"/>
    <x v="3"/>
    <x v="9"/>
    <x v="2"/>
  </r>
  <r>
    <x v="1694"/>
    <x v="6"/>
    <x v="2"/>
    <n v="63.8"/>
    <n v="191.39999999999998"/>
    <x v="62"/>
    <d v="2025-03-07T00:00:00"/>
    <x v="2"/>
    <x v="1"/>
    <x v="0"/>
    <x v="0"/>
    <x v="8"/>
    <x v="2"/>
    <x v="9"/>
    <x v="2"/>
  </r>
  <r>
    <x v="1695"/>
    <x v="15"/>
    <x v="0"/>
    <n v="21.4"/>
    <n v="21.4"/>
    <x v="62"/>
    <d v="2025-03-04T00:00:00"/>
    <x v="1"/>
    <x v="4"/>
    <x v="0"/>
    <x v="0"/>
    <x v="8"/>
    <x v="7"/>
    <x v="9"/>
    <x v="1"/>
  </r>
  <r>
    <x v="1696"/>
    <x v="8"/>
    <x v="12"/>
    <n v="44.1"/>
    <n v="176.4"/>
    <x v="62"/>
    <d v="2025-03-06T00:00:00"/>
    <x v="2"/>
    <x v="2"/>
    <x v="0"/>
    <x v="0"/>
    <x v="8"/>
    <x v="1"/>
    <x v="9"/>
    <x v="2"/>
  </r>
  <r>
    <x v="1697"/>
    <x v="5"/>
    <x v="8"/>
    <n v="57.6"/>
    <n v="460.8"/>
    <x v="62"/>
    <d v="2025-03-06T00:00:00"/>
    <x v="1"/>
    <x v="1"/>
    <x v="2"/>
    <x v="0"/>
    <x v="8"/>
    <x v="1"/>
    <x v="9"/>
    <x v="1"/>
  </r>
  <r>
    <x v="1698"/>
    <x v="9"/>
    <x v="1"/>
    <n v="20.3"/>
    <n v="40.6"/>
    <x v="62"/>
    <d v="2025-03-10T00:00:00"/>
    <x v="2"/>
    <x v="3"/>
    <x v="0"/>
    <x v="0"/>
    <x v="8"/>
    <x v="4"/>
    <x v="9"/>
    <x v="2"/>
  </r>
  <r>
    <x v="1699"/>
    <x v="8"/>
    <x v="0"/>
    <n v="22.9"/>
    <n v="22.9"/>
    <x v="62"/>
    <d v="2025-03-06T00:00:00"/>
    <x v="2"/>
    <x v="2"/>
    <x v="2"/>
    <x v="0"/>
    <x v="8"/>
    <x v="1"/>
    <x v="9"/>
    <x v="2"/>
  </r>
  <r>
    <x v="1700"/>
    <x v="6"/>
    <x v="12"/>
    <n v="105.9"/>
    <n v="423.6"/>
    <x v="62"/>
    <d v="2025-03-05T00:00:00"/>
    <x v="2"/>
    <x v="1"/>
    <x v="2"/>
    <x v="0"/>
    <x v="17"/>
    <x v="3"/>
    <x v="9"/>
    <x v="2"/>
  </r>
  <r>
    <x v="1701"/>
    <x v="1"/>
    <x v="11"/>
    <n v="37.4"/>
    <n v="336.59999999999997"/>
    <x v="62"/>
    <d v="2025-03-08T00:00:00"/>
    <x v="1"/>
    <x v="1"/>
    <x v="0"/>
    <x v="0"/>
    <x v="11"/>
    <x v="5"/>
    <x v="9"/>
    <x v="1"/>
  </r>
  <r>
    <x v="1702"/>
    <x v="18"/>
    <x v="1"/>
    <n v="79"/>
    <n v="158"/>
    <x v="62"/>
    <d v="2025-03-05T00:00:00"/>
    <x v="1"/>
    <x v="2"/>
    <x v="0"/>
    <x v="0"/>
    <x v="28"/>
    <x v="3"/>
    <x v="9"/>
    <x v="1"/>
  </r>
  <r>
    <x v="1703"/>
    <x v="0"/>
    <x v="2"/>
    <n v="19.3"/>
    <n v="57.900000000000006"/>
    <x v="62"/>
    <d v="2025-03-05T00:00:00"/>
    <x v="2"/>
    <x v="4"/>
    <x v="0"/>
    <x v="0"/>
    <x v="21"/>
    <x v="3"/>
    <x v="9"/>
    <x v="2"/>
  </r>
  <r>
    <x v="1704"/>
    <x v="0"/>
    <x v="0"/>
    <n v="24"/>
    <n v="24"/>
    <x v="62"/>
    <d v="2025-03-05T00:00:00"/>
    <x v="2"/>
    <x v="1"/>
    <x v="0"/>
    <x v="0"/>
    <x v="1"/>
    <x v="3"/>
    <x v="9"/>
    <x v="2"/>
  </r>
  <r>
    <x v="1705"/>
    <x v="6"/>
    <x v="9"/>
    <n v="71.3"/>
    <n v="356.5"/>
    <x v="62"/>
    <d v="2025-03-07T00:00:00"/>
    <x v="2"/>
    <x v="2"/>
    <x v="0"/>
    <x v="0"/>
    <x v="2"/>
    <x v="2"/>
    <x v="9"/>
    <x v="2"/>
  </r>
  <r>
    <x v="1706"/>
    <x v="5"/>
    <x v="1"/>
    <n v="166.2"/>
    <n v="332.4"/>
    <x v="62"/>
    <d v="2025-03-05T00:00:00"/>
    <x v="1"/>
    <x v="0"/>
    <x v="2"/>
    <x v="0"/>
    <x v="50"/>
    <x v="3"/>
    <x v="9"/>
    <x v="1"/>
  </r>
  <r>
    <x v="1707"/>
    <x v="6"/>
    <x v="0"/>
    <n v="81"/>
    <n v="81"/>
    <x v="62"/>
    <d v="2025-03-05T00:00:00"/>
    <x v="2"/>
    <x v="2"/>
    <x v="1"/>
    <x v="0"/>
    <x v="3"/>
    <x v="3"/>
    <x v="9"/>
    <x v="2"/>
  </r>
  <r>
    <x v="1708"/>
    <x v="10"/>
    <x v="13"/>
    <n v="38.5"/>
    <n v="231"/>
    <x v="62"/>
    <d v="2025-03-08T00:00:00"/>
    <x v="2"/>
    <x v="0"/>
    <x v="0"/>
    <x v="0"/>
    <x v="3"/>
    <x v="5"/>
    <x v="9"/>
    <x v="2"/>
  </r>
  <r>
    <x v="1709"/>
    <x v="6"/>
    <x v="0"/>
    <n v="86.1"/>
    <n v="86.1"/>
    <x v="62"/>
    <d v="2025-03-06T00:00:00"/>
    <x v="2"/>
    <x v="3"/>
    <x v="0"/>
    <x v="0"/>
    <x v="3"/>
    <x v="1"/>
    <x v="9"/>
    <x v="2"/>
  </r>
  <r>
    <x v="1710"/>
    <x v="2"/>
    <x v="9"/>
    <n v="51"/>
    <n v="255"/>
    <x v="62"/>
    <d v="2025-03-05T00:00:00"/>
    <x v="1"/>
    <x v="0"/>
    <x v="1"/>
    <x v="0"/>
    <x v="3"/>
    <x v="3"/>
    <x v="9"/>
    <x v="1"/>
  </r>
  <r>
    <x v="1711"/>
    <x v="3"/>
    <x v="9"/>
    <n v="115.4"/>
    <n v="577"/>
    <x v="62"/>
    <d v="2025-03-05T00:00:00"/>
    <x v="1"/>
    <x v="0"/>
    <x v="0"/>
    <x v="0"/>
    <x v="3"/>
    <x v="3"/>
    <x v="9"/>
    <x v="1"/>
  </r>
  <r>
    <x v="1712"/>
    <x v="6"/>
    <x v="12"/>
    <n v="176.5"/>
    <n v="706"/>
    <x v="62"/>
    <d v="2025-03-05T00:00:00"/>
    <x v="2"/>
    <x v="2"/>
    <x v="2"/>
    <x v="0"/>
    <x v="3"/>
    <x v="3"/>
    <x v="9"/>
    <x v="2"/>
  </r>
  <r>
    <x v="1713"/>
    <x v="7"/>
    <x v="2"/>
    <n v="48.9"/>
    <n v="146.69999999999999"/>
    <x v="62"/>
    <d v="2025-03-05T00:00:00"/>
    <x v="1"/>
    <x v="4"/>
    <x v="0"/>
    <x v="0"/>
    <x v="3"/>
    <x v="3"/>
    <x v="9"/>
    <x v="1"/>
  </r>
  <r>
    <x v="1714"/>
    <x v="8"/>
    <x v="2"/>
    <n v="18.100000000000001"/>
    <n v="54.300000000000004"/>
    <x v="62"/>
    <d v="2025-03-11T00:00:00"/>
    <x v="2"/>
    <x v="1"/>
    <x v="2"/>
    <x v="0"/>
    <x v="29"/>
    <x v="6"/>
    <x v="9"/>
    <x v="2"/>
  </r>
  <r>
    <x v="1715"/>
    <x v="2"/>
    <x v="1"/>
    <n v="118.5"/>
    <n v="237"/>
    <x v="62"/>
    <d v="2025-03-07T00:00:00"/>
    <x v="1"/>
    <x v="1"/>
    <x v="2"/>
    <x v="0"/>
    <x v="16"/>
    <x v="2"/>
    <x v="9"/>
    <x v="1"/>
  </r>
  <r>
    <x v="1716"/>
    <x v="15"/>
    <x v="3"/>
    <n v="59.1"/>
    <n v="413.7"/>
    <x v="62"/>
    <d v="2025-03-05T00:00:00"/>
    <x v="2"/>
    <x v="3"/>
    <x v="0"/>
    <x v="0"/>
    <x v="25"/>
    <x v="3"/>
    <x v="9"/>
    <x v="2"/>
  </r>
  <r>
    <x v="1717"/>
    <x v="4"/>
    <x v="0"/>
    <n v="21.2"/>
    <n v="21.2"/>
    <x v="62"/>
    <d v="2025-03-05T00:00:00"/>
    <x v="2"/>
    <x v="0"/>
    <x v="1"/>
    <x v="0"/>
    <x v="6"/>
    <x v="3"/>
    <x v="9"/>
    <x v="2"/>
  </r>
  <r>
    <x v="1718"/>
    <x v="6"/>
    <x v="1"/>
    <n v="68.8"/>
    <n v="137.6"/>
    <x v="62"/>
    <d v="2025-03-09T00:00:00"/>
    <x v="2"/>
    <x v="3"/>
    <x v="2"/>
    <x v="0"/>
    <x v="6"/>
    <x v="0"/>
    <x v="9"/>
    <x v="2"/>
  </r>
  <r>
    <x v="1719"/>
    <x v="6"/>
    <x v="1"/>
    <n v="65.400000000000006"/>
    <n v="130.80000000000001"/>
    <x v="62"/>
    <d v="2025-03-08T00:00:00"/>
    <x v="2"/>
    <x v="0"/>
    <x v="0"/>
    <x v="0"/>
    <x v="6"/>
    <x v="5"/>
    <x v="9"/>
    <x v="2"/>
  </r>
  <r>
    <x v="1720"/>
    <x v="12"/>
    <x v="9"/>
    <n v="66.3"/>
    <n v="331.5"/>
    <x v="63"/>
    <d v="2025-03-08T00:00:00"/>
    <x v="2"/>
    <x v="4"/>
    <x v="0"/>
    <x v="0"/>
    <x v="6"/>
    <x v="2"/>
    <x v="9"/>
    <x v="2"/>
  </r>
  <r>
    <x v="1721"/>
    <x v="6"/>
    <x v="2"/>
    <n v="97.5"/>
    <n v="292.5"/>
    <x v="63"/>
    <d v="2025-03-05T00:00:00"/>
    <x v="1"/>
    <x v="3"/>
    <x v="0"/>
    <x v="0"/>
    <x v="8"/>
    <x v="7"/>
    <x v="9"/>
    <x v="1"/>
  </r>
  <r>
    <x v="1722"/>
    <x v="1"/>
    <x v="1"/>
    <n v="44"/>
    <n v="88"/>
    <x v="63"/>
    <d v="2025-03-08T00:00:00"/>
    <x v="2"/>
    <x v="1"/>
    <x v="2"/>
    <x v="0"/>
    <x v="8"/>
    <x v="2"/>
    <x v="9"/>
    <x v="2"/>
  </r>
  <r>
    <x v="1723"/>
    <x v="0"/>
    <x v="0"/>
    <n v="21.9"/>
    <n v="21.9"/>
    <x v="63"/>
    <d v="2025-03-06T00:00:00"/>
    <x v="1"/>
    <x v="0"/>
    <x v="0"/>
    <x v="0"/>
    <x v="8"/>
    <x v="3"/>
    <x v="9"/>
    <x v="1"/>
  </r>
  <r>
    <x v="1724"/>
    <x v="4"/>
    <x v="3"/>
    <n v="21.5"/>
    <n v="150.5"/>
    <x v="63"/>
    <d v="2025-03-07T00:00:00"/>
    <x v="2"/>
    <x v="1"/>
    <x v="2"/>
    <x v="0"/>
    <x v="9"/>
    <x v="1"/>
    <x v="9"/>
    <x v="2"/>
  </r>
  <r>
    <x v="1725"/>
    <x v="12"/>
    <x v="13"/>
    <n v="133"/>
    <n v="798"/>
    <x v="63"/>
    <d v="2025-03-06T00:00:00"/>
    <x v="3"/>
    <x v="0"/>
    <x v="2"/>
    <x v="0"/>
    <x v="10"/>
    <x v="3"/>
    <x v="9"/>
    <x v="3"/>
  </r>
  <r>
    <x v="1726"/>
    <x v="8"/>
    <x v="1"/>
    <n v="47.7"/>
    <n v="95.4"/>
    <x v="63"/>
    <d v="2025-03-09T00:00:00"/>
    <x v="1"/>
    <x v="0"/>
    <x v="2"/>
    <x v="0"/>
    <x v="10"/>
    <x v="5"/>
    <x v="9"/>
    <x v="1"/>
  </r>
  <r>
    <x v="1727"/>
    <x v="16"/>
    <x v="2"/>
    <n v="58.1"/>
    <n v="174.3"/>
    <x v="63"/>
    <d v="2025-03-06T00:00:00"/>
    <x v="2"/>
    <x v="0"/>
    <x v="0"/>
    <x v="0"/>
    <x v="11"/>
    <x v="3"/>
    <x v="9"/>
    <x v="2"/>
  </r>
  <r>
    <x v="1728"/>
    <x v="12"/>
    <x v="12"/>
    <n v="66.599999999999994"/>
    <n v="266.39999999999998"/>
    <x v="63"/>
    <d v="2025-03-06T00:00:00"/>
    <x v="0"/>
    <x v="0"/>
    <x v="0"/>
    <x v="0"/>
    <x v="11"/>
    <x v="3"/>
    <x v="9"/>
    <x v="0"/>
  </r>
  <r>
    <x v="1729"/>
    <x v="9"/>
    <x v="0"/>
    <n v="24.1"/>
    <n v="24.1"/>
    <x v="63"/>
    <d v="2025-03-08T00:00:00"/>
    <x v="1"/>
    <x v="2"/>
    <x v="1"/>
    <x v="0"/>
    <x v="19"/>
    <x v="2"/>
    <x v="9"/>
    <x v="1"/>
  </r>
  <r>
    <x v="1730"/>
    <x v="10"/>
    <x v="9"/>
    <n v="51.5"/>
    <n v="257.5"/>
    <x v="63"/>
    <d v="2025-03-10T00:00:00"/>
    <x v="2"/>
    <x v="0"/>
    <x v="0"/>
    <x v="0"/>
    <x v="13"/>
    <x v="0"/>
    <x v="9"/>
    <x v="2"/>
  </r>
  <r>
    <x v="1731"/>
    <x v="0"/>
    <x v="5"/>
    <n v="25.8"/>
    <n v="283.8"/>
    <x v="63"/>
    <d v="2025-03-09T00:00:00"/>
    <x v="2"/>
    <x v="3"/>
    <x v="4"/>
    <x v="0"/>
    <x v="21"/>
    <x v="5"/>
    <x v="9"/>
    <x v="2"/>
  </r>
  <r>
    <x v="1732"/>
    <x v="9"/>
    <x v="12"/>
    <n v="47.7"/>
    <n v="190.8"/>
    <x v="63"/>
    <d v="2025-03-05T00:00:00"/>
    <x v="2"/>
    <x v="0"/>
    <x v="1"/>
    <x v="0"/>
    <x v="21"/>
    <x v="7"/>
    <x v="9"/>
    <x v="2"/>
  </r>
  <r>
    <x v="1733"/>
    <x v="7"/>
    <x v="9"/>
    <n v="73.599999999999994"/>
    <n v="368"/>
    <x v="63"/>
    <d v="2025-03-09T00:00:00"/>
    <x v="1"/>
    <x v="1"/>
    <x v="0"/>
    <x v="0"/>
    <x v="21"/>
    <x v="5"/>
    <x v="9"/>
    <x v="1"/>
  </r>
  <r>
    <x v="1734"/>
    <x v="5"/>
    <x v="3"/>
    <n v="91.2"/>
    <n v="638.4"/>
    <x v="63"/>
    <d v="2025-03-06T00:00:00"/>
    <x v="1"/>
    <x v="1"/>
    <x v="2"/>
    <x v="0"/>
    <x v="21"/>
    <x v="3"/>
    <x v="9"/>
    <x v="1"/>
  </r>
  <r>
    <x v="1735"/>
    <x v="1"/>
    <x v="8"/>
    <n v="36.200000000000003"/>
    <n v="289.60000000000002"/>
    <x v="63"/>
    <d v="2025-03-05T00:00:00"/>
    <x v="1"/>
    <x v="2"/>
    <x v="2"/>
    <x v="0"/>
    <x v="1"/>
    <x v="7"/>
    <x v="9"/>
    <x v="1"/>
  </r>
  <r>
    <x v="1736"/>
    <x v="9"/>
    <x v="8"/>
    <n v="98"/>
    <n v="784"/>
    <x v="63"/>
    <d v="2025-03-09T00:00:00"/>
    <x v="2"/>
    <x v="2"/>
    <x v="0"/>
    <x v="0"/>
    <x v="2"/>
    <x v="5"/>
    <x v="9"/>
    <x v="2"/>
  </r>
  <r>
    <x v="1737"/>
    <x v="1"/>
    <x v="8"/>
    <n v="43.6"/>
    <n v="348.8"/>
    <x v="63"/>
    <d v="2025-03-06T00:00:00"/>
    <x v="2"/>
    <x v="2"/>
    <x v="0"/>
    <x v="0"/>
    <x v="22"/>
    <x v="3"/>
    <x v="9"/>
    <x v="2"/>
  </r>
  <r>
    <x v="1738"/>
    <x v="8"/>
    <x v="7"/>
    <n v="37.799999999999997"/>
    <n v="378"/>
    <x v="63"/>
    <d v="2025-03-05T00:00:00"/>
    <x v="3"/>
    <x v="0"/>
    <x v="0"/>
    <x v="0"/>
    <x v="50"/>
    <x v="7"/>
    <x v="9"/>
    <x v="3"/>
  </r>
  <r>
    <x v="1739"/>
    <x v="17"/>
    <x v="9"/>
    <n v="63.7"/>
    <n v="318.5"/>
    <x v="63"/>
    <d v="2025-03-08T00:00:00"/>
    <x v="2"/>
    <x v="2"/>
    <x v="1"/>
    <x v="0"/>
    <x v="3"/>
    <x v="2"/>
    <x v="9"/>
    <x v="2"/>
  </r>
  <r>
    <x v="1740"/>
    <x v="5"/>
    <x v="11"/>
    <n v="62.9"/>
    <n v="566.1"/>
    <x v="63"/>
    <d v="2025-03-10T00:00:00"/>
    <x v="1"/>
    <x v="3"/>
    <x v="2"/>
    <x v="0"/>
    <x v="3"/>
    <x v="0"/>
    <x v="9"/>
    <x v="1"/>
  </r>
  <r>
    <x v="1741"/>
    <x v="6"/>
    <x v="3"/>
    <n v="61.7"/>
    <n v="431.90000000000003"/>
    <x v="63"/>
    <d v="2025-03-08T00:00:00"/>
    <x v="2"/>
    <x v="2"/>
    <x v="2"/>
    <x v="0"/>
    <x v="3"/>
    <x v="2"/>
    <x v="9"/>
    <x v="2"/>
  </r>
  <r>
    <x v="1742"/>
    <x v="18"/>
    <x v="21"/>
    <n v="36.5"/>
    <n v="511"/>
    <x v="63"/>
    <d v="2025-03-06T00:00:00"/>
    <x v="1"/>
    <x v="0"/>
    <x v="2"/>
    <x v="0"/>
    <x v="3"/>
    <x v="3"/>
    <x v="9"/>
    <x v="1"/>
  </r>
  <r>
    <x v="1743"/>
    <x v="11"/>
    <x v="2"/>
    <n v="98.6"/>
    <n v="295.79999999999995"/>
    <x v="63"/>
    <d v="2025-03-08T00:00:00"/>
    <x v="3"/>
    <x v="0"/>
    <x v="4"/>
    <x v="0"/>
    <x v="3"/>
    <x v="2"/>
    <x v="9"/>
    <x v="3"/>
  </r>
  <r>
    <x v="1744"/>
    <x v="8"/>
    <x v="1"/>
    <n v="19.2"/>
    <n v="38.4"/>
    <x v="63"/>
    <d v="2025-03-15T00:00:00"/>
    <x v="1"/>
    <x v="0"/>
    <x v="0"/>
    <x v="0"/>
    <x v="3"/>
    <x v="14"/>
    <x v="9"/>
    <x v="1"/>
  </r>
  <r>
    <x v="1745"/>
    <x v="3"/>
    <x v="13"/>
    <n v="55.6"/>
    <n v="333.6"/>
    <x v="63"/>
    <d v="2025-03-09T00:00:00"/>
    <x v="2"/>
    <x v="0"/>
    <x v="2"/>
    <x v="0"/>
    <x v="3"/>
    <x v="5"/>
    <x v="9"/>
    <x v="2"/>
  </r>
  <r>
    <x v="1746"/>
    <x v="5"/>
    <x v="13"/>
    <n v="56.4"/>
    <n v="338.4"/>
    <x v="63"/>
    <d v="2025-03-06T00:00:00"/>
    <x v="2"/>
    <x v="1"/>
    <x v="0"/>
    <x v="0"/>
    <x v="3"/>
    <x v="3"/>
    <x v="9"/>
    <x v="2"/>
  </r>
  <r>
    <x v="1747"/>
    <x v="4"/>
    <x v="8"/>
    <n v="43.1"/>
    <n v="344.8"/>
    <x v="63"/>
    <d v="2025-03-09T00:00:00"/>
    <x v="2"/>
    <x v="4"/>
    <x v="0"/>
    <x v="0"/>
    <x v="3"/>
    <x v="5"/>
    <x v="9"/>
    <x v="2"/>
  </r>
  <r>
    <x v="1748"/>
    <x v="1"/>
    <x v="1"/>
    <n v="77.3"/>
    <n v="154.6"/>
    <x v="63"/>
    <d v="2025-03-07T00:00:00"/>
    <x v="1"/>
    <x v="0"/>
    <x v="0"/>
    <x v="0"/>
    <x v="6"/>
    <x v="1"/>
    <x v="9"/>
    <x v="1"/>
  </r>
  <r>
    <x v="1749"/>
    <x v="9"/>
    <x v="8"/>
    <n v="38.299999999999997"/>
    <n v="306.39999999999998"/>
    <x v="63"/>
    <d v="2025-03-06T00:00:00"/>
    <x v="1"/>
    <x v="0"/>
    <x v="0"/>
    <x v="0"/>
    <x v="7"/>
    <x v="3"/>
    <x v="9"/>
    <x v="1"/>
  </r>
  <r>
    <x v="1750"/>
    <x v="0"/>
    <x v="3"/>
    <n v="16.8"/>
    <n v="117.60000000000001"/>
    <x v="63"/>
    <d v="2025-03-08T00:00:00"/>
    <x v="1"/>
    <x v="2"/>
    <x v="1"/>
    <x v="0"/>
    <x v="8"/>
    <x v="2"/>
    <x v="9"/>
    <x v="1"/>
  </r>
  <r>
    <x v="1751"/>
    <x v="2"/>
    <x v="2"/>
    <n v="63.2"/>
    <n v="189.60000000000002"/>
    <x v="63"/>
    <d v="2025-03-06T00:00:00"/>
    <x v="2"/>
    <x v="0"/>
    <x v="2"/>
    <x v="0"/>
    <x v="8"/>
    <x v="3"/>
    <x v="9"/>
    <x v="2"/>
  </r>
  <r>
    <x v="1752"/>
    <x v="14"/>
    <x v="44"/>
    <n v="39.700000000000003"/>
    <n v="913.1"/>
    <x v="63"/>
    <d v="2025-03-06T00:00:00"/>
    <x v="1"/>
    <x v="0"/>
    <x v="0"/>
    <x v="0"/>
    <x v="8"/>
    <x v="3"/>
    <x v="9"/>
    <x v="1"/>
  </r>
  <r>
    <x v="1753"/>
    <x v="10"/>
    <x v="2"/>
    <n v="45.8"/>
    <n v="137.39999999999998"/>
    <x v="63"/>
    <d v="2025-03-06T00:00:00"/>
    <x v="2"/>
    <x v="1"/>
    <x v="2"/>
    <x v="0"/>
    <x v="8"/>
    <x v="3"/>
    <x v="9"/>
    <x v="2"/>
  </r>
  <r>
    <x v="1754"/>
    <x v="0"/>
    <x v="13"/>
    <n v="12.4"/>
    <n v="74.400000000000006"/>
    <x v="63"/>
    <d v="2025-03-08T00:00:00"/>
    <x v="1"/>
    <x v="0"/>
    <x v="0"/>
    <x v="0"/>
    <x v="8"/>
    <x v="2"/>
    <x v="9"/>
    <x v="1"/>
  </r>
  <r>
    <x v="1755"/>
    <x v="14"/>
    <x v="2"/>
    <n v="50.8"/>
    <n v="152.39999999999998"/>
    <x v="64"/>
    <d v="2025-03-06T00:00:00"/>
    <x v="2"/>
    <x v="4"/>
    <x v="0"/>
    <x v="0"/>
    <x v="17"/>
    <x v="7"/>
    <x v="9"/>
    <x v="2"/>
  </r>
  <r>
    <x v="1756"/>
    <x v="9"/>
    <x v="0"/>
    <n v="76"/>
    <n v="76"/>
    <x v="64"/>
    <d v="2025-03-10T00:00:00"/>
    <x v="3"/>
    <x v="2"/>
    <x v="2"/>
    <x v="0"/>
    <x v="17"/>
    <x v="5"/>
    <x v="9"/>
    <x v="3"/>
  </r>
  <r>
    <x v="1757"/>
    <x v="1"/>
    <x v="1"/>
    <n v="51.9"/>
    <n v="103.8"/>
    <x v="64"/>
    <d v="2025-03-07T00:00:00"/>
    <x v="1"/>
    <x v="1"/>
    <x v="2"/>
    <x v="0"/>
    <x v="26"/>
    <x v="3"/>
    <x v="9"/>
    <x v="1"/>
  </r>
  <r>
    <x v="1758"/>
    <x v="2"/>
    <x v="1"/>
    <n v="93.4"/>
    <n v="186.8"/>
    <x v="64"/>
    <d v="2025-03-13T00:00:00"/>
    <x v="1"/>
    <x v="0"/>
    <x v="3"/>
    <x v="0"/>
    <x v="11"/>
    <x v="6"/>
    <x v="9"/>
    <x v="1"/>
  </r>
  <r>
    <x v="1759"/>
    <x v="7"/>
    <x v="13"/>
    <n v="30.8"/>
    <n v="184.8"/>
    <x v="64"/>
    <d v="2025-03-09T00:00:00"/>
    <x v="2"/>
    <x v="1"/>
    <x v="0"/>
    <x v="0"/>
    <x v="11"/>
    <x v="2"/>
    <x v="9"/>
    <x v="2"/>
  </r>
  <r>
    <x v="1760"/>
    <x v="2"/>
    <x v="0"/>
    <n v="143.19999999999999"/>
    <n v="143.19999999999999"/>
    <x v="64"/>
    <d v="2025-03-09T00:00:00"/>
    <x v="1"/>
    <x v="2"/>
    <x v="0"/>
    <x v="0"/>
    <x v="11"/>
    <x v="2"/>
    <x v="9"/>
    <x v="1"/>
  </r>
  <r>
    <x v="1761"/>
    <x v="6"/>
    <x v="5"/>
    <n v="40.4"/>
    <n v="444.4"/>
    <x v="64"/>
    <d v="2025-03-08T00:00:00"/>
    <x v="1"/>
    <x v="2"/>
    <x v="2"/>
    <x v="0"/>
    <x v="18"/>
    <x v="1"/>
    <x v="9"/>
    <x v="1"/>
  </r>
  <r>
    <x v="1762"/>
    <x v="2"/>
    <x v="10"/>
    <n v="131.5"/>
    <n v="2498.5"/>
    <x v="64"/>
    <d v="2025-03-08T00:00:00"/>
    <x v="1"/>
    <x v="1"/>
    <x v="1"/>
    <x v="0"/>
    <x v="18"/>
    <x v="1"/>
    <x v="9"/>
    <x v="1"/>
  </r>
  <r>
    <x v="1763"/>
    <x v="18"/>
    <x v="3"/>
    <n v="61.6"/>
    <n v="431.2"/>
    <x v="64"/>
    <d v="2025-03-07T00:00:00"/>
    <x v="1"/>
    <x v="2"/>
    <x v="0"/>
    <x v="0"/>
    <x v="21"/>
    <x v="3"/>
    <x v="9"/>
    <x v="1"/>
  </r>
  <r>
    <x v="1764"/>
    <x v="9"/>
    <x v="9"/>
    <n v="32.700000000000003"/>
    <n v="163.5"/>
    <x v="64"/>
    <d v="2025-03-08T00:00:00"/>
    <x v="1"/>
    <x v="2"/>
    <x v="0"/>
    <x v="0"/>
    <x v="1"/>
    <x v="1"/>
    <x v="9"/>
    <x v="1"/>
  </r>
  <r>
    <x v="1765"/>
    <x v="0"/>
    <x v="7"/>
    <n v="13.7"/>
    <n v="137"/>
    <x v="64"/>
    <d v="2025-03-07T00:00:00"/>
    <x v="1"/>
    <x v="0"/>
    <x v="2"/>
    <x v="0"/>
    <x v="3"/>
    <x v="3"/>
    <x v="9"/>
    <x v="1"/>
  </r>
  <r>
    <x v="1766"/>
    <x v="0"/>
    <x v="12"/>
    <n v="32.1"/>
    <n v="128.4"/>
    <x v="64"/>
    <d v="2025-03-07T00:00:00"/>
    <x v="1"/>
    <x v="4"/>
    <x v="1"/>
    <x v="0"/>
    <x v="3"/>
    <x v="3"/>
    <x v="9"/>
    <x v="1"/>
  </r>
  <r>
    <x v="1767"/>
    <x v="14"/>
    <x v="8"/>
    <n v="12"/>
    <n v="96"/>
    <x v="64"/>
    <d v="2025-03-07T00:00:00"/>
    <x v="1"/>
    <x v="1"/>
    <x v="0"/>
    <x v="0"/>
    <x v="24"/>
    <x v="3"/>
    <x v="9"/>
    <x v="1"/>
  </r>
  <r>
    <x v="1768"/>
    <x v="12"/>
    <x v="0"/>
    <n v="64.3"/>
    <n v="64.3"/>
    <x v="64"/>
    <d v="2025-03-08T00:00:00"/>
    <x v="2"/>
    <x v="2"/>
    <x v="2"/>
    <x v="0"/>
    <x v="6"/>
    <x v="1"/>
    <x v="9"/>
    <x v="2"/>
  </r>
  <r>
    <x v="1769"/>
    <x v="1"/>
    <x v="2"/>
    <n v="58.2"/>
    <n v="174.60000000000002"/>
    <x v="64"/>
    <d v="2025-03-08T00:00:00"/>
    <x v="2"/>
    <x v="1"/>
    <x v="2"/>
    <x v="0"/>
    <x v="6"/>
    <x v="1"/>
    <x v="9"/>
    <x v="2"/>
  </r>
  <r>
    <x v="1770"/>
    <x v="6"/>
    <x v="12"/>
    <n v="59.2"/>
    <n v="236.8"/>
    <x v="64"/>
    <d v="2025-03-06T00:00:00"/>
    <x v="1"/>
    <x v="1"/>
    <x v="2"/>
    <x v="0"/>
    <x v="6"/>
    <x v="7"/>
    <x v="9"/>
    <x v="1"/>
  </r>
  <r>
    <x v="1771"/>
    <x v="10"/>
    <x v="5"/>
    <n v="35.6"/>
    <n v="391.6"/>
    <x v="64"/>
    <d v="2025-03-13T00:00:00"/>
    <x v="1"/>
    <x v="0"/>
    <x v="2"/>
    <x v="0"/>
    <x v="8"/>
    <x v="6"/>
    <x v="9"/>
    <x v="1"/>
  </r>
  <r>
    <x v="1772"/>
    <x v="16"/>
    <x v="8"/>
    <n v="37"/>
    <n v="296"/>
    <x v="64"/>
    <d v="2025-03-10T00:00:00"/>
    <x v="2"/>
    <x v="2"/>
    <x v="1"/>
    <x v="0"/>
    <x v="8"/>
    <x v="5"/>
    <x v="9"/>
    <x v="2"/>
  </r>
  <r>
    <x v="1773"/>
    <x v="1"/>
    <x v="15"/>
    <n v="80.8"/>
    <n v="1050.3999999999999"/>
    <x v="64"/>
    <d v="2025-03-08T00:00:00"/>
    <x v="2"/>
    <x v="0"/>
    <x v="0"/>
    <x v="0"/>
    <x v="8"/>
    <x v="1"/>
    <x v="9"/>
    <x v="2"/>
  </r>
  <r>
    <x v="1774"/>
    <x v="8"/>
    <x v="1"/>
    <n v="63.2"/>
    <n v="126.4"/>
    <x v="64"/>
    <d v="2025-03-07T00:00:00"/>
    <x v="1"/>
    <x v="0"/>
    <x v="1"/>
    <x v="0"/>
    <x v="8"/>
    <x v="3"/>
    <x v="9"/>
    <x v="1"/>
  </r>
  <r>
    <x v="1775"/>
    <x v="3"/>
    <x v="1"/>
    <n v="40.799999999999997"/>
    <n v="81.599999999999994"/>
    <x v="64"/>
    <d v="2025-03-08T00:00:00"/>
    <x v="1"/>
    <x v="0"/>
    <x v="1"/>
    <x v="0"/>
    <x v="17"/>
    <x v="1"/>
    <x v="9"/>
    <x v="1"/>
  </r>
  <r>
    <x v="1776"/>
    <x v="13"/>
    <x v="13"/>
    <n v="25.7"/>
    <n v="154.19999999999999"/>
    <x v="64"/>
    <d v="2025-03-08T00:00:00"/>
    <x v="1"/>
    <x v="4"/>
    <x v="0"/>
    <x v="0"/>
    <x v="18"/>
    <x v="1"/>
    <x v="9"/>
    <x v="1"/>
  </r>
  <r>
    <x v="1777"/>
    <x v="16"/>
    <x v="1"/>
    <n v="49.9"/>
    <n v="99.8"/>
    <x v="64"/>
    <d v="2025-03-09T00:00:00"/>
    <x v="1"/>
    <x v="0"/>
    <x v="0"/>
    <x v="0"/>
    <x v="20"/>
    <x v="2"/>
    <x v="9"/>
    <x v="1"/>
  </r>
  <r>
    <x v="1778"/>
    <x v="8"/>
    <x v="1"/>
    <n v="20.2"/>
    <n v="40.4"/>
    <x v="64"/>
    <d v="2025-03-08T00:00:00"/>
    <x v="2"/>
    <x v="3"/>
    <x v="0"/>
    <x v="0"/>
    <x v="21"/>
    <x v="1"/>
    <x v="9"/>
    <x v="2"/>
  </r>
  <r>
    <x v="1779"/>
    <x v="6"/>
    <x v="2"/>
    <n v="48.4"/>
    <n v="145.19999999999999"/>
    <x v="64"/>
    <d v="2025-03-11T00:00:00"/>
    <x v="2"/>
    <x v="0"/>
    <x v="2"/>
    <x v="0"/>
    <x v="21"/>
    <x v="0"/>
    <x v="9"/>
    <x v="2"/>
  </r>
  <r>
    <x v="1780"/>
    <x v="6"/>
    <x v="1"/>
    <n v="81"/>
    <n v="162"/>
    <x v="64"/>
    <d v="2025-03-07T00:00:00"/>
    <x v="2"/>
    <x v="1"/>
    <x v="2"/>
    <x v="0"/>
    <x v="21"/>
    <x v="3"/>
    <x v="9"/>
    <x v="2"/>
  </r>
  <r>
    <x v="1781"/>
    <x v="8"/>
    <x v="13"/>
    <n v="19.899999999999999"/>
    <n v="119.39999999999999"/>
    <x v="64"/>
    <d v="2025-03-09T00:00:00"/>
    <x v="2"/>
    <x v="0"/>
    <x v="1"/>
    <x v="0"/>
    <x v="22"/>
    <x v="2"/>
    <x v="9"/>
    <x v="2"/>
  </r>
  <r>
    <x v="1782"/>
    <x v="4"/>
    <x v="12"/>
    <n v="32.200000000000003"/>
    <n v="128.80000000000001"/>
    <x v="64"/>
    <d v="2025-03-16T00:00:00"/>
    <x v="1"/>
    <x v="0"/>
    <x v="0"/>
    <x v="0"/>
    <x v="22"/>
    <x v="14"/>
    <x v="9"/>
    <x v="1"/>
  </r>
  <r>
    <x v="1783"/>
    <x v="5"/>
    <x v="2"/>
    <n v="76.8"/>
    <n v="230.39999999999998"/>
    <x v="64"/>
    <d v="2025-03-07T00:00:00"/>
    <x v="2"/>
    <x v="0"/>
    <x v="1"/>
    <x v="0"/>
    <x v="3"/>
    <x v="3"/>
    <x v="9"/>
    <x v="2"/>
  </r>
  <r>
    <x v="1784"/>
    <x v="6"/>
    <x v="1"/>
    <n v="41.9"/>
    <n v="83.8"/>
    <x v="64"/>
    <d v="2025-03-08T00:00:00"/>
    <x v="2"/>
    <x v="0"/>
    <x v="0"/>
    <x v="0"/>
    <x v="3"/>
    <x v="1"/>
    <x v="9"/>
    <x v="2"/>
  </r>
  <r>
    <x v="1785"/>
    <x v="0"/>
    <x v="3"/>
    <n v="34"/>
    <n v="238"/>
    <x v="64"/>
    <d v="2025-03-08T00:00:00"/>
    <x v="2"/>
    <x v="1"/>
    <x v="2"/>
    <x v="0"/>
    <x v="3"/>
    <x v="1"/>
    <x v="9"/>
    <x v="2"/>
  </r>
  <r>
    <x v="1786"/>
    <x v="7"/>
    <x v="3"/>
    <n v="61.3"/>
    <n v="429.09999999999997"/>
    <x v="64"/>
    <d v="2025-03-06T00:00:00"/>
    <x v="2"/>
    <x v="4"/>
    <x v="2"/>
    <x v="0"/>
    <x v="3"/>
    <x v="7"/>
    <x v="9"/>
    <x v="2"/>
  </r>
  <r>
    <x v="1787"/>
    <x v="9"/>
    <x v="0"/>
    <n v="54.7"/>
    <n v="54.7"/>
    <x v="65"/>
    <d v="2025-03-08T00:00:00"/>
    <x v="1"/>
    <x v="0"/>
    <x v="1"/>
    <x v="0"/>
    <x v="3"/>
    <x v="3"/>
    <x v="9"/>
    <x v="1"/>
  </r>
  <r>
    <x v="1788"/>
    <x v="6"/>
    <x v="7"/>
    <n v="84.7"/>
    <n v="847"/>
    <x v="65"/>
    <d v="2025-03-11T00:00:00"/>
    <x v="2"/>
    <x v="0"/>
    <x v="0"/>
    <x v="0"/>
    <x v="3"/>
    <x v="5"/>
    <x v="9"/>
    <x v="2"/>
  </r>
  <r>
    <x v="1789"/>
    <x v="1"/>
    <x v="2"/>
    <n v="93.4"/>
    <n v="280.20000000000005"/>
    <x v="65"/>
    <d v="2025-03-11T00:00:00"/>
    <x v="2"/>
    <x v="3"/>
    <x v="0"/>
    <x v="0"/>
    <x v="3"/>
    <x v="5"/>
    <x v="9"/>
    <x v="2"/>
  </r>
  <r>
    <x v="1790"/>
    <x v="8"/>
    <x v="9"/>
    <n v="27"/>
    <n v="135"/>
    <x v="65"/>
    <d v="2025-03-10T00:00:00"/>
    <x v="1"/>
    <x v="0"/>
    <x v="1"/>
    <x v="0"/>
    <x v="3"/>
    <x v="2"/>
    <x v="9"/>
    <x v="1"/>
  </r>
  <r>
    <x v="1791"/>
    <x v="0"/>
    <x v="12"/>
    <n v="10.9"/>
    <n v="43.6"/>
    <x v="65"/>
    <d v="2025-03-08T00:00:00"/>
    <x v="1"/>
    <x v="2"/>
    <x v="0"/>
    <x v="0"/>
    <x v="3"/>
    <x v="3"/>
    <x v="9"/>
    <x v="1"/>
  </r>
  <r>
    <x v="1792"/>
    <x v="16"/>
    <x v="2"/>
    <n v="48"/>
    <n v="144"/>
    <x v="65"/>
    <d v="2025-03-12T00:00:00"/>
    <x v="2"/>
    <x v="4"/>
    <x v="0"/>
    <x v="0"/>
    <x v="3"/>
    <x v="0"/>
    <x v="9"/>
    <x v="2"/>
  </r>
  <r>
    <x v="1793"/>
    <x v="5"/>
    <x v="1"/>
    <n v="67.900000000000006"/>
    <n v="135.80000000000001"/>
    <x v="65"/>
    <d v="2025-03-08T00:00:00"/>
    <x v="1"/>
    <x v="0"/>
    <x v="2"/>
    <x v="0"/>
    <x v="23"/>
    <x v="3"/>
    <x v="9"/>
    <x v="1"/>
  </r>
  <r>
    <x v="1794"/>
    <x v="4"/>
    <x v="2"/>
    <n v="36"/>
    <n v="108"/>
    <x v="65"/>
    <d v="2025-03-08T00:00:00"/>
    <x v="1"/>
    <x v="1"/>
    <x v="0"/>
    <x v="0"/>
    <x v="6"/>
    <x v="3"/>
    <x v="9"/>
    <x v="1"/>
  </r>
  <r>
    <x v="1795"/>
    <x v="2"/>
    <x v="0"/>
    <n v="128.80000000000001"/>
    <n v="128.80000000000001"/>
    <x v="65"/>
    <d v="2025-03-08T00:00:00"/>
    <x v="1"/>
    <x v="4"/>
    <x v="2"/>
    <x v="0"/>
    <x v="6"/>
    <x v="3"/>
    <x v="9"/>
    <x v="1"/>
  </r>
  <r>
    <x v="1796"/>
    <x v="18"/>
    <x v="3"/>
    <n v="33.299999999999997"/>
    <n v="233.09999999999997"/>
    <x v="65"/>
    <d v="2025-03-08T00:00:00"/>
    <x v="2"/>
    <x v="3"/>
    <x v="0"/>
    <x v="0"/>
    <x v="8"/>
    <x v="3"/>
    <x v="9"/>
    <x v="2"/>
  </r>
  <r>
    <x v="1797"/>
    <x v="10"/>
    <x v="2"/>
    <n v="37.799999999999997"/>
    <n v="113.39999999999999"/>
    <x v="65"/>
    <d v="2025-03-09T00:00:00"/>
    <x v="1"/>
    <x v="1"/>
    <x v="2"/>
    <x v="0"/>
    <x v="8"/>
    <x v="1"/>
    <x v="9"/>
    <x v="1"/>
  </r>
  <r>
    <x v="1798"/>
    <x v="5"/>
    <x v="2"/>
    <n v="26"/>
    <n v="78"/>
    <x v="65"/>
    <d v="2025-03-12T00:00:00"/>
    <x v="2"/>
    <x v="0"/>
    <x v="0"/>
    <x v="0"/>
    <x v="8"/>
    <x v="0"/>
    <x v="9"/>
    <x v="2"/>
  </r>
  <r>
    <x v="1799"/>
    <x v="8"/>
    <x v="10"/>
    <n v="28.3"/>
    <n v="537.70000000000005"/>
    <x v="65"/>
    <d v="2025-03-08T00:00:00"/>
    <x v="2"/>
    <x v="3"/>
    <x v="4"/>
    <x v="0"/>
    <x v="8"/>
    <x v="3"/>
    <x v="9"/>
    <x v="2"/>
  </r>
  <r>
    <x v="1800"/>
    <x v="8"/>
    <x v="12"/>
    <n v="31.3"/>
    <n v="125.2"/>
    <x v="65"/>
    <d v="2025-03-07T00:00:00"/>
    <x v="2"/>
    <x v="0"/>
    <x v="0"/>
    <x v="0"/>
    <x v="8"/>
    <x v="7"/>
    <x v="9"/>
    <x v="2"/>
  </r>
  <r>
    <x v="1801"/>
    <x v="7"/>
    <x v="2"/>
    <n v="69.5"/>
    <n v="208.5"/>
    <x v="65"/>
    <d v="2025-03-08T00:00:00"/>
    <x v="2"/>
    <x v="3"/>
    <x v="2"/>
    <x v="0"/>
    <x v="8"/>
    <x v="3"/>
    <x v="9"/>
    <x v="2"/>
  </r>
  <r>
    <x v="1802"/>
    <x v="0"/>
    <x v="1"/>
    <n v="16.7"/>
    <n v="33.4"/>
    <x v="65"/>
    <d v="2025-03-08T00:00:00"/>
    <x v="2"/>
    <x v="3"/>
    <x v="1"/>
    <x v="0"/>
    <x v="8"/>
    <x v="3"/>
    <x v="9"/>
    <x v="2"/>
  </r>
  <r>
    <x v="1803"/>
    <x v="9"/>
    <x v="1"/>
    <n v="62.6"/>
    <n v="125.2"/>
    <x v="65"/>
    <d v="2025-03-08T00:00:00"/>
    <x v="1"/>
    <x v="2"/>
    <x v="2"/>
    <x v="0"/>
    <x v="9"/>
    <x v="3"/>
    <x v="9"/>
    <x v="1"/>
  </r>
  <r>
    <x v="1804"/>
    <x v="7"/>
    <x v="0"/>
    <n v="81.2"/>
    <n v="81.2"/>
    <x v="65"/>
    <d v="2025-03-13T00:00:00"/>
    <x v="1"/>
    <x v="4"/>
    <x v="4"/>
    <x v="0"/>
    <x v="9"/>
    <x v="4"/>
    <x v="9"/>
    <x v="1"/>
  </r>
  <r>
    <x v="1805"/>
    <x v="0"/>
    <x v="7"/>
    <n v="12.7"/>
    <n v="127"/>
    <x v="65"/>
    <d v="2025-03-08T00:00:00"/>
    <x v="2"/>
    <x v="0"/>
    <x v="2"/>
    <x v="0"/>
    <x v="9"/>
    <x v="3"/>
    <x v="9"/>
    <x v="2"/>
  </r>
  <r>
    <x v="1806"/>
    <x v="7"/>
    <x v="12"/>
    <n v="77.7"/>
    <n v="310.8"/>
    <x v="66"/>
    <d v="2025-03-12T00:00:00"/>
    <x v="1"/>
    <x v="1"/>
    <x v="0"/>
    <x v="0"/>
    <x v="11"/>
    <x v="5"/>
    <x v="9"/>
    <x v="1"/>
  </r>
  <r>
    <x v="1807"/>
    <x v="5"/>
    <x v="1"/>
    <n v="37.299999999999997"/>
    <n v="74.599999999999994"/>
    <x v="66"/>
    <d v="2025-03-09T00:00:00"/>
    <x v="2"/>
    <x v="0"/>
    <x v="2"/>
    <x v="0"/>
    <x v="18"/>
    <x v="3"/>
    <x v="9"/>
    <x v="2"/>
  </r>
  <r>
    <x v="1808"/>
    <x v="10"/>
    <x v="12"/>
    <n v="35.6"/>
    <n v="142.4"/>
    <x v="66"/>
    <d v="2025-03-10T00:00:00"/>
    <x v="2"/>
    <x v="1"/>
    <x v="1"/>
    <x v="0"/>
    <x v="19"/>
    <x v="1"/>
    <x v="9"/>
    <x v="2"/>
  </r>
  <r>
    <x v="1809"/>
    <x v="2"/>
    <x v="2"/>
    <n v="95"/>
    <n v="285"/>
    <x v="66"/>
    <d v="2025-03-12T00:00:00"/>
    <x v="2"/>
    <x v="2"/>
    <x v="2"/>
    <x v="0"/>
    <x v="56"/>
    <x v="5"/>
    <x v="9"/>
    <x v="2"/>
  </r>
  <r>
    <x v="1810"/>
    <x v="2"/>
    <x v="12"/>
    <n v="172.1"/>
    <n v="688.4"/>
    <x v="66"/>
    <d v="2025-03-12T00:00:00"/>
    <x v="3"/>
    <x v="2"/>
    <x v="2"/>
    <x v="0"/>
    <x v="21"/>
    <x v="5"/>
    <x v="9"/>
    <x v="3"/>
  </r>
  <r>
    <x v="1811"/>
    <x v="2"/>
    <x v="1"/>
    <n v="233"/>
    <n v="466"/>
    <x v="66"/>
    <d v="2025-03-11T00:00:00"/>
    <x v="2"/>
    <x v="1"/>
    <x v="0"/>
    <x v="0"/>
    <x v="21"/>
    <x v="2"/>
    <x v="9"/>
    <x v="2"/>
  </r>
  <r>
    <x v="1812"/>
    <x v="0"/>
    <x v="0"/>
    <n v="43.5"/>
    <n v="43.5"/>
    <x v="66"/>
    <d v="2025-03-09T00:00:00"/>
    <x v="2"/>
    <x v="2"/>
    <x v="2"/>
    <x v="0"/>
    <x v="21"/>
    <x v="3"/>
    <x v="9"/>
    <x v="2"/>
  </r>
  <r>
    <x v="1813"/>
    <x v="9"/>
    <x v="1"/>
    <n v="47.8"/>
    <n v="95.6"/>
    <x v="66"/>
    <d v="2025-03-11T00:00:00"/>
    <x v="1"/>
    <x v="4"/>
    <x v="2"/>
    <x v="0"/>
    <x v="1"/>
    <x v="2"/>
    <x v="9"/>
    <x v="1"/>
  </r>
  <r>
    <x v="1814"/>
    <x v="12"/>
    <x v="1"/>
    <n v="65.8"/>
    <n v="131.6"/>
    <x v="66"/>
    <d v="2025-03-10T00:00:00"/>
    <x v="2"/>
    <x v="0"/>
    <x v="3"/>
    <x v="0"/>
    <x v="33"/>
    <x v="1"/>
    <x v="9"/>
    <x v="2"/>
  </r>
  <r>
    <x v="1815"/>
    <x v="15"/>
    <x v="5"/>
    <n v="38.700000000000003"/>
    <n v="425.70000000000005"/>
    <x v="66"/>
    <d v="2025-03-08T00:00:00"/>
    <x v="1"/>
    <x v="0"/>
    <x v="0"/>
    <x v="0"/>
    <x v="22"/>
    <x v="7"/>
    <x v="9"/>
    <x v="1"/>
  </r>
  <r>
    <x v="1816"/>
    <x v="3"/>
    <x v="12"/>
    <n v="55.7"/>
    <n v="222.8"/>
    <x v="66"/>
    <d v="2025-03-10T00:00:00"/>
    <x v="3"/>
    <x v="0"/>
    <x v="1"/>
    <x v="0"/>
    <x v="22"/>
    <x v="1"/>
    <x v="9"/>
    <x v="3"/>
  </r>
  <r>
    <x v="1817"/>
    <x v="7"/>
    <x v="1"/>
    <n v="102.4"/>
    <n v="204.8"/>
    <x v="66"/>
    <d v="2025-03-08T00:00:00"/>
    <x v="2"/>
    <x v="1"/>
    <x v="0"/>
    <x v="0"/>
    <x v="3"/>
    <x v="7"/>
    <x v="9"/>
    <x v="2"/>
  </r>
  <r>
    <x v="1818"/>
    <x v="1"/>
    <x v="0"/>
    <n v="92"/>
    <n v="92"/>
    <x v="66"/>
    <d v="2025-03-12T00:00:00"/>
    <x v="0"/>
    <x v="2"/>
    <x v="0"/>
    <x v="0"/>
    <x v="3"/>
    <x v="5"/>
    <x v="9"/>
    <x v="0"/>
  </r>
  <r>
    <x v="1819"/>
    <x v="6"/>
    <x v="12"/>
    <n v="75.900000000000006"/>
    <n v="303.60000000000002"/>
    <x v="66"/>
    <d v="2025-03-10T00:00:00"/>
    <x v="2"/>
    <x v="1"/>
    <x v="0"/>
    <x v="0"/>
    <x v="3"/>
    <x v="1"/>
    <x v="9"/>
    <x v="2"/>
  </r>
  <r>
    <x v="1820"/>
    <x v="1"/>
    <x v="12"/>
    <n v="36.200000000000003"/>
    <n v="144.80000000000001"/>
    <x v="66"/>
    <d v="2025-03-09T00:00:00"/>
    <x v="2"/>
    <x v="1"/>
    <x v="0"/>
    <x v="0"/>
    <x v="3"/>
    <x v="3"/>
    <x v="9"/>
    <x v="2"/>
  </r>
  <r>
    <x v="1821"/>
    <x v="6"/>
    <x v="45"/>
    <n v="83.5"/>
    <n v="7264.5"/>
    <x v="66"/>
    <d v="2025-03-10T00:00:00"/>
    <x v="0"/>
    <x v="3"/>
    <x v="0"/>
    <x v="0"/>
    <x v="3"/>
    <x v="1"/>
    <x v="9"/>
    <x v="0"/>
  </r>
  <r>
    <x v="1822"/>
    <x v="19"/>
    <x v="4"/>
    <n v="52.4"/>
    <n v="628.79999999999995"/>
    <x v="66"/>
    <d v="2025-03-08T00:00:00"/>
    <x v="1"/>
    <x v="2"/>
    <x v="0"/>
    <x v="0"/>
    <x v="3"/>
    <x v="7"/>
    <x v="9"/>
    <x v="1"/>
  </r>
  <r>
    <x v="1823"/>
    <x v="12"/>
    <x v="2"/>
    <n v="69.5"/>
    <n v="208.5"/>
    <x v="66"/>
    <d v="2025-03-09T00:00:00"/>
    <x v="3"/>
    <x v="4"/>
    <x v="0"/>
    <x v="0"/>
    <x v="3"/>
    <x v="3"/>
    <x v="9"/>
    <x v="3"/>
  </r>
  <r>
    <x v="1824"/>
    <x v="0"/>
    <x v="0"/>
    <n v="15.5"/>
    <n v="15.5"/>
    <x v="66"/>
    <d v="2025-03-10T00:00:00"/>
    <x v="1"/>
    <x v="0"/>
    <x v="0"/>
    <x v="0"/>
    <x v="3"/>
    <x v="1"/>
    <x v="9"/>
    <x v="1"/>
  </r>
  <r>
    <x v="1825"/>
    <x v="4"/>
    <x v="12"/>
    <n v="35.200000000000003"/>
    <n v="140.80000000000001"/>
    <x v="66"/>
    <d v="2025-03-09T00:00:00"/>
    <x v="2"/>
    <x v="2"/>
    <x v="2"/>
    <x v="0"/>
    <x v="3"/>
    <x v="3"/>
    <x v="9"/>
    <x v="2"/>
  </r>
  <r>
    <x v="1826"/>
    <x v="8"/>
    <x v="13"/>
    <n v="34.6"/>
    <n v="207.60000000000002"/>
    <x v="66"/>
    <d v="2025-03-09T00:00:00"/>
    <x v="0"/>
    <x v="0"/>
    <x v="1"/>
    <x v="0"/>
    <x v="3"/>
    <x v="3"/>
    <x v="9"/>
    <x v="0"/>
  </r>
  <r>
    <x v="1827"/>
    <x v="4"/>
    <x v="0"/>
    <n v="21.3"/>
    <n v="21.3"/>
    <x v="67"/>
    <d v="2025-03-10T00:00:00"/>
    <x v="1"/>
    <x v="2"/>
    <x v="1"/>
    <x v="0"/>
    <x v="3"/>
    <x v="3"/>
    <x v="10"/>
    <x v="1"/>
  </r>
  <r>
    <x v="1828"/>
    <x v="6"/>
    <x v="1"/>
    <n v="136.5"/>
    <n v="273"/>
    <x v="67"/>
    <d v="2025-03-15T00:00:00"/>
    <x v="2"/>
    <x v="0"/>
    <x v="0"/>
    <x v="0"/>
    <x v="37"/>
    <x v="4"/>
    <x v="10"/>
    <x v="2"/>
  </r>
  <r>
    <x v="1829"/>
    <x v="9"/>
    <x v="3"/>
    <n v="30.7"/>
    <n v="214.9"/>
    <x v="67"/>
    <d v="2025-03-10T00:00:00"/>
    <x v="1"/>
    <x v="2"/>
    <x v="2"/>
    <x v="0"/>
    <x v="25"/>
    <x v="3"/>
    <x v="10"/>
    <x v="1"/>
  </r>
  <r>
    <x v="1830"/>
    <x v="1"/>
    <x v="1"/>
    <n v="61.6"/>
    <n v="123.2"/>
    <x v="67"/>
    <d v="2025-03-10T00:00:00"/>
    <x v="2"/>
    <x v="2"/>
    <x v="2"/>
    <x v="0"/>
    <x v="23"/>
    <x v="3"/>
    <x v="10"/>
    <x v="2"/>
  </r>
  <r>
    <x v="1831"/>
    <x v="6"/>
    <x v="12"/>
    <n v="54.3"/>
    <n v="217.2"/>
    <x v="67"/>
    <d v="2025-03-11T00:00:00"/>
    <x v="0"/>
    <x v="4"/>
    <x v="0"/>
    <x v="0"/>
    <x v="7"/>
    <x v="1"/>
    <x v="10"/>
    <x v="0"/>
  </r>
  <r>
    <x v="1832"/>
    <x v="1"/>
    <x v="1"/>
    <n v="44.1"/>
    <n v="88.2"/>
    <x v="67"/>
    <d v="2025-03-21T00:00:00"/>
    <x v="2"/>
    <x v="0"/>
    <x v="2"/>
    <x v="0"/>
    <x v="8"/>
    <x v="13"/>
    <x v="10"/>
    <x v="2"/>
  </r>
  <r>
    <x v="1833"/>
    <x v="8"/>
    <x v="12"/>
    <n v="43.5"/>
    <n v="174"/>
    <x v="67"/>
    <d v="2025-03-15T00:00:00"/>
    <x v="1"/>
    <x v="3"/>
    <x v="0"/>
    <x v="0"/>
    <x v="8"/>
    <x v="4"/>
    <x v="10"/>
    <x v="1"/>
  </r>
  <r>
    <x v="1834"/>
    <x v="8"/>
    <x v="2"/>
    <n v="48.2"/>
    <n v="144.60000000000002"/>
    <x v="67"/>
    <d v="2025-03-13T00:00:00"/>
    <x v="1"/>
    <x v="3"/>
    <x v="1"/>
    <x v="0"/>
    <x v="8"/>
    <x v="5"/>
    <x v="10"/>
    <x v="1"/>
  </r>
  <r>
    <x v="1835"/>
    <x v="19"/>
    <x v="0"/>
    <n v="13.7"/>
    <n v="13.7"/>
    <x v="67"/>
    <d v="2025-03-10T00:00:00"/>
    <x v="2"/>
    <x v="2"/>
    <x v="2"/>
    <x v="0"/>
    <x v="8"/>
    <x v="3"/>
    <x v="10"/>
    <x v="2"/>
  </r>
  <r>
    <x v="1836"/>
    <x v="2"/>
    <x v="1"/>
    <n v="110.5"/>
    <n v="221"/>
    <x v="67"/>
    <d v="2025-03-10T00:00:00"/>
    <x v="2"/>
    <x v="0"/>
    <x v="1"/>
    <x v="0"/>
    <x v="8"/>
    <x v="3"/>
    <x v="10"/>
    <x v="2"/>
  </r>
  <r>
    <x v="1837"/>
    <x v="8"/>
    <x v="2"/>
    <n v="26"/>
    <n v="78"/>
    <x v="67"/>
    <d v="2025-03-14T00:00:00"/>
    <x v="2"/>
    <x v="1"/>
    <x v="1"/>
    <x v="0"/>
    <x v="8"/>
    <x v="0"/>
    <x v="10"/>
    <x v="2"/>
  </r>
  <r>
    <x v="1838"/>
    <x v="2"/>
    <x v="7"/>
    <n v="140.69999999999999"/>
    <n v="1407"/>
    <x v="67"/>
    <d v="2025-03-15T00:00:00"/>
    <x v="1"/>
    <x v="3"/>
    <x v="1"/>
    <x v="0"/>
    <x v="8"/>
    <x v="4"/>
    <x v="10"/>
    <x v="1"/>
  </r>
  <r>
    <x v="1839"/>
    <x v="17"/>
    <x v="1"/>
    <n v="41.7"/>
    <n v="83.4"/>
    <x v="67"/>
    <d v="2025-03-17T00:00:00"/>
    <x v="2"/>
    <x v="0"/>
    <x v="4"/>
    <x v="0"/>
    <x v="8"/>
    <x v="9"/>
    <x v="10"/>
    <x v="2"/>
  </r>
  <r>
    <x v="1840"/>
    <x v="2"/>
    <x v="1"/>
    <n v="135.1"/>
    <n v="270.2"/>
    <x v="67"/>
    <d v="2025-03-10T00:00:00"/>
    <x v="1"/>
    <x v="0"/>
    <x v="2"/>
    <x v="0"/>
    <x v="17"/>
    <x v="3"/>
    <x v="10"/>
    <x v="1"/>
  </r>
  <r>
    <x v="1841"/>
    <x v="12"/>
    <x v="32"/>
    <n v="95.5"/>
    <n v="2101"/>
    <x v="67"/>
    <d v="2025-03-10T00:00:00"/>
    <x v="2"/>
    <x v="4"/>
    <x v="4"/>
    <x v="0"/>
    <x v="26"/>
    <x v="3"/>
    <x v="10"/>
    <x v="2"/>
  </r>
  <r>
    <x v="1842"/>
    <x v="15"/>
    <x v="0"/>
    <n v="25.5"/>
    <n v="25.5"/>
    <x v="67"/>
    <d v="2025-03-12T00:00:00"/>
    <x v="0"/>
    <x v="2"/>
    <x v="2"/>
    <x v="0"/>
    <x v="11"/>
    <x v="2"/>
    <x v="10"/>
    <x v="0"/>
  </r>
  <r>
    <x v="1843"/>
    <x v="1"/>
    <x v="0"/>
    <n v="42.6"/>
    <n v="42.6"/>
    <x v="67"/>
    <d v="2025-03-13T00:00:00"/>
    <x v="2"/>
    <x v="0"/>
    <x v="0"/>
    <x v="0"/>
    <x v="11"/>
    <x v="5"/>
    <x v="10"/>
    <x v="2"/>
  </r>
  <r>
    <x v="1844"/>
    <x v="8"/>
    <x v="20"/>
    <n v="32.4"/>
    <n v="486"/>
    <x v="67"/>
    <d v="2025-03-10T00:00:00"/>
    <x v="1"/>
    <x v="1"/>
    <x v="1"/>
    <x v="0"/>
    <x v="11"/>
    <x v="3"/>
    <x v="10"/>
    <x v="1"/>
  </r>
  <r>
    <x v="1845"/>
    <x v="4"/>
    <x v="12"/>
    <n v="20.2"/>
    <n v="80.8"/>
    <x v="67"/>
    <d v="2025-03-10T00:00:00"/>
    <x v="3"/>
    <x v="2"/>
    <x v="0"/>
    <x v="0"/>
    <x v="11"/>
    <x v="3"/>
    <x v="10"/>
    <x v="3"/>
  </r>
  <r>
    <x v="1846"/>
    <x v="16"/>
    <x v="2"/>
    <n v="52.5"/>
    <n v="157.5"/>
    <x v="67"/>
    <d v="2025-03-14T00:00:00"/>
    <x v="2"/>
    <x v="4"/>
    <x v="0"/>
    <x v="0"/>
    <x v="18"/>
    <x v="0"/>
    <x v="10"/>
    <x v="2"/>
  </r>
  <r>
    <x v="1847"/>
    <x v="2"/>
    <x v="9"/>
    <n v="59.9"/>
    <n v="299.5"/>
    <x v="67"/>
    <d v="2025-03-11T00:00:00"/>
    <x v="2"/>
    <x v="2"/>
    <x v="0"/>
    <x v="0"/>
    <x v="19"/>
    <x v="1"/>
    <x v="10"/>
    <x v="2"/>
  </r>
  <r>
    <x v="1848"/>
    <x v="4"/>
    <x v="1"/>
    <n v="53.2"/>
    <n v="106.4"/>
    <x v="67"/>
    <d v="2025-03-10T00:00:00"/>
    <x v="2"/>
    <x v="1"/>
    <x v="3"/>
    <x v="0"/>
    <x v="20"/>
    <x v="3"/>
    <x v="10"/>
    <x v="2"/>
  </r>
  <r>
    <x v="1849"/>
    <x v="2"/>
    <x v="1"/>
    <n v="60"/>
    <n v="120"/>
    <x v="67"/>
    <d v="2025-03-15T00:00:00"/>
    <x v="1"/>
    <x v="1"/>
    <x v="2"/>
    <x v="0"/>
    <x v="20"/>
    <x v="4"/>
    <x v="10"/>
    <x v="1"/>
  </r>
  <r>
    <x v="1850"/>
    <x v="8"/>
    <x v="2"/>
    <n v="29.3"/>
    <n v="87.9"/>
    <x v="67"/>
    <d v="2025-03-10T00:00:00"/>
    <x v="2"/>
    <x v="4"/>
    <x v="0"/>
    <x v="0"/>
    <x v="13"/>
    <x v="3"/>
    <x v="10"/>
    <x v="2"/>
  </r>
  <r>
    <x v="1851"/>
    <x v="12"/>
    <x v="1"/>
    <n v="55.4"/>
    <n v="110.8"/>
    <x v="67"/>
    <d v="2025-03-10T00:00:00"/>
    <x v="2"/>
    <x v="0"/>
    <x v="2"/>
    <x v="0"/>
    <x v="21"/>
    <x v="3"/>
    <x v="10"/>
    <x v="2"/>
  </r>
  <r>
    <x v="1852"/>
    <x v="0"/>
    <x v="9"/>
    <n v="20.100000000000001"/>
    <n v="100.5"/>
    <x v="67"/>
    <d v="2025-03-11T00:00:00"/>
    <x v="2"/>
    <x v="1"/>
    <x v="2"/>
    <x v="0"/>
    <x v="21"/>
    <x v="1"/>
    <x v="10"/>
    <x v="2"/>
  </r>
  <r>
    <x v="1853"/>
    <x v="14"/>
    <x v="9"/>
    <n v="24"/>
    <n v="120"/>
    <x v="67"/>
    <d v="2025-03-12T00:00:00"/>
    <x v="1"/>
    <x v="2"/>
    <x v="0"/>
    <x v="0"/>
    <x v="1"/>
    <x v="2"/>
    <x v="10"/>
    <x v="1"/>
  </r>
  <r>
    <x v="1854"/>
    <x v="8"/>
    <x v="1"/>
    <n v="30.6"/>
    <n v="61.2"/>
    <x v="68"/>
    <d v="2025-03-12T00:00:00"/>
    <x v="2"/>
    <x v="0"/>
    <x v="0"/>
    <x v="0"/>
    <x v="1"/>
    <x v="1"/>
    <x v="10"/>
    <x v="2"/>
  </r>
  <r>
    <x v="1855"/>
    <x v="10"/>
    <x v="9"/>
    <n v="33"/>
    <n v="165"/>
    <x v="68"/>
    <d v="2025-03-11T00:00:00"/>
    <x v="1"/>
    <x v="1"/>
    <x v="1"/>
    <x v="0"/>
    <x v="27"/>
    <x v="3"/>
    <x v="10"/>
    <x v="1"/>
  </r>
  <r>
    <x v="1856"/>
    <x v="17"/>
    <x v="11"/>
    <n v="42.1"/>
    <n v="378.90000000000003"/>
    <x v="68"/>
    <d v="2025-03-16T00:00:00"/>
    <x v="2"/>
    <x v="2"/>
    <x v="0"/>
    <x v="0"/>
    <x v="44"/>
    <x v="4"/>
    <x v="10"/>
    <x v="2"/>
  </r>
  <r>
    <x v="1857"/>
    <x v="6"/>
    <x v="3"/>
    <n v="77.7"/>
    <n v="543.9"/>
    <x v="68"/>
    <d v="2025-03-15T00:00:00"/>
    <x v="2"/>
    <x v="1"/>
    <x v="2"/>
    <x v="0"/>
    <x v="50"/>
    <x v="0"/>
    <x v="10"/>
    <x v="2"/>
  </r>
  <r>
    <x v="1858"/>
    <x v="17"/>
    <x v="13"/>
    <n v="22.7"/>
    <n v="136.19999999999999"/>
    <x v="68"/>
    <d v="2025-03-13T00:00:00"/>
    <x v="2"/>
    <x v="2"/>
    <x v="0"/>
    <x v="0"/>
    <x v="3"/>
    <x v="2"/>
    <x v="10"/>
    <x v="2"/>
  </r>
  <r>
    <x v="1859"/>
    <x v="2"/>
    <x v="1"/>
    <n v="133"/>
    <n v="266"/>
    <x v="68"/>
    <d v="2025-03-10T00:00:00"/>
    <x v="1"/>
    <x v="2"/>
    <x v="2"/>
    <x v="0"/>
    <x v="3"/>
    <x v="7"/>
    <x v="10"/>
    <x v="1"/>
  </r>
  <r>
    <x v="1860"/>
    <x v="0"/>
    <x v="1"/>
    <n v="23.3"/>
    <n v="46.6"/>
    <x v="68"/>
    <d v="2025-03-11T00:00:00"/>
    <x v="1"/>
    <x v="1"/>
    <x v="2"/>
    <x v="0"/>
    <x v="3"/>
    <x v="3"/>
    <x v="10"/>
    <x v="1"/>
  </r>
  <r>
    <x v="1861"/>
    <x v="8"/>
    <x v="2"/>
    <n v="20.7"/>
    <n v="62.099999999999994"/>
    <x v="68"/>
    <d v="2025-03-12T00:00:00"/>
    <x v="3"/>
    <x v="0"/>
    <x v="2"/>
    <x v="0"/>
    <x v="3"/>
    <x v="1"/>
    <x v="10"/>
    <x v="3"/>
  </r>
  <r>
    <x v="1862"/>
    <x v="12"/>
    <x v="1"/>
    <n v="47"/>
    <n v="94"/>
    <x v="68"/>
    <d v="2025-03-11T00:00:00"/>
    <x v="1"/>
    <x v="1"/>
    <x v="2"/>
    <x v="0"/>
    <x v="3"/>
    <x v="3"/>
    <x v="10"/>
    <x v="1"/>
  </r>
  <r>
    <x v="1863"/>
    <x v="12"/>
    <x v="2"/>
    <n v="38.200000000000003"/>
    <n v="114.60000000000001"/>
    <x v="68"/>
    <d v="2025-03-12T00:00:00"/>
    <x v="2"/>
    <x v="2"/>
    <x v="4"/>
    <x v="0"/>
    <x v="3"/>
    <x v="1"/>
    <x v="10"/>
    <x v="2"/>
  </r>
  <r>
    <x v="1864"/>
    <x v="9"/>
    <x v="0"/>
    <n v="39.1"/>
    <n v="39.1"/>
    <x v="68"/>
    <d v="2025-03-12T00:00:00"/>
    <x v="2"/>
    <x v="0"/>
    <x v="0"/>
    <x v="0"/>
    <x v="3"/>
    <x v="1"/>
    <x v="10"/>
    <x v="2"/>
  </r>
  <r>
    <x v="1865"/>
    <x v="7"/>
    <x v="30"/>
    <n v="55.6"/>
    <n v="1390"/>
    <x v="68"/>
    <d v="2025-03-12T00:00:00"/>
    <x v="1"/>
    <x v="0"/>
    <x v="2"/>
    <x v="0"/>
    <x v="3"/>
    <x v="1"/>
    <x v="10"/>
    <x v="1"/>
  </r>
  <r>
    <x v="1866"/>
    <x v="15"/>
    <x v="0"/>
    <n v="43.1"/>
    <n v="43.1"/>
    <x v="68"/>
    <d v="2025-03-10T00:00:00"/>
    <x v="3"/>
    <x v="1"/>
    <x v="2"/>
    <x v="0"/>
    <x v="3"/>
    <x v="7"/>
    <x v="10"/>
    <x v="3"/>
  </r>
  <r>
    <x v="1867"/>
    <x v="6"/>
    <x v="12"/>
    <n v="48.1"/>
    <n v="192.4"/>
    <x v="68"/>
    <d v="2025-03-11T00:00:00"/>
    <x v="2"/>
    <x v="4"/>
    <x v="2"/>
    <x v="0"/>
    <x v="3"/>
    <x v="3"/>
    <x v="10"/>
    <x v="2"/>
  </r>
  <r>
    <x v="1868"/>
    <x v="4"/>
    <x v="0"/>
    <n v="42"/>
    <n v="42"/>
    <x v="68"/>
    <d v="2025-03-11T00:00:00"/>
    <x v="3"/>
    <x v="0"/>
    <x v="0"/>
    <x v="0"/>
    <x v="3"/>
    <x v="3"/>
    <x v="10"/>
    <x v="3"/>
  </r>
  <r>
    <x v="1869"/>
    <x v="8"/>
    <x v="9"/>
    <n v="18.3"/>
    <n v="91.5"/>
    <x v="68"/>
    <d v="2025-03-10T00:00:00"/>
    <x v="2"/>
    <x v="2"/>
    <x v="0"/>
    <x v="0"/>
    <x v="3"/>
    <x v="7"/>
    <x v="10"/>
    <x v="2"/>
  </r>
  <r>
    <x v="1870"/>
    <x v="10"/>
    <x v="12"/>
    <n v="45.3"/>
    <n v="181.2"/>
    <x v="68"/>
    <d v="2025-03-13T00:00:00"/>
    <x v="2"/>
    <x v="0"/>
    <x v="2"/>
    <x v="0"/>
    <x v="3"/>
    <x v="2"/>
    <x v="10"/>
    <x v="2"/>
  </r>
  <r>
    <x v="1871"/>
    <x v="0"/>
    <x v="1"/>
    <n v="27.6"/>
    <n v="55.2"/>
    <x v="68"/>
    <d v="2025-03-12T00:00:00"/>
    <x v="1"/>
    <x v="0"/>
    <x v="2"/>
    <x v="0"/>
    <x v="37"/>
    <x v="1"/>
    <x v="10"/>
    <x v="1"/>
  </r>
  <r>
    <x v="1872"/>
    <x v="4"/>
    <x v="9"/>
    <n v="26.9"/>
    <n v="134.5"/>
    <x v="68"/>
    <d v="2025-03-11T00:00:00"/>
    <x v="2"/>
    <x v="2"/>
    <x v="0"/>
    <x v="0"/>
    <x v="25"/>
    <x v="3"/>
    <x v="10"/>
    <x v="2"/>
  </r>
  <r>
    <x v="1873"/>
    <x v="2"/>
    <x v="11"/>
    <n v="82.4"/>
    <n v="741.6"/>
    <x v="68"/>
    <d v="2025-03-12T00:00:00"/>
    <x v="3"/>
    <x v="2"/>
    <x v="0"/>
    <x v="0"/>
    <x v="5"/>
    <x v="1"/>
    <x v="10"/>
    <x v="3"/>
  </r>
  <r>
    <x v="1874"/>
    <x v="6"/>
    <x v="0"/>
    <n v="103.7"/>
    <n v="103.7"/>
    <x v="68"/>
    <d v="2025-03-12T00:00:00"/>
    <x v="2"/>
    <x v="1"/>
    <x v="0"/>
    <x v="0"/>
    <x v="5"/>
    <x v="1"/>
    <x v="10"/>
    <x v="2"/>
  </r>
  <r>
    <x v="1875"/>
    <x v="2"/>
    <x v="1"/>
    <n v="58.8"/>
    <n v="117.6"/>
    <x v="68"/>
    <d v="2025-03-15T00:00:00"/>
    <x v="2"/>
    <x v="1"/>
    <x v="2"/>
    <x v="0"/>
    <x v="6"/>
    <x v="0"/>
    <x v="10"/>
    <x v="2"/>
  </r>
  <r>
    <x v="1876"/>
    <x v="13"/>
    <x v="0"/>
    <n v="31.5"/>
    <n v="31.5"/>
    <x v="68"/>
    <d v="2025-03-11T00:00:00"/>
    <x v="2"/>
    <x v="1"/>
    <x v="1"/>
    <x v="0"/>
    <x v="6"/>
    <x v="3"/>
    <x v="10"/>
    <x v="2"/>
  </r>
  <r>
    <x v="1877"/>
    <x v="7"/>
    <x v="9"/>
    <n v="36.799999999999997"/>
    <n v="184"/>
    <x v="68"/>
    <d v="2025-03-12T00:00:00"/>
    <x v="2"/>
    <x v="0"/>
    <x v="0"/>
    <x v="0"/>
    <x v="8"/>
    <x v="1"/>
    <x v="10"/>
    <x v="2"/>
  </r>
  <r>
    <x v="1878"/>
    <x v="3"/>
    <x v="0"/>
    <n v="84.4"/>
    <n v="84.4"/>
    <x v="68"/>
    <d v="2025-03-11T00:00:00"/>
    <x v="2"/>
    <x v="0"/>
    <x v="0"/>
    <x v="0"/>
    <x v="8"/>
    <x v="3"/>
    <x v="10"/>
    <x v="2"/>
  </r>
  <r>
    <x v="1879"/>
    <x v="14"/>
    <x v="0"/>
    <n v="44.7"/>
    <n v="44.7"/>
    <x v="68"/>
    <d v="2025-03-11T00:00:00"/>
    <x v="1"/>
    <x v="0"/>
    <x v="1"/>
    <x v="0"/>
    <x v="8"/>
    <x v="3"/>
    <x v="10"/>
    <x v="1"/>
  </r>
  <r>
    <x v="1880"/>
    <x v="9"/>
    <x v="8"/>
    <n v="39.4"/>
    <n v="315.2"/>
    <x v="68"/>
    <d v="2025-03-11T00:00:00"/>
    <x v="2"/>
    <x v="1"/>
    <x v="2"/>
    <x v="0"/>
    <x v="8"/>
    <x v="3"/>
    <x v="10"/>
    <x v="2"/>
  </r>
  <r>
    <x v="1881"/>
    <x v="11"/>
    <x v="12"/>
    <n v="34.9"/>
    <n v="139.6"/>
    <x v="68"/>
    <d v="2025-03-12T00:00:00"/>
    <x v="2"/>
    <x v="0"/>
    <x v="2"/>
    <x v="0"/>
    <x v="8"/>
    <x v="1"/>
    <x v="10"/>
    <x v="2"/>
  </r>
  <r>
    <x v="1882"/>
    <x v="1"/>
    <x v="2"/>
    <n v="62.3"/>
    <n v="186.89999999999998"/>
    <x v="68"/>
    <d v="2025-03-12T00:00:00"/>
    <x v="1"/>
    <x v="4"/>
    <x v="2"/>
    <x v="0"/>
    <x v="8"/>
    <x v="1"/>
    <x v="10"/>
    <x v="1"/>
  </r>
  <r>
    <x v="1883"/>
    <x v="8"/>
    <x v="12"/>
    <n v="21.1"/>
    <n v="84.4"/>
    <x v="68"/>
    <d v="2025-03-13T00:00:00"/>
    <x v="1"/>
    <x v="3"/>
    <x v="0"/>
    <x v="0"/>
    <x v="8"/>
    <x v="2"/>
    <x v="10"/>
    <x v="1"/>
  </r>
  <r>
    <x v="1884"/>
    <x v="8"/>
    <x v="2"/>
    <n v="33.200000000000003"/>
    <n v="99.600000000000009"/>
    <x v="68"/>
    <d v="2025-03-24T00:00:00"/>
    <x v="0"/>
    <x v="0"/>
    <x v="4"/>
    <x v="0"/>
    <x v="8"/>
    <x v="12"/>
    <x v="10"/>
    <x v="0"/>
  </r>
  <r>
    <x v="1885"/>
    <x v="1"/>
    <x v="12"/>
    <n v="74.5"/>
    <n v="298"/>
    <x v="68"/>
    <d v="2025-03-11T00:00:00"/>
    <x v="1"/>
    <x v="4"/>
    <x v="0"/>
    <x v="0"/>
    <x v="8"/>
    <x v="3"/>
    <x v="10"/>
    <x v="1"/>
  </r>
  <r>
    <x v="1886"/>
    <x v="10"/>
    <x v="4"/>
    <n v="68.599999999999994"/>
    <n v="823.19999999999993"/>
    <x v="68"/>
    <d v="2025-03-13T00:00:00"/>
    <x v="2"/>
    <x v="0"/>
    <x v="2"/>
    <x v="0"/>
    <x v="8"/>
    <x v="2"/>
    <x v="10"/>
    <x v="2"/>
  </r>
  <r>
    <x v="1887"/>
    <x v="5"/>
    <x v="21"/>
    <n v="36.4"/>
    <n v="509.59999999999997"/>
    <x v="68"/>
    <d v="2025-03-12T00:00:00"/>
    <x v="2"/>
    <x v="0"/>
    <x v="1"/>
    <x v="0"/>
    <x v="9"/>
    <x v="1"/>
    <x v="10"/>
    <x v="2"/>
  </r>
  <r>
    <x v="1888"/>
    <x v="16"/>
    <x v="9"/>
    <n v="67.599999999999994"/>
    <n v="338"/>
    <x v="69"/>
    <d v="2025-03-14T00:00:00"/>
    <x v="2"/>
    <x v="4"/>
    <x v="1"/>
    <x v="0"/>
    <x v="9"/>
    <x v="2"/>
    <x v="10"/>
    <x v="2"/>
  </r>
  <r>
    <x v="1889"/>
    <x v="15"/>
    <x v="0"/>
    <n v="46.3"/>
    <n v="46.3"/>
    <x v="69"/>
    <d v="2025-03-12T00:00:00"/>
    <x v="1"/>
    <x v="2"/>
    <x v="0"/>
    <x v="0"/>
    <x v="9"/>
    <x v="3"/>
    <x v="10"/>
    <x v="1"/>
  </r>
  <r>
    <x v="1890"/>
    <x v="1"/>
    <x v="2"/>
    <n v="124.2"/>
    <n v="372.6"/>
    <x v="69"/>
    <d v="2025-03-13T00:00:00"/>
    <x v="2"/>
    <x v="1"/>
    <x v="2"/>
    <x v="0"/>
    <x v="11"/>
    <x v="1"/>
    <x v="10"/>
    <x v="2"/>
  </r>
  <r>
    <x v="1891"/>
    <x v="10"/>
    <x v="1"/>
    <n v="37"/>
    <n v="74"/>
    <x v="69"/>
    <d v="2025-03-17T00:00:00"/>
    <x v="1"/>
    <x v="0"/>
    <x v="0"/>
    <x v="0"/>
    <x v="11"/>
    <x v="4"/>
    <x v="10"/>
    <x v="1"/>
  </r>
  <r>
    <x v="1892"/>
    <x v="5"/>
    <x v="0"/>
    <n v="41.8"/>
    <n v="41.8"/>
    <x v="69"/>
    <d v="2025-03-12T00:00:00"/>
    <x v="1"/>
    <x v="2"/>
    <x v="0"/>
    <x v="0"/>
    <x v="31"/>
    <x v="3"/>
    <x v="10"/>
    <x v="1"/>
  </r>
  <r>
    <x v="1893"/>
    <x v="9"/>
    <x v="1"/>
    <n v="57.2"/>
    <n v="114.4"/>
    <x v="69"/>
    <d v="2025-03-13T00:00:00"/>
    <x v="1"/>
    <x v="2"/>
    <x v="1"/>
    <x v="0"/>
    <x v="20"/>
    <x v="1"/>
    <x v="10"/>
    <x v="1"/>
  </r>
  <r>
    <x v="1894"/>
    <x v="6"/>
    <x v="1"/>
    <n v="47.1"/>
    <n v="94.2"/>
    <x v="69"/>
    <d v="2025-03-13T00:00:00"/>
    <x v="2"/>
    <x v="0"/>
    <x v="4"/>
    <x v="0"/>
    <x v="20"/>
    <x v="1"/>
    <x v="10"/>
    <x v="2"/>
  </r>
  <r>
    <x v="1895"/>
    <x v="5"/>
    <x v="2"/>
    <n v="86.4"/>
    <n v="259.20000000000005"/>
    <x v="69"/>
    <d v="2025-03-12T00:00:00"/>
    <x v="1"/>
    <x v="2"/>
    <x v="1"/>
    <x v="0"/>
    <x v="52"/>
    <x v="3"/>
    <x v="10"/>
    <x v="1"/>
  </r>
  <r>
    <x v="1896"/>
    <x v="6"/>
    <x v="9"/>
    <n v="105"/>
    <n v="525"/>
    <x v="69"/>
    <d v="2025-03-14T00:00:00"/>
    <x v="1"/>
    <x v="0"/>
    <x v="0"/>
    <x v="0"/>
    <x v="13"/>
    <x v="2"/>
    <x v="10"/>
    <x v="1"/>
  </r>
  <r>
    <x v="1897"/>
    <x v="18"/>
    <x v="0"/>
    <n v="33"/>
    <n v="33"/>
    <x v="69"/>
    <d v="2025-03-14T00:00:00"/>
    <x v="1"/>
    <x v="4"/>
    <x v="0"/>
    <x v="0"/>
    <x v="21"/>
    <x v="2"/>
    <x v="10"/>
    <x v="1"/>
  </r>
  <r>
    <x v="1898"/>
    <x v="6"/>
    <x v="9"/>
    <n v="106.6"/>
    <n v="533"/>
    <x v="69"/>
    <d v="2025-03-24T00:00:00"/>
    <x v="2"/>
    <x v="2"/>
    <x v="0"/>
    <x v="0"/>
    <x v="1"/>
    <x v="10"/>
    <x v="10"/>
    <x v="2"/>
  </r>
  <r>
    <x v="1899"/>
    <x v="10"/>
    <x v="46"/>
    <n v="26.8"/>
    <n v="857.6"/>
    <x v="69"/>
    <d v="2025-03-12T00:00:00"/>
    <x v="2"/>
    <x v="2"/>
    <x v="0"/>
    <x v="0"/>
    <x v="1"/>
    <x v="3"/>
    <x v="10"/>
    <x v="2"/>
  </r>
  <r>
    <x v="1900"/>
    <x v="17"/>
    <x v="9"/>
    <n v="25.8"/>
    <n v="129"/>
    <x v="69"/>
    <d v="2025-03-11T00:00:00"/>
    <x v="2"/>
    <x v="1"/>
    <x v="2"/>
    <x v="0"/>
    <x v="3"/>
    <x v="7"/>
    <x v="10"/>
    <x v="2"/>
  </r>
  <r>
    <x v="1901"/>
    <x v="2"/>
    <x v="2"/>
    <n v="217"/>
    <n v="651"/>
    <x v="69"/>
    <d v="2025-03-12T00:00:00"/>
    <x v="2"/>
    <x v="1"/>
    <x v="1"/>
    <x v="0"/>
    <x v="3"/>
    <x v="3"/>
    <x v="10"/>
    <x v="2"/>
  </r>
  <r>
    <x v="1902"/>
    <x v="2"/>
    <x v="1"/>
    <n v="97.3"/>
    <n v="194.6"/>
    <x v="69"/>
    <d v="2025-03-12T00:00:00"/>
    <x v="1"/>
    <x v="2"/>
    <x v="4"/>
    <x v="0"/>
    <x v="3"/>
    <x v="3"/>
    <x v="10"/>
    <x v="1"/>
  </r>
  <r>
    <x v="1903"/>
    <x v="1"/>
    <x v="0"/>
    <n v="49.8"/>
    <n v="49.8"/>
    <x v="69"/>
    <d v="2025-03-12T00:00:00"/>
    <x v="2"/>
    <x v="0"/>
    <x v="0"/>
    <x v="0"/>
    <x v="3"/>
    <x v="3"/>
    <x v="10"/>
    <x v="2"/>
  </r>
  <r>
    <x v="1904"/>
    <x v="12"/>
    <x v="9"/>
    <n v="32.6"/>
    <n v="163"/>
    <x v="69"/>
    <d v="2025-03-12T00:00:00"/>
    <x v="2"/>
    <x v="0"/>
    <x v="0"/>
    <x v="0"/>
    <x v="3"/>
    <x v="3"/>
    <x v="10"/>
    <x v="2"/>
  </r>
  <r>
    <x v="1905"/>
    <x v="9"/>
    <x v="1"/>
    <n v="40.1"/>
    <n v="80.2"/>
    <x v="69"/>
    <d v="2025-03-14T00:00:00"/>
    <x v="1"/>
    <x v="1"/>
    <x v="2"/>
    <x v="0"/>
    <x v="3"/>
    <x v="2"/>
    <x v="10"/>
    <x v="1"/>
  </r>
  <r>
    <x v="1906"/>
    <x v="10"/>
    <x v="1"/>
    <n v="49.4"/>
    <n v="98.8"/>
    <x v="69"/>
    <d v="2025-03-13T00:00:00"/>
    <x v="1"/>
    <x v="1"/>
    <x v="0"/>
    <x v="0"/>
    <x v="3"/>
    <x v="1"/>
    <x v="10"/>
    <x v="1"/>
  </r>
  <r>
    <x v="1907"/>
    <x v="2"/>
    <x v="0"/>
    <n v="67.3"/>
    <n v="67.3"/>
    <x v="69"/>
    <d v="2025-03-12T00:00:00"/>
    <x v="2"/>
    <x v="0"/>
    <x v="2"/>
    <x v="0"/>
    <x v="3"/>
    <x v="3"/>
    <x v="10"/>
    <x v="2"/>
  </r>
  <r>
    <x v="1908"/>
    <x v="18"/>
    <x v="12"/>
    <n v="44.5"/>
    <n v="178"/>
    <x v="69"/>
    <d v="2025-03-14T00:00:00"/>
    <x v="0"/>
    <x v="1"/>
    <x v="0"/>
    <x v="0"/>
    <x v="3"/>
    <x v="2"/>
    <x v="10"/>
    <x v="0"/>
  </r>
  <r>
    <x v="1909"/>
    <x v="6"/>
    <x v="5"/>
    <n v="111.1"/>
    <n v="1222.0999999999999"/>
    <x v="69"/>
    <d v="2025-03-12T00:00:00"/>
    <x v="2"/>
    <x v="4"/>
    <x v="0"/>
    <x v="0"/>
    <x v="3"/>
    <x v="3"/>
    <x v="10"/>
    <x v="2"/>
  </r>
  <r>
    <x v="1910"/>
    <x v="8"/>
    <x v="2"/>
    <n v="19.7"/>
    <n v="59.099999999999994"/>
    <x v="69"/>
    <d v="2025-03-12T00:00:00"/>
    <x v="2"/>
    <x v="4"/>
    <x v="4"/>
    <x v="0"/>
    <x v="3"/>
    <x v="3"/>
    <x v="10"/>
    <x v="2"/>
  </r>
  <r>
    <x v="1911"/>
    <x v="1"/>
    <x v="0"/>
    <n v="40.299999999999997"/>
    <n v="40.299999999999997"/>
    <x v="69"/>
    <d v="2025-03-12T00:00:00"/>
    <x v="3"/>
    <x v="1"/>
    <x v="0"/>
    <x v="0"/>
    <x v="3"/>
    <x v="3"/>
    <x v="10"/>
    <x v="3"/>
  </r>
  <r>
    <x v="1912"/>
    <x v="6"/>
    <x v="1"/>
    <n v="108.8"/>
    <n v="217.6"/>
    <x v="69"/>
    <d v="2025-03-16T00:00:00"/>
    <x v="1"/>
    <x v="0"/>
    <x v="2"/>
    <x v="0"/>
    <x v="6"/>
    <x v="0"/>
    <x v="10"/>
    <x v="1"/>
  </r>
  <r>
    <x v="1913"/>
    <x v="8"/>
    <x v="2"/>
    <n v="48.2"/>
    <n v="144.60000000000002"/>
    <x v="69"/>
    <d v="2025-03-16T00:00:00"/>
    <x v="2"/>
    <x v="4"/>
    <x v="0"/>
    <x v="0"/>
    <x v="7"/>
    <x v="0"/>
    <x v="10"/>
    <x v="2"/>
  </r>
  <r>
    <x v="1914"/>
    <x v="2"/>
    <x v="2"/>
    <n v="104.7"/>
    <n v="314.10000000000002"/>
    <x v="69"/>
    <d v="2025-03-13T00:00:00"/>
    <x v="2"/>
    <x v="0"/>
    <x v="1"/>
    <x v="0"/>
    <x v="7"/>
    <x v="1"/>
    <x v="10"/>
    <x v="2"/>
  </r>
  <r>
    <x v="1915"/>
    <x v="1"/>
    <x v="1"/>
    <n v="80.599999999999994"/>
    <n v="161.19999999999999"/>
    <x v="69"/>
    <d v="2025-03-11T00:00:00"/>
    <x v="2"/>
    <x v="1"/>
    <x v="0"/>
    <x v="0"/>
    <x v="8"/>
    <x v="7"/>
    <x v="10"/>
    <x v="2"/>
  </r>
  <r>
    <x v="1916"/>
    <x v="6"/>
    <x v="0"/>
    <n v="65.5"/>
    <n v="65.5"/>
    <x v="69"/>
    <d v="2025-03-13T00:00:00"/>
    <x v="3"/>
    <x v="1"/>
    <x v="0"/>
    <x v="0"/>
    <x v="8"/>
    <x v="1"/>
    <x v="10"/>
    <x v="3"/>
  </r>
  <r>
    <x v="1917"/>
    <x v="9"/>
    <x v="2"/>
    <n v="61.4"/>
    <n v="184.2"/>
    <x v="69"/>
    <d v="2025-03-13T00:00:00"/>
    <x v="2"/>
    <x v="4"/>
    <x v="2"/>
    <x v="0"/>
    <x v="8"/>
    <x v="1"/>
    <x v="10"/>
    <x v="2"/>
  </r>
  <r>
    <x v="1918"/>
    <x v="0"/>
    <x v="0"/>
    <n v="12.5"/>
    <n v="12.5"/>
    <x v="70"/>
    <d v="2025-03-15T00:00:00"/>
    <x v="2"/>
    <x v="0"/>
    <x v="1"/>
    <x v="0"/>
    <x v="8"/>
    <x v="2"/>
    <x v="10"/>
    <x v="2"/>
  </r>
  <r>
    <x v="1919"/>
    <x v="4"/>
    <x v="12"/>
    <n v="35.1"/>
    <n v="140.4"/>
    <x v="70"/>
    <d v="2025-03-13T00:00:00"/>
    <x v="1"/>
    <x v="2"/>
    <x v="1"/>
    <x v="0"/>
    <x v="17"/>
    <x v="3"/>
    <x v="10"/>
    <x v="1"/>
  </r>
  <r>
    <x v="1920"/>
    <x v="5"/>
    <x v="1"/>
    <n v="55.7"/>
    <n v="111.4"/>
    <x v="70"/>
    <d v="2025-03-13T00:00:00"/>
    <x v="1"/>
    <x v="0"/>
    <x v="1"/>
    <x v="0"/>
    <x v="26"/>
    <x v="3"/>
    <x v="10"/>
    <x v="1"/>
  </r>
  <r>
    <x v="1921"/>
    <x v="7"/>
    <x v="1"/>
    <n v="57.7"/>
    <n v="115.4"/>
    <x v="70"/>
    <d v="2025-03-14T00:00:00"/>
    <x v="1"/>
    <x v="4"/>
    <x v="1"/>
    <x v="0"/>
    <x v="9"/>
    <x v="1"/>
    <x v="10"/>
    <x v="1"/>
  </r>
  <r>
    <x v="1922"/>
    <x v="2"/>
    <x v="13"/>
    <n v="85.7"/>
    <n v="514.20000000000005"/>
    <x v="70"/>
    <d v="2025-03-13T00:00:00"/>
    <x v="1"/>
    <x v="3"/>
    <x v="2"/>
    <x v="0"/>
    <x v="9"/>
    <x v="3"/>
    <x v="10"/>
    <x v="1"/>
  </r>
  <r>
    <x v="1923"/>
    <x v="2"/>
    <x v="2"/>
    <n v="86.9"/>
    <n v="260.70000000000005"/>
    <x v="70"/>
    <d v="2025-03-14T00:00:00"/>
    <x v="2"/>
    <x v="1"/>
    <x v="0"/>
    <x v="0"/>
    <x v="11"/>
    <x v="1"/>
    <x v="10"/>
    <x v="2"/>
  </r>
  <r>
    <x v="1924"/>
    <x v="18"/>
    <x v="1"/>
    <n v="46.4"/>
    <n v="92.8"/>
    <x v="70"/>
    <d v="2025-03-15T00:00:00"/>
    <x v="2"/>
    <x v="4"/>
    <x v="0"/>
    <x v="0"/>
    <x v="11"/>
    <x v="2"/>
    <x v="10"/>
    <x v="2"/>
  </r>
  <r>
    <x v="1925"/>
    <x v="5"/>
    <x v="2"/>
    <n v="25.4"/>
    <n v="76.199999999999989"/>
    <x v="70"/>
    <d v="2025-03-12T00:00:00"/>
    <x v="2"/>
    <x v="2"/>
    <x v="2"/>
    <x v="0"/>
    <x v="18"/>
    <x v="7"/>
    <x v="10"/>
    <x v="2"/>
  </r>
  <r>
    <x v="1926"/>
    <x v="10"/>
    <x v="2"/>
    <n v="47.8"/>
    <n v="143.39999999999998"/>
    <x v="70"/>
    <d v="2025-03-12T00:00:00"/>
    <x v="0"/>
    <x v="2"/>
    <x v="2"/>
    <x v="0"/>
    <x v="19"/>
    <x v="7"/>
    <x v="10"/>
    <x v="0"/>
  </r>
  <r>
    <x v="1927"/>
    <x v="8"/>
    <x v="10"/>
    <n v="18.399999999999999"/>
    <n v="349.59999999999997"/>
    <x v="70"/>
    <d v="2025-03-14T00:00:00"/>
    <x v="3"/>
    <x v="2"/>
    <x v="0"/>
    <x v="0"/>
    <x v="20"/>
    <x v="1"/>
    <x v="10"/>
    <x v="3"/>
  </r>
  <r>
    <x v="1928"/>
    <x v="12"/>
    <x v="2"/>
    <n v="65.5"/>
    <n v="196.5"/>
    <x v="70"/>
    <d v="2025-03-20T00:00:00"/>
    <x v="2"/>
    <x v="0"/>
    <x v="0"/>
    <x v="0"/>
    <x v="21"/>
    <x v="9"/>
    <x v="10"/>
    <x v="2"/>
  </r>
  <r>
    <x v="1929"/>
    <x v="10"/>
    <x v="1"/>
    <n v="50.6"/>
    <n v="101.2"/>
    <x v="70"/>
    <d v="2025-03-15T00:00:00"/>
    <x v="1"/>
    <x v="2"/>
    <x v="4"/>
    <x v="0"/>
    <x v="21"/>
    <x v="2"/>
    <x v="10"/>
    <x v="1"/>
  </r>
  <r>
    <x v="1930"/>
    <x v="3"/>
    <x v="9"/>
    <n v="69"/>
    <n v="345"/>
    <x v="70"/>
    <d v="2025-03-16T00:00:00"/>
    <x v="1"/>
    <x v="3"/>
    <x v="0"/>
    <x v="0"/>
    <x v="21"/>
    <x v="5"/>
    <x v="10"/>
    <x v="1"/>
  </r>
  <r>
    <x v="1931"/>
    <x v="9"/>
    <x v="8"/>
    <n v="51.1"/>
    <n v="408.8"/>
    <x v="70"/>
    <d v="2025-03-14T00:00:00"/>
    <x v="2"/>
    <x v="0"/>
    <x v="0"/>
    <x v="0"/>
    <x v="1"/>
    <x v="1"/>
    <x v="10"/>
    <x v="2"/>
  </r>
  <r>
    <x v="1932"/>
    <x v="9"/>
    <x v="0"/>
    <n v="36.1"/>
    <n v="36.1"/>
    <x v="70"/>
    <d v="2025-03-13T00:00:00"/>
    <x v="2"/>
    <x v="0"/>
    <x v="2"/>
    <x v="0"/>
    <x v="34"/>
    <x v="3"/>
    <x v="10"/>
    <x v="2"/>
  </r>
  <r>
    <x v="1933"/>
    <x v="14"/>
    <x v="0"/>
    <n v="18.7"/>
    <n v="18.7"/>
    <x v="70"/>
    <d v="2025-03-13T00:00:00"/>
    <x v="1"/>
    <x v="0"/>
    <x v="0"/>
    <x v="0"/>
    <x v="3"/>
    <x v="3"/>
    <x v="10"/>
    <x v="1"/>
  </r>
  <r>
    <x v="1934"/>
    <x v="17"/>
    <x v="0"/>
    <n v="30.1"/>
    <n v="30.1"/>
    <x v="70"/>
    <d v="2025-03-15T00:00:00"/>
    <x v="2"/>
    <x v="3"/>
    <x v="1"/>
    <x v="0"/>
    <x v="3"/>
    <x v="2"/>
    <x v="10"/>
    <x v="2"/>
  </r>
  <r>
    <x v="1935"/>
    <x v="8"/>
    <x v="0"/>
    <n v="16.3"/>
    <n v="16.3"/>
    <x v="70"/>
    <d v="2025-03-13T00:00:00"/>
    <x v="1"/>
    <x v="3"/>
    <x v="0"/>
    <x v="0"/>
    <x v="3"/>
    <x v="3"/>
    <x v="10"/>
    <x v="1"/>
  </r>
  <r>
    <x v="1936"/>
    <x v="1"/>
    <x v="2"/>
    <n v="63.8"/>
    <n v="191.39999999999998"/>
    <x v="70"/>
    <d v="2025-03-17T00:00:00"/>
    <x v="2"/>
    <x v="2"/>
    <x v="1"/>
    <x v="0"/>
    <x v="3"/>
    <x v="0"/>
    <x v="10"/>
    <x v="2"/>
  </r>
  <r>
    <x v="1937"/>
    <x v="1"/>
    <x v="3"/>
    <n v="73.900000000000006"/>
    <n v="517.30000000000007"/>
    <x v="70"/>
    <d v="2025-03-12T00:00:00"/>
    <x v="2"/>
    <x v="0"/>
    <x v="1"/>
    <x v="0"/>
    <x v="3"/>
    <x v="7"/>
    <x v="10"/>
    <x v="2"/>
  </r>
  <r>
    <x v="1938"/>
    <x v="0"/>
    <x v="1"/>
    <n v="20.2"/>
    <n v="40.4"/>
    <x v="70"/>
    <d v="2025-03-13T00:00:00"/>
    <x v="1"/>
    <x v="0"/>
    <x v="1"/>
    <x v="0"/>
    <x v="3"/>
    <x v="3"/>
    <x v="10"/>
    <x v="1"/>
  </r>
  <r>
    <x v="1939"/>
    <x v="11"/>
    <x v="5"/>
    <n v="29.5"/>
    <n v="324.5"/>
    <x v="70"/>
    <d v="2025-03-13T00:00:00"/>
    <x v="1"/>
    <x v="0"/>
    <x v="0"/>
    <x v="0"/>
    <x v="3"/>
    <x v="3"/>
    <x v="10"/>
    <x v="1"/>
  </r>
  <r>
    <x v="1940"/>
    <x v="15"/>
    <x v="3"/>
    <n v="37.9"/>
    <n v="265.3"/>
    <x v="70"/>
    <d v="2025-03-13T00:00:00"/>
    <x v="1"/>
    <x v="1"/>
    <x v="0"/>
    <x v="0"/>
    <x v="3"/>
    <x v="3"/>
    <x v="10"/>
    <x v="1"/>
  </r>
  <r>
    <x v="1941"/>
    <x v="2"/>
    <x v="0"/>
    <n v="56.5"/>
    <n v="56.5"/>
    <x v="70"/>
    <d v="2025-03-13T00:00:00"/>
    <x v="2"/>
    <x v="2"/>
    <x v="1"/>
    <x v="0"/>
    <x v="3"/>
    <x v="3"/>
    <x v="10"/>
    <x v="2"/>
  </r>
  <r>
    <x v="1942"/>
    <x v="2"/>
    <x v="1"/>
    <n v="66.900000000000006"/>
    <n v="133.80000000000001"/>
    <x v="70"/>
    <d v="2025-03-18T00:00:00"/>
    <x v="1"/>
    <x v="1"/>
    <x v="4"/>
    <x v="0"/>
    <x v="25"/>
    <x v="4"/>
    <x v="10"/>
    <x v="1"/>
  </r>
  <r>
    <x v="1943"/>
    <x v="2"/>
    <x v="9"/>
    <n v="51.9"/>
    <n v="259.5"/>
    <x v="70"/>
    <d v="2025-03-15T00:00:00"/>
    <x v="1"/>
    <x v="1"/>
    <x v="0"/>
    <x v="0"/>
    <x v="7"/>
    <x v="2"/>
    <x v="10"/>
    <x v="1"/>
  </r>
  <r>
    <x v="1944"/>
    <x v="2"/>
    <x v="1"/>
    <n v="75.599999999999994"/>
    <n v="151.19999999999999"/>
    <x v="70"/>
    <d v="2025-03-15T00:00:00"/>
    <x v="1"/>
    <x v="1"/>
    <x v="0"/>
    <x v="0"/>
    <x v="8"/>
    <x v="2"/>
    <x v="10"/>
    <x v="1"/>
  </r>
  <r>
    <x v="1945"/>
    <x v="12"/>
    <x v="13"/>
    <n v="47.3"/>
    <n v="283.79999999999995"/>
    <x v="70"/>
    <d v="2025-03-23T00:00:00"/>
    <x v="1"/>
    <x v="0"/>
    <x v="0"/>
    <x v="0"/>
    <x v="8"/>
    <x v="11"/>
    <x v="10"/>
    <x v="1"/>
  </r>
  <r>
    <x v="1946"/>
    <x v="4"/>
    <x v="0"/>
    <n v="20.6"/>
    <n v="20.6"/>
    <x v="70"/>
    <d v="2025-03-13T00:00:00"/>
    <x v="0"/>
    <x v="0"/>
    <x v="1"/>
    <x v="0"/>
    <x v="8"/>
    <x v="3"/>
    <x v="10"/>
    <x v="0"/>
  </r>
  <r>
    <x v="1947"/>
    <x v="6"/>
    <x v="2"/>
    <n v="49.7"/>
    <n v="149.10000000000002"/>
    <x v="70"/>
    <d v="2025-03-14T00:00:00"/>
    <x v="1"/>
    <x v="0"/>
    <x v="1"/>
    <x v="0"/>
    <x v="8"/>
    <x v="1"/>
    <x v="10"/>
    <x v="1"/>
  </r>
  <r>
    <x v="1948"/>
    <x v="3"/>
    <x v="0"/>
    <n v="37.9"/>
    <n v="37.9"/>
    <x v="70"/>
    <d v="2025-03-14T00:00:00"/>
    <x v="2"/>
    <x v="0"/>
    <x v="0"/>
    <x v="0"/>
    <x v="8"/>
    <x v="1"/>
    <x v="10"/>
    <x v="2"/>
  </r>
  <r>
    <x v="1949"/>
    <x v="13"/>
    <x v="20"/>
    <n v="32"/>
    <n v="480"/>
    <x v="70"/>
    <d v="2025-03-14T00:00:00"/>
    <x v="2"/>
    <x v="4"/>
    <x v="0"/>
    <x v="0"/>
    <x v="11"/>
    <x v="1"/>
    <x v="10"/>
    <x v="2"/>
  </r>
  <r>
    <x v="1950"/>
    <x v="10"/>
    <x v="16"/>
    <n v="38.5"/>
    <n v="693"/>
    <x v="71"/>
    <d v="2025-03-14T00:00:00"/>
    <x v="1"/>
    <x v="0"/>
    <x v="2"/>
    <x v="0"/>
    <x v="11"/>
    <x v="3"/>
    <x v="10"/>
    <x v="1"/>
  </r>
  <r>
    <x v="1951"/>
    <x v="0"/>
    <x v="12"/>
    <n v="11.7"/>
    <n v="46.8"/>
    <x v="71"/>
    <d v="2025-03-15T00:00:00"/>
    <x v="2"/>
    <x v="1"/>
    <x v="0"/>
    <x v="0"/>
    <x v="20"/>
    <x v="1"/>
    <x v="10"/>
    <x v="2"/>
  </r>
  <r>
    <x v="1952"/>
    <x v="3"/>
    <x v="13"/>
    <n v="83.8"/>
    <n v="502.79999999999995"/>
    <x v="71"/>
    <d v="2025-03-14T00:00:00"/>
    <x v="1"/>
    <x v="0"/>
    <x v="0"/>
    <x v="0"/>
    <x v="21"/>
    <x v="3"/>
    <x v="10"/>
    <x v="1"/>
  </r>
  <r>
    <x v="1953"/>
    <x v="0"/>
    <x v="3"/>
    <n v="14"/>
    <n v="98"/>
    <x v="71"/>
    <d v="2025-03-16T00:00:00"/>
    <x v="1"/>
    <x v="0"/>
    <x v="1"/>
    <x v="0"/>
    <x v="22"/>
    <x v="2"/>
    <x v="10"/>
    <x v="1"/>
  </r>
  <r>
    <x v="1954"/>
    <x v="16"/>
    <x v="12"/>
    <n v="77.3"/>
    <n v="309.2"/>
    <x v="71"/>
    <d v="2025-03-15T00:00:00"/>
    <x v="2"/>
    <x v="4"/>
    <x v="2"/>
    <x v="0"/>
    <x v="3"/>
    <x v="1"/>
    <x v="10"/>
    <x v="2"/>
  </r>
  <r>
    <x v="1955"/>
    <x v="2"/>
    <x v="1"/>
    <n v="76.900000000000006"/>
    <n v="153.80000000000001"/>
    <x v="71"/>
    <d v="2025-03-17T00:00:00"/>
    <x v="2"/>
    <x v="0"/>
    <x v="1"/>
    <x v="0"/>
    <x v="3"/>
    <x v="5"/>
    <x v="10"/>
    <x v="2"/>
  </r>
  <r>
    <x v="1956"/>
    <x v="1"/>
    <x v="0"/>
    <n v="48"/>
    <n v="48"/>
    <x v="71"/>
    <d v="2025-03-15T00:00:00"/>
    <x v="2"/>
    <x v="1"/>
    <x v="2"/>
    <x v="0"/>
    <x v="3"/>
    <x v="1"/>
    <x v="10"/>
    <x v="2"/>
  </r>
  <r>
    <x v="1957"/>
    <x v="2"/>
    <x v="0"/>
    <n v="94.5"/>
    <n v="94.5"/>
    <x v="71"/>
    <d v="2025-03-16T00:00:00"/>
    <x v="1"/>
    <x v="1"/>
    <x v="1"/>
    <x v="0"/>
    <x v="3"/>
    <x v="2"/>
    <x v="10"/>
    <x v="1"/>
  </r>
  <r>
    <x v="1958"/>
    <x v="10"/>
    <x v="2"/>
    <n v="58.4"/>
    <n v="175.2"/>
    <x v="71"/>
    <d v="2025-03-15T00:00:00"/>
    <x v="2"/>
    <x v="1"/>
    <x v="2"/>
    <x v="0"/>
    <x v="3"/>
    <x v="1"/>
    <x v="10"/>
    <x v="2"/>
  </r>
  <r>
    <x v="1959"/>
    <x v="7"/>
    <x v="15"/>
    <n v="42.2"/>
    <n v="548.6"/>
    <x v="71"/>
    <d v="2025-03-13T00:00:00"/>
    <x v="1"/>
    <x v="0"/>
    <x v="0"/>
    <x v="0"/>
    <x v="25"/>
    <x v="7"/>
    <x v="10"/>
    <x v="1"/>
  </r>
  <r>
    <x v="1960"/>
    <x v="6"/>
    <x v="1"/>
    <n v="152.19999999999999"/>
    <n v="304.39999999999998"/>
    <x v="71"/>
    <d v="2025-03-14T00:00:00"/>
    <x v="1"/>
    <x v="4"/>
    <x v="1"/>
    <x v="0"/>
    <x v="25"/>
    <x v="3"/>
    <x v="10"/>
    <x v="1"/>
  </r>
  <r>
    <x v="1961"/>
    <x v="6"/>
    <x v="25"/>
    <n v="72"/>
    <n v="1728"/>
    <x v="71"/>
    <d v="2025-03-14T00:00:00"/>
    <x v="1"/>
    <x v="0"/>
    <x v="1"/>
    <x v="0"/>
    <x v="6"/>
    <x v="3"/>
    <x v="10"/>
    <x v="1"/>
  </r>
  <r>
    <x v="1962"/>
    <x v="1"/>
    <x v="44"/>
    <n v="70.900000000000006"/>
    <n v="1630.7"/>
    <x v="71"/>
    <d v="2025-03-14T00:00:00"/>
    <x v="2"/>
    <x v="2"/>
    <x v="0"/>
    <x v="0"/>
    <x v="8"/>
    <x v="3"/>
    <x v="10"/>
    <x v="2"/>
  </r>
  <r>
    <x v="1963"/>
    <x v="2"/>
    <x v="1"/>
    <n v="53.7"/>
    <n v="107.4"/>
    <x v="71"/>
    <d v="2025-03-14T00:00:00"/>
    <x v="1"/>
    <x v="2"/>
    <x v="2"/>
    <x v="0"/>
    <x v="8"/>
    <x v="3"/>
    <x v="10"/>
    <x v="1"/>
  </r>
  <r>
    <x v="1964"/>
    <x v="9"/>
    <x v="12"/>
    <n v="42.9"/>
    <n v="171.6"/>
    <x v="71"/>
    <d v="2025-03-14T00:00:00"/>
    <x v="2"/>
    <x v="2"/>
    <x v="4"/>
    <x v="0"/>
    <x v="9"/>
    <x v="3"/>
    <x v="10"/>
    <x v="2"/>
  </r>
  <r>
    <x v="1965"/>
    <x v="2"/>
    <x v="3"/>
    <n v="107.5"/>
    <n v="752.5"/>
    <x v="71"/>
    <d v="2025-03-14T00:00:00"/>
    <x v="1"/>
    <x v="1"/>
    <x v="0"/>
    <x v="0"/>
    <x v="11"/>
    <x v="3"/>
    <x v="10"/>
    <x v="1"/>
  </r>
  <r>
    <x v="1966"/>
    <x v="17"/>
    <x v="27"/>
    <n v="21.5"/>
    <n v="344"/>
    <x v="71"/>
    <d v="2025-03-14T00:00:00"/>
    <x v="1"/>
    <x v="1"/>
    <x v="1"/>
    <x v="0"/>
    <x v="32"/>
    <x v="3"/>
    <x v="10"/>
    <x v="1"/>
  </r>
  <r>
    <x v="1967"/>
    <x v="3"/>
    <x v="9"/>
    <n v="85.3"/>
    <n v="426.5"/>
    <x v="71"/>
    <d v="2025-03-15T00:00:00"/>
    <x v="2"/>
    <x v="3"/>
    <x v="0"/>
    <x v="0"/>
    <x v="18"/>
    <x v="1"/>
    <x v="10"/>
    <x v="2"/>
  </r>
  <r>
    <x v="1968"/>
    <x v="7"/>
    <x v="9"/>
    <n v="80.8"/>
    <n v="404"/>
    <x v="71"/>
    <d v="2025-03-21T00:00:00"/>
    <x v="3"/>
    <x v="1"/>
    <x v="1"/>
    <x v="0"/>
    <x v="19"/>
    <x v="9"/>
    <x v="10"/>
    <x v="3"/>
  </r>
  <r>
    <x v="1969"/>
    <x v="2"/>
    <x v="2"/>
    <n v="123.1"/>
    <n v="369.29999999999995"/>
    <x v="71"/>
    <d v="2025-03-15T00:00:00"/>
    <x v="0"/>
    <x v="2"/>
    <x v="0"/>
    <x v="0"/>
    <x v="21"/>
    <x v="1"/>
    <x v="10"/>
    <x v="0"/>
  </r>
  <r>
    <x v="1970"/>
    <x v="8"/>
    <x v="1"/>
    <n v="36.9"/>
    <n v="73.8"/>
    <x v="71"/>
    <d v="2025-03-15T00:00:00"/>
    <x v="2"/>
    <x v="2"/>
    <x v="4"/>
    <x v="0"/>
    <x v="51"/>
    <x v="1"/>
    <x v="10"/>
    <x v="2"/>
  </r>
  <r>
    <x v="1971"/>
    <x v="11"/>
    <x v="9"/>
    <n v="40"/>
    <n v="200"/>
    <x v="71"/>
    <d v="2025-03-14T00:00:00"/>
    <x v="1"/>
    <x v="0"/>
    <x v="0"/>
    <x v="0"/>
    <x v="1"/>
    <x v="3"/>
    <x v="10"/>
    <x v="1"/>
  </r>
  <r>
    <x v="1972"/>
    <x v="6"/>
    <x v="2"/>
    <n v="55.5"/>
    <n v="166.5"/>
    <x v="71"/>
    <d v="2025-03-14T00:00:00"/>
    <x v="1"/>
    <x v="4"/>
    <x v="2"/>
    <x v="0"/>
    <x v="1"/>
    <x v="3"/>
    <x v="10"/>
    <x v="1"/>
  </r>
  <r>
    <x v="1973"/>
    <x v="0"/>
    <x v="12"/>
    <n v="20.5"/>
    <n v="82"/>
    <x v="71"/>
    <d v="2025-03-17T00:00:00"/>
    <x v="2"/>
    <x v="4"/>
    <x v="0"/>
    <x v="0"/>
    <x v="1"/>
    <x v="5"/>
    <x v="10"/>
    <x v="2"/>
  </r>
  <r>
    <x v="1974"/>
    <x v="18"/>
    <x v="12"/>
    <n v="50.1"/>
    <n v="200.4"/>
    <x v="71"/>
    <d v="2025-03-14T00:00:00"/>
    <x v="2"/>
    <x v="4"/>
    <x v="0"/>
    <x v="0"/>
    <x v="1"/>
    <x v="3"/>
    <x v="10"/>
    <x v="2"/>
  </r>
  <r>
    <x v="1975"/>
    <x v="9"/>
    <x v="0"/>
    <n v="35.9"/>
    <n v="35.9"/>
    <x v="71"/>
    <d v="2025-03-15T00:00:00"/>
    <x v="1"/>
    <x v="1"/>
    <x v="2"/>
    <x v="0"/>
    <x v="1"/>
    <x v="1"/>
    <x v="10"/>
    <x v="1"/>
  </r>
  <r>
    <x v="1976"/>
    <x v="13"/>
    <x v="12"/>
    <n v="29.4"/>
    <n v="117.6"/>
    <x v="72"/>
    <d v="2025-03-15T00:00:00"/>
    <x v="1"/>
    <x v="2"/>
    <x v="2"/>
    <x v="0"/>
    <x v="33"/>
    <x v="3"/>
    <x v="10"/>
    <x v="1"/>
  </r>
  <r>
    <x v="1977"/>
    <x v="8"/>
    <x v="9"/>
    <n v="29.1"/>
    <n v="145.5"/>
    <x v="72"/>
    <d v="2025-03-22T00:00:00"/>
    <x v="3"/>
    <x v="2"/>
    <x v="1"/>
    <x v="0"/>
    <x v="33"/>
    <x v="9"/>
    <x v="10"/>
    <x v="3"/>
  </r>
  <r>
    <x v="1978"/>
    <x v="8"/>
    <x v="2"/>
    <n v="33.5"/>
    <n v="100.5"/>
    <x v="72"/>
    <d v="2025-03-26T00:00:00"/>
    <x v="1"/>
    <x v="0"/>
    <x v="2"/>
    <x v="0"/>
    <x v="22"/>
    <x v="13"/>
    <x v="10"/>
    <x v="1"/>
  </r>
  <r>
    <x v="1979"/>
    <x v="4"/>
    <x v="7"/>
    <n v="36"/>
    <n v="360"/>
    <x v="72"/>
    <d v="2025-03-14T00:00:00"/>
    <x v="1"/>
    <x v="3"/>
    <x v="2"/>
    <x v="0"/>
    <x v="3"/>
    <x v="7"/>
    <x v="10"/>
    <x v="1"/>
  </r>
  <r>
    <x v="1980"/>
    <x v="16"/>
    <x v="2"/>
    <n v="57.3"/>
    <n v="171.89999999999998"/>
    <x v="72"/>
    <d v="2025-03-18T00:00:00"/>
    <x v="2"/>
    <x v="0"/>
    <x v="2"/>
    <x v="0"/>
    <x v="3"/>
    <x v="5"/>
    <x v="10"/>
    <x v="2"/>
  </r>
  <r>
    <x v="1981"/>
    <x v="1"/>
    <x v="0"/>
    <n v="81.400000000000006"/>
    <n v="81.400000000000006"/>
    <x v="72"/>
    <d v="2025-03-15T00:00:00"/>
    <x v="2"/>
    <x v="2"/>
    <x v="2"/>
    <x v="0"/>
    <x v="3"/>
    <x v="3"/>
    <x v="10"/>
    <x v="2"/>
  </r>
  <r>
    <x v="1982"/>
    <x v="10"/>
    <x v="1"/>
    <n v="35.299999999999997"/>
    <n v="70.599999999999994"/>
    <x v="72"/>
    <d v="2025-03-18T00:00:00"/>
    <x v="1"/>
    <x v="0"/>
    <x v="2"/>
    <x v="0"/>
    <x v="3"/>
    <x v="5"/>
    <x v="10"/>
    <x v="1"/>
  </r>
  <r>
    <x v="1983"/>
    <x v="3"/>
    <x v="0"/>
    <n v="36.1"/>
    <n v="36.1"/>
    <x v="72"/>
    <d v="2025-03-15T00:00:00"/>
    <x v="2"/>
    <x v="4"/>
    <x v="0"/>
    <x v="0"/>
    <x v="3"/>
    <x v="3"/>
    <x v="10"/>
    <x v="2"/>
  </r>
  <r>
    <x v="1984"/>
    <x v="1"/>
    <x v="1"/>
    <n v="36.700000000000003"/>
    <n v="73.400000000000006"/>
    <x v="72"/>
    <d v="2025-03-16T00:00:00"/>
    <x v="2"/>
    <x v="0"/>
    <x v="2"/>
    <x v="0"/>
    <x v="3"/>
    <x v="1"/>
    <x v="10"/>
    <x v="2"/>
  </r>
  <r>
    <x v="1985"/>
    <x v="10"/>
    <x v="0"/>
    <n v="20.9"/>
    <n v="20.9"/>
    <x v="72"/>
    <d v="2025-03-16T00:00:00"/>
    <x v="2"/>
    <x v="0"/>
    <x v="4"/>
    <x v="0"/>
    <x v="3"/>
    <x v="1"/>
    <x v="10"/>
    <x v="2"/>
  </r>
  <r>
    <x v="1986"/>
    <x v="12"/>
    <x v="2"/>
    <n v="58.8"/>
    <n v="176.39999999999998"/>
    <x v="72"/>
    <d v="2025-03-18T00:00:00"/>
    <x v="1"/>
    <x v="0"/>
    <x v="2"/>
    <x v="0"/>
    <x v="25"/>
    <x v="5"/>
    <x v="10"/>
    <x v="1"/>
  </r>
  <r>
    <x v="1987"/>
    <x v="2"/>
    <x v="2"/>
    <n v="97.6"/>
    <n v="292.79999999999995"/>
    <x v="73"/>
    <d v="2025-03-17T00:00:00"/>
    <x v="0"/>
    <x v="0"/>
    <x v="0"/>
    <x v="0"/>
    <x v="6"/>
    <x v="1"/>
    <x v="10"/>
    <x v="0"/>
  </r>
  <r>
    <x v="1988"/>
    <x v="1"/>
    <x v="1"/>
    <n v="58.7"/>
    <n v="117.4"/>
    <x v="73"/>
    <d v="2025-03-18T00:00:00"/>
    <x v="2"/>
    <x v="0"/>
    <x v="1"/>
    <x v="0"/>
    <x v="6"/>
    <x v="2"/>
    <x v="10"/>
    <x v="2"/>
  </r>
  <r>
    <x v="1989"/>
    <x v="6"/>
    <x v="9"/>
    <n v="71.900000000000006"/>
    <n v="359.5"/>
    <x v="73"/>
    <d v="2025-03-16T00:00:00"/>
    <x v="0"/>
    <x v="0"/>
    <x v="1"/>
    <x v="0"/>
    <x v="6"/>
    <x v="3"/>
    <x v="10"/>
    <x v="0"/>
  </r>
  <r>
    <x v="1990"/>
    <x v="1"/>
    <x v="1"/>
    <n v="62.4"/>
    <n v="124.8"/>
    <x v="73"/>
    <d v="2025-03-17T00:00:00"/>
    <x v="0"/>
    <x v="0"/>
    <x v="1"/>
    <x v="0"/>
    <x v="8"/>
    <x v="1"/>
    <x v="10"/>
    <x v="0"/>
  </r>
  <r>
    <x v="1991"/>
    <x v="6"/>
    <x v="27"/>
    <n v="53.8"/>
    <n v="860.8"/>
    <x v="73"/>
    <d v="2025-03-16T00:00:00"/>
    <x v="2"/>
    <x v="1"/>
    <x v="0"/>
    <x v="0"/>
    <x v="8"/>
    <x v="3"/>
    <x v="10"/>
    <x v="2"/>
  </r>
  <r>
    <x v="1992"/>
    <x v="9"/>
    <x v="0"/>
    <n v="43.8"/>
    <n v="43.8"/>
    <x v="73"/>
    <d v="2025-03-22T00:00:00"/>
    <x v="2"/>
    <x v="0"/>
    <x v="2"/>
    <x v="0"/>
    <x v="8"/>
    <x v="6"/>
    <x v="10"/>
    <x v="2"/>
  </r>
  <r>
    <x v="1993"/>
    <x v="5"/>
    <x v="2"/>
    <n v="53.6"/>
    <n v="160.80000000000001"/>
    <x v="73"/>
    <d v="2025-03-16T00:00:00"/>
    <x v="1"/>
    <x v="3"/>
    <x v="0"/>
    <x v="0"/>
    <x v="8"/>
    <x v="3"/>
    <x v="10"/>
    <x v="1"/>
  </r>
  <r>
    <x v="1994"/>
    <x v="12"/>
    <x v="1"/>
    <n v="84.3"/>
    <n v="168.6"/>
    <x v="73"/>
    <d v="2025-03-18T00:00:00"/>
    <x v="1"/>
    <x v="4"/>
    <x v="1"/>
    <x v="0"/>
    <x v="8"/>
    <x v="2"/>
    <x v="10"/>
    <x v="1"/>
  </r>
  <r>
    <x v="1995"/>
    <x v="6"/>
    <x v="11"/>
    <n v="117.9"/>
    <n v="1061.1000000000001"/>
    <x v="73"/>
    <d v="2025-03-16T00:00:00"/>
    <x v="2"/>
    <x v="1"/>
    <x v="2"/>
    <x v="0"/>
    <x v="8"/>
    <x v="3"/>
    <x v="10"/>
    <x v="2"/>
  </r>
  <r>
    <x v="1996"/>
    <x v="4"/>
    <x v="8"/>
    <n v="30"/>
    <n v="240"/>
    <x v="73"/>
    <d v="2025-03-16T00:00:00"/>
    <x v="2"/>
    <x v="1"/>
    <x v="0"/>
    <x v="0"/>
    <x v="26"/>
    <x v="3"/>
    <x v="10"/>
    <x v="2"/>
  </r>
  <r>
    <x v="1997"/>
    <x v="14"/>
    <x v="2"/>
    <n v="37.299999999999997"/>
    <n v="111.89999999999999"/>
    <x v="73"/>
    <d v="2025-03-16T00:00:00"/>
    <x v="1"/>
    <x v="2"/>
    <x v="0"/>
    <x v="0"/>
    <x v="9"/>
    <x v="3"/>
    <x v="10"/>
    <x v="1"/>
  </r>
  <r>
    <x v="1998"/>
    <x v="4"/>
    <x v="11"/>
    <n v="25.1"/>
    <n v="225.9"/>
    <x v="73"/>
    <d v="2025-03-17T00:00:00"/>
    <x v="1"/>
    <x v="1"/>
    <x v="2"/>
    <x v="0"/>
    <x v="11"/>
    <x v="1"/>
    <x v="10"/>
    <x v="1"/>
  </r>
  <r>
    <x v="1999"/>
    <x v="8"/>
    <x v="5"/>
    <n v="36"/>
    <n v="396"/>
    <x v="73"/>
    <d v="2025-03-25T00:00:00"/>
    <x v="1"/>
    <x v="1"/>
    <x v="0"/>
    <x v="0"/>
    <x v="18"/>
    <x v="14"/>
    <x v="10"/>
    <x v="1"/>
  </r>
  <r>
    <x v="2000"/>
    <x v="16"/>
    <x v="2"/>
    <n v="48.5"/>
    <n v="145.5"/>
    <x v="73"/>
    <d v="2025-03-19T00:00:00"/>
    <x v="2"/>
    <x v="1"/>
    <x v="0"/>
    <x v="0"/>
    <x v="19"/>
    <x v="5"/>
    <x v="10"/>
    <x v="2"/>
  </r>
  <r>
    <x v="2001"/>
    <x v="17"/>
    <x v="13"/>
    <n v="21.1"/>
    <n v="126.60000000000001"/>
    <x v="73"/>
    <d v="2025-03-16T00:00:00"/>
    <x v="1"/>
    <x v="1"/>
    <x v="2"/>
    <x v="0"/>
    <x v="21"/>
    <x v="3"/>
    <x v="10"/>
    <x v="1"/>
  </r>
  <r>
    <x v="2002"/>
    <x v="15"/>
    <x v="21"/>
    <n v="43.2"/>
    <n v="604.80000000000007"/>
    <x v="73"/>
    <d v="2025-03-16T00:00:00"/>
    <x v="3"/>
    <x v="0"/>
    <x v="1"/>
    <x v="0"/>
    <x v="21"/>
    <x v="3"/>
    <x v="10"/>
    <x v="3"/>
  </r>
  <r>
    <x v="2003"/>
    <x v="9"/>
    <x v="1"/>
    <n v="21.1"/>
    <n v="42.2"/>
    <x v="73"/>
    <d v="2025-03-16T00:00:00"/>
    <x v="0"/>
    <x v="3"/>
    <x v="1"/>
    <x v="0"/>
    <x v="21"/>
    <x v="3"/>
    <x v="10"/>
    <x v="0"/>
  </r>
  <r>
    <x v="2004"/>
    <x v="6"/>
    <x v="12"/>
    <n v="41.3"/>
    <n v="165.2"/>
    <x v="73"/>
    <d v="2025-03-17T00:00:00"/>
    <x v="2"/>
    <x v="3"/>
    <x v="2"/>
    <x v="0"/>
    <x v="1"/>
    <x v="1"/>
    <x v="10"/>
    <x v="2"/>
  </r>
  <r>
    <x v="2005"/>
    <x v="8"/>
    <x v="1"/>
    <n v="15.3"/>
    <n v="30.6"/>
    <x v="73"/>
    <d v="2025-03-18T00:00:00"/>
    <x v="0"/>
    <x v="2"/>
    <x v="2"/>
    <x v="0"/>
    <x v="1"/>
    <x v="2"/>
    <x v="10"/>
    <x v="0"/>
  </r>
  <r>
    <x v="2006"/>
    <x v="1"/>
    <x v="0"/>
    <n v="54.6"/>
    <n v="54.6"/>
    <x v="73"/>
    <d v="2025-03-17T00:00:00"/>
    <x v="1"/>
    <x v="1"/>
    <x v="1"/>
    <x v="0"/>
    <x v="2"/>
    <x v="1"/>
    <x v="10"/>
    <x v="1"/>
  </r>
  <r>
    <x v="2007"/>
    <x v="8"/>
    <x v="0"/>
    <n v="15.9"/>
    <n v="15.9"/>
    <x v="73"/>
    <d v="2025-03-16T00:00:00"/>
    <x v="1"/>
    <x v="0"/>
    <x v="1"/>
    <x v="0"/>
    <x v="22"/>
    <x v="3"/>
    <x v="10"/>
    <x v="1"/>
  </r>
  <r>
    <x v="2008"/>
    <x v="9"/>
    <x v="0"/>
    <n v="50.2"/>
    <n v="50.2"/>
    <x v="73"/>
    <d v="2025-03-17T00:00:00"/>
    <x v="2"/>
    <x v="3"/>
    <x v="2"/>
    <x v="0"/>
    <x v="34"/>
    <x v="1"/>
    <x v="10"/>
    <x v="2"/>
  </r>
  <r>
    <x v="2009"/>
    <x v="11"/>
    <x v="12"/>
    <n v="85.1"/>
    <n v="340.4"/>
    <x v="73"/>
    <d v="2025-03-16T00:00:00"/>
    <x v="2"/>
    <x v="3"/>
    <x v="4"/>
    <x v="0"/>
    <x v="34"/>
    <x v="3"/>
    <x v="10"/>
    <x v="2"/>
  </r>
  <r>
    <x v="2010"/>
    <x v="11"/>
    <x v="1"/>
    <n v="41.4"/>
    <n v="82.8"/>
    <x v="73"/>
    <d v="2025-03-16T00:00:00"/>
    <x v="2"/>
    <x v="0"/>
    <x v="2"/>
    <x v="0"/>
    <x v="3"/>
    <x v="3"/>
    <x v="10"/>
    <x v="2"/>
  </r>
  <r>
    <x v="2011"/>
    <x v="4"/>
    <x v="3"/>
    <n v="32.700000000000003"/>
    <n v="228.90000000000003"/>
    <x v="73"/>
    <d v="2025-03-16T00:00:00"/>
    <x v="2"/>
    <x v="2"/>
    <x v="1"/>
    <x v="0"/>
    <x v="3"/>
    <x v="3"/>
    <x v="10"/>
    <x v="2"/>
  </r>
  <r>
    <x v="2012"/>
    <x v="4"/>
    <x v="1"/>
    <n v="41.6"/>
    <n v="83.2"/>
    <x v="73"/>
    <d v="2025-03-17T00:00:00"/>
    <x v="1"/>
    <x v="4"/>
    <x v="1"/>
    <x v="0"/>
    <x v="3"/>
    <x v="1"/>
    <x v="10"/>
    <x v="1"/>
  </r>
  <r>
    <x v="2013"/>
    <x v="5"/>
    <x v="12"/>
    <n v="64.8"/>
    <n v="259.2"/>
    <x v="73"/>
    <d v="2025-03-16T00:00:00"/>
    <x v="0"/>
    <x v="2"/>
    <x v="0"/>
    <x v="0"/>
    <x v="3"/>
    <x v="3"/>
    <x v="10"/>
    <x v="0"/>
  </r>
  <r>
    <x v="2014"/>
    <x v="15"/>
    <x v="1"/>
    <n v="33.6"/>
    <n v="67.2"/>
    <x v="73"/>
    <d v="2025-03-16T00:00:00"/>
    <x v="1"/>
    <x v="0"/>
    <x v="2"/>
    <x v="0"/>
    <x v="3"/>
    <x v="3"/>
    <x v="10"/>
    <x v="1"/>
  </r>
  <r>
    <x v="2015"/>
    <x v="6"/>
    <x v="2"/>
    <n v="100.7"/>
    <n v="302.10000000000002"/>
    <x v="73"/>
    <d v="2025-03-16T00:00:00"/>
    <x v="0"/>
    <x v="1"/>
    <x v="0"/>
    <x v="0"/>
    <x v="3"/>
    <x v="3"/>
    <x v="10"/>
    <x v="0"/>
  </r>
  <r>
    <x v="2016"/>
    <x v="4"/>
    <x v="1"/>
    <n v="49.3"/>
    <n v="98.6"/>
    <x v="74"/>
    <d v="2025-03-18T00:00:00"/>
    <x v="2"/>
    <x v="4"/>
    <x v="2"/>
    <x v="0"/>
    <x v="3"/>
    <x v="1"/>
    <x v="11"/>
    <x v="2"/>
  </r>
  <r>
    <x v="2017"/>
    <x v="2"/>
    <x v="13"/>
    <n v="97"/>
    <n v="582"/>
    <x v="74"/>
    <d v="2025-03-19T00:00:00"/>
    <x v="1"/>
    <x v="2"/>
    <x v="2"/>
    <x v="0"/>
    <x v="3"/>
    <x v="2"/>
    <x v="11"/>
    <x v="1"/>
  </r>
  <r>
    <x v="2018"/>
    <x v="0"/>
    <x v="13"/>
    <n v="25.2"/>
    <n v="151.19999999999999"/>
    <x v="74"/>
    <d v="2025-03-19T00:00:00"/>
    <x v="2"/>
    <x v="4"/>
    <x v="2"/>
    <x v="0"/>
    <x v="3"/>
    <x v="2"/>
    <x v="11"/>
    <x v="2"/>
  </r>
  <r>
    <x v="2019"/>
    <x v="0"/>
    <x v="5"/>
    <n v="12.2"/>
    <n v="134.19999999999999"/>
    <x v="74"/>
    <d v="2025-03-17T00:00:00"/>
    <x v="0"/>
    <x v="0"/>
    <x v="1"/>
    <x v="0"/>
    <x v="3"/>
    <x v="3"/>
    <x v="11"/>
    <x v="0"/>
  </r>
  <r>
    <x v="2020"/>
    <x v="8"/>
    <x v="3"/>
    <n v="38.799999999999997"/>
    <n v="271.59999999999997"/>
    <x v="74"/>
    <d v="2025-03-18T00:00:00"/>
    <x v="2"/>
    <x v="1"/>
    <x v="1"/>
    <x v="0"/>
    <x v="23"/>
    <x v="1"/>
    <x v="11"/>
    <x v="2"/>
  </r>
  <r>
    <x v="2021"/>
    <x v="2"/>
    <x v="12"/>
    <n v="53.2"/>
    <n v="212.8"/>
    <x v="74"/>
    <d v="2025-03-17T00:00:00"/>
    <x v="1"/>
    <x v="0"/>
    <x v="2"/>
    <x v="0"/>
    <x v="8"/>
    <x v="3"/>
    <x v="11"/>
    <x v="1"/>
  </r>
  <r>
    <x v="2022"/>
    <x v="6"/>
    <x v="3"/>
    <n v="151"/>
    <n v="1057"/>
    <x v="74"/>
    <d v="2025-03-17T00:00:00"/>
    <x v="3"/>
    <x v="1"/>
    <x v="1"/>
    <x v="0"/>
    <x v="8"/>
    <x v="3"/>
    <x v="11"/>
    <x v="3"/>
  </r>
  <r>
    <x v="2023"/>
    <x v="1"/>
    <x v="1"/>
    <n v="37.1"/>
    <n v="74.2"/>
    <x v="74"/>
    <d v="2025-03-17T00:00:00"/>
    <x v="2"/>
    <x v="4"/>
    <x v="0"/>
    <x v="0"/>
    <x v="8"/>
    <x v="3"/>
    <x v="11"/>
    <x v="2"/>
  </r>
  <r>
    <x v="2024"/>
    <x v="5"/>
    <x v="1"/>
    <n v="38.9"/>
    <n v="77.8"/>
    <x v="74"/>
    <d v="2025-03-17T00:00:00"/>
    <x v="1"/>
    <x v="4"/>
    <x v="0"/>
    <x v="0"/>
    <x v="8"/>
    <x v="3"/>
    <x v="11"/>
    <x v="1"/>
  </r>
  <r>
    <x v="2025"/>
    <x v="10"/>
    <x v="1"/>
    <n v="35.200000000000003"/>
    <n v="70.400000000000006"/>
    <x v="74"/>
    <d v="2025-03-17T00:00:00"/>
    <x v="1"/>
    <x v="0"/>
    <x v="2"/>
    <x v="0"/>
    <x v="17"/>
    <x v="3"/>
    <x v="11"/>
    <x v="1"/>
  </r>
  <r>
    <x v="2026"/>
    <x v="0"/>
    <x v="1"/>
    <n v="22.3"/>
    <n v="44.6"/>
    <x v="74"/>
    <d v="2025-03-18T00:00:00"/>
    <x v="2"/>
    <x v="1"/>
    <x v="0"/>
    <x v="0"/>
    <x v="9"/>
    <x v="1"/>
    <x v="11"/>
    <x v="2"/>
  </r>
  <r>
    <x v="2027"/>
    <x v="9"/>
    <x v="0"/>
    <n v="43.3"/>
    <n v="43.3"/>
    <x v="74"/>
    <d v="2025-03-19T00:00:00"/>
    <x v="2"/>
    <x v="0"/>
    <x v="2"/>
    <x v="0"/>
    <x v="11"/>
    <x v="2"/>
    <x v="11"/>
    <x v="2"/>
  </r>
  <r>
    <x v="2028"/>
    <x v="6"/>
    <x v="13"/>
    <n v="75.900000000000006"/>
    <n v="455.40000000000003"/>
    <x v="74"/>
    <d v="2025-03-22T00:00:00"/>
    <x v="1"/>
    <x v="0"/>
    <x v="0"/>
    <x v="0"/>
    <x v="11"/>
    <x v="4"/>
    <x v="11"/>
    <x v="1"/>
  </r>
  <r>
    <x v="2029"/>
    <x v="6"/>
    <x v="2"/>
    <n v="78.7"/>
    <n v="236.10000000000002"/>
    <x v="74"/>
    <d v="2025-03-20T00:00:00"/>
    <x v="2"/>
    <x v="2"/>
    <x v="1"/>
    <x v="0"/>
    <x v="11"/>
    <x v="5"/>
    <x v="11"/>
    <x v="2"/>
  </r>
  <r>
    <x v="2030"/>
    <x v="1"/>
    <x v="0"/>
    <n v="66.3"/>
    <n v="66.3"/>
    <x v="74"/>
    <d v="2025-03-20T00:00:00"/>
    <x v="2"/>
    <x v="0"/>
    <x v="2"/>
    <x v="0"/>
    <x v="19"/>
    <x v="5"/>
    <x v="11"/>
    <x v="2"/>
  </r>
  <r>
    <x v="2031"/>
    <x v="8"/>
    <x v="1"/>
    <n v="33.6"/>
    <n v="67.2"/>
    <x v="74"/>
    <d v="2025-03-16T00:00:00"/>
    <x v="1"/>
    <x v="0"/>
    <x v="1"/>
    <x v="0"/>
    <x v="19"/>
    <x v="7"/>
    <x v="11"/>
    <x v="1"/>
  </r>
  <r>
    <x v="2032"/>
    <x v="2"/>
    <x v="3"/>
    <n v="61.4"/>
    <n v="429.8"/>
    <x v="74"/>
    <d v="2025-03-17T00:00:00"/>
    <x v="1"/>
    <x v="4"/>
    <x v="0"/>
    <x v="0"/>
    <x v="19"/>
    <x v="3"/>
    <x v="11"/>
    <x v="1"/>
  </r>
  <r>
    <x v="2033"/>
    <x v="8"/>
    <x v="1"/>
    <n v="17.5"/>
    <n v="35"/>
    <x v="74"/>
    <d v="2025-03-19T00:00:00"/>
    <x v="2"/>
    <x v="0"/>
    <x v="0"/>
    <x v="0"/>
    <x v="21"/>
    <x v="2"/>
    <x v="11"/>
    <x v="2"/>
  </r>
  <r>
    <x v="2034"/>
    <x v="8"/>
    <x v="1"/>
    <n v="32.5"/>
    <n v="65"/>
    <x v="74"/>
    <d v="2025-03-19T00:00:00"/>
    <x v="2"/>
    <x v="1"/>
    <x v="0"/>
    <x v="0"/>
    <x v="21"/>
    <x v="2"/>
    <x v="11"/>
    <x v="2"/>
  </r>
  <r>
    <x v="2035"/>
    <x v="4"/>
    <x v="0"/>
    <n v="34.6"/>
    <n v="34.6"/>
    <x v="74"/>
    <d v="2025-03-17T00:00:00"/>
    <x v="2"/>
    <x v="4"/>
    <x v="0"/>
    <x v="0"/>
    <x v="21"/>
    <x v="3"/>
    <x v="11"/>
    <x v="2"/>
  </r>
  <r>
    <x v="2036"/>
    <x v="2"/>
    <x v="0"/>
    <n v="75.900000000000006"/>
    <n v="75.900000000000006"/>
    <x v="74"/>
    <d v="2025-03-16T00:00:00"/>
    <x v="1"/>
    <x v="1"/>
    <x v="2"/>
    <x v="0"/>
    <x v="21"/>
    <x v="7"/>
    <x v="11"/>
    <x v="1"/>
  </r>
  <r>
    <x v="2037"/>
    <x v="1"/>
    <x v="2"/>
    <n v="42.1"/>
    <n v="126.30000000000001"/>
    <x v="74"/>
    <d v="2025-03-19T00:00:00"/>
    <x v="1"/>
    <x v="1"/>
    <x v="1"/>
    <x v="0"/>
    <x v="21"/>
    <x v="2"/>
    <x v="11"/>
    <x v="1"/>
  </r>
  <r>
    <x v="2038"/>
    <x v="7"/>
    <x v="2"/>
    <n v="65.3"/>
    <n v="195.89999999999998"/>
    <x v="74"/>
    <d v="2025-03-23T00:00:00"/>
    <x v="1"/>
    <x v="0"/>
    <x v="0"/>
    <x v="0"/>
    <x v="1"/>
    <x v="6"/>
    <x v="11"/>
    <x v="1"/>
  </r>
  <r>
    <x v="2039"/>
    <x v="15"/>
    <x v="0"/>
    <n v="20.6"/>
    <n v="20.6"/>
    <x v="74"/>
    <d v="2025-03-19T00:00:00"/>
    <x v="1"/>
    <x v="3"/>
    <x v="0"/>
    <x v="0"/>
    <x v="42"/>
    <x v="2"/>
    <x v="11"/>
    <x v="1"/>
  </r>
  <r>
    <x v="2040"/>
    <x v="8"/>
    <x v="3"/>
    <n v="16.5"/>
    <n v="115.5"/>
    <x v="74"/>
    <d v="2025-03-17T00:00:00"/>
    <x v="1"/>
    <x v="1"/>
    <x v="1"/>
    <x v="0"/>
    <x v="2"/>
    <x v="3"/>
    <x v="11"/>
    <x v="1"/>
  </r>
  <r>
    <x v="2041"/>
    <x v="16"/>
    <x v="7"/>
    <n v="36.200000000000003"/>
    <n v="362"/>
    <x v="74"/>
    <d v="2025-03-18T00:00:00"/>
    <x v="1"/>
    <x v="0"/>
    <x v="2"/>
    <x v="0"/>
    <x v="2"/>
    <x v="1"/>
    <x v="11"/>
    <x v="1"/>
  </r>
  <r>
    <x v="2042"/>
    <x v="6"/>
    <x v="0"/>
    <n v="53.2"/>
    <n v="53.2"/>
    <x v="74"/>
    <d v="2025-03-17T00:00:00"/>
    <x v="2"/>
    <x v="0"/>
    <x v="1"/>
    <x v="0"/>
    <x v="22"/>
    <x v="3"/>
    <x v="11"/>
    <x v="2"/>
  </r>
  <r>
    <x v="2043"/>
    <x v="2"/>
    <x v="21"/>
    <n v="176"/>
    <n v="2464"/>
    <x v="74"/>
    <d v="2025-03-17T00:00:00"/>
    <x v="2"/>
    <x v="0"/>
    <x v="1"/>
    <x v="0"/>
    <x v="3"/>
    <x v="3"/>
    <x v="11"/>
    <x v="2"/>
  </r>
  <r>
    <x v="2044"/>
    <x v="1"/>
    <x v="0"/>
    <n v="52.4"/>
    <n v="52.4"/>
    <x v="74"/>
    <d v="2025-03-17T00:00:00"/>
    <x v="1"/>
    <x v="1"/>
    <x v="0"/>
    <x v="0"/>
    <x v="3"/>
    <x v="3"/>
    <x v="11"/>
    <x v="1"/>
  </r>
  <r>
    <x v="2045"/>
    <x v="10"/>
    <x v="2"/>
    <n v="48.2"/>
    <n v="144.60000000000002"/>
    <x v="74"/>
    <d v="2025-03-17T00:00:00"/>
    <x v="2"/>
    <x v="1"/>
    <x v="2"/>
    <x v="0"/>
    <x v="3"/>
    <x v="3"/>
    <x v="11"/>
    <x v="2"/>
  </r>
  <r>
    <x v="2046"/>
    <x v="15"/>
    <x v="0"/>
    <n v="51.6"/>
    <n v="51.6"/>
    <x v="74"/>
    <d v="2025-03-20T00:00:00"/>
    <x v="2"/>
    <x v="2"/>
    <x v="1"/>
    <x v="0"/>
    <x v="3"/>
    <x v="5"/>
    <x v="11"/>
    <x v="2"/>
  </r>
  <r>
    <x v="2047"/>
    <x v="0"/>
    <x v="12"/>
    <n v="33.700000000000003"/>
    <n v="134.80000000000001"/>
    <x v="75"/>
    <d v="2025-03-18T00:00:00"/>
    <x v="1"/>
    <x v="0"/>
    <x v="0"/>
    <x v="0"/>
    <x v="3"/>
    <x v="3"/>
    <x v="11"/>
    <x v="1"/>
  </r>
  <r>
    <x v="2048"/>
    <x v="4"/>
    <x v="7"/>
    <n v="36.299999999999997"/>
    <n v="363"/>
    <x v="75"/>
    <d v="2025-03-19T00:00:00"/>
    <x v="2"/>
    <x v="4"/>
    <x v="1"/>
    <x v="0"/>
    <x v="3"/>
    <x v="1"/>
    <x v="11"/>
    <x v="2"/>
  </r>
  <r>
    <x v="2049"/>
    <x v="8"/>
    <x v="0"/>
    <n v="23.4"/>
    <n v="23.4"/>
    <x v="75"/>
    <d v="2025-03-22T00:00:00"/>
    <x v="2"/>
    <x v="1"/>
    <x v="2"/>
    <x v="0"/>
    <x v="3"/>
    <x v="0"/>
    <x v="11"/>
    <x v="2"/>
  </r>
  <r>
    <x v="2050"/>
    <x v="15"/>
    <x v="8"/>
    <n v="56.6"/>
    <n v="452.8"/>
    <x v="75"/>
    <d v="2025-03-19T00:00:00"/>
    <x v="2"/>
    <x v="1"/>
    <x v="0"/>
    <x v="0"/>
    <x v="3"/>
    <x v="1"/>
    <x v="11"/>
    <x v="2"/>
  </r>
  <r>
    <x v="2051"/>
    <x v="15"/>
    <x v="1"/>
    <n v="26.8"/>
    <n v="53.6"/>
    <x v="75"/>
    <d v="2025-03-18T00:00:00"/>
    <x v="1"/>
    <x v="0"/>
    <x v="0"/>
    <x v="0"/>
    <x v="4"/>
    <x v="3"/>
    <x v="11"/>
    <x v="1"/>
  </r>
  <r>
    <x v="2052"/>
    <x v="0"/>
    <x v="2"/>
    <n v="11.3"/>
    <n v="33.900000000000006"/>
    <x v="75"/>
    <d v="2025-03-19T00:00:00"/>
    <x v="1"/>
    <x v="2"/>
    <x v="0"/>
    <x v="0"/>
    <x v="25"/>
    <x v="1"/>
    <x v="11"/>
    <x v="1"/>
  </r>
  <r>
    <x v="2053"/>
    <x v="6"/>
    <x v="2"/>
    <n v="60.1"/>
    <n v="180.3"/>
    <x v="75"/>
    <d v="2025-03-20T00:00:00"/>
    <x v="2"/>
    <x v="0"/>
    <x v="0"/>
    <x v="0"/>
    <x v="7"/>
    <x v="2"/>
    <x v="11"/>
    <x v="2"/>
  </r>
  <r>
    <x v="2054"/>
    <x v="0"/>
    <x v="5"/>
    <n v="27.7"/>
    <n v="304.7"/>
    <x v="75"/>
    <d v="2025-03-22T00:00:00"/>
    <x v="2"/>
    <x v="0"/>
    <x v="0"/>
    <x v="0"/>
    <x v="8"/>
    <x v="0"/>
    <x v="11"/>
    <x v="2"/>
  </r>
  <r>
    <x v="2055"/>
    <x v="15"/>
    <x v="0"/>
    <n v="71.400000000000006"/>
    <n v="71.400000000000006"/>
    <x v="75"/>
    <d v="2025-03-20T00:00:00"/>
    <x v="1"/>
    <x v="0"/>
    <x v="2"/>
    <x v="0"/>
    <x v="8"/>
    <x v="2"/>
    <x v="11"/>
    <x v="1"/>
  </r>
  <r>
    <x v="2056"/>
    <x v="2"/>
    <x v="1"/>
    <n v="66.7"/>
    <n v="133.4"/>
    <x v="75"/>
    <d v="2025-03-18T00:00:00"/>
    <x v="2"/>
    <x v="0"/>
    <x v="2"/>
    <x v="0"/>
    <x v="8"/>
    <x v="3"/>
    <x v="11"/>
    <x v="2"/>
  </r>
  <r>
    <x v="2057"/>
    <x v="13"/>
    <x v="9"/>
    <n v="39.1"/>
    <n v="195.5"/>
    <x v="75"/>
    <d v="2025-03-18T00:00:00"/>
    <x v="2"/>
    <x v="0"/>
    <x v="0"/>
    <x v="0"/>
    <x v="8"/>
    <x v="3"/>
    <x v="11"/>
    <x v="2"/>
  </r>
  <r>
    <x v="2058"/>
    <x v="8"/>
    <x v="12"/>
    <n v="24.9"/>
    <n v="99.6"/>
    <x v="75"/>
    <d v="2025-03-22T00:00:00"/>
    <x v="1"/>
    <x v="1"/>
    <x v="2"/>
    <x v="0"/>
    <x v="8"/>
    <x v="0"/>
    <x v="11"/>
    <x v="1"/>
  </r>
  <r>
    <x v="2059"/>
    <x v="5"/>
    <x v="9"/>
    <n v="29.2"/>
    <n v="146"/>
    <x v="75"/>
    <d v="2025-03-18T00:00:00"/>
    <x v="1"/>
    <x v="0"/>
    <x v="2"/>
    <x v="0"/>
    <x v="17"/>
    <x v="3"/>
    <x v="11"/>
    <x v="1"/>
  </r>
  <r>
    <x v="2060"/>
    <x v="13"/>
    <x v="21"/>
    <n v="28.3"/>
    <n v="396.2"/>
    <x v="75"/>
    <d v="2025-03-19T00:00:00"/>
    <x v="2"/>
    <x v="1"/>
    <x v="0"/>
    <x v="0"/>
    <x v="11"/>
    <x v="1"/>
    <x v="11"/>
    <x v="2"/>
  </r>
  <r>
    <x v="2061"/>
    <x v="9"/>
    <x v="2"/>
    <n v="37.799999999999997"/>
    <n v="113.39999999999999"/>
    <x v="75"/>
    <d v="2025-03-18T00:00:00"/>
    <x v="2"/>
    <x v="0"/>
    <x v="1"/>
    <x v="0"/>
    <x v="11"/>
    <x v="3"/>
    <x v="11"/>
    <x v="2"/>
  </r>
  <r>
    <x v="2062"/>
    <x v="14"/>
    <x v="3"/>
    <n v="28.1"/>
    <n v="196.70000000000002"/>
    <x v="75"/>
    <d v="2025-03-23T00:00:00"/>
    <x v="2"/>
    <x v="2"/>
    <x v="0"/>
    <x v="0"/>
    <x v="11"/>
    <x v="4"/>
    <x v="11"/>
    <x v="2"/>
  </r>
  <r>
    <x v="2063"/>
    <x v="1"/>
    <x v="2"/>
    <n v="59.7"/>
    <n v="179.10000000000002"/>
    <x v="75"/>
    <d v="2025-03-19T00:00:00"/>
    <x v="2"/>
    <x v="2"/>
    <x v="0"/>
    <x v="0"/>
    <x v="11"/>
    <x v="1"/>
    <x v="11"/>
    <x v="2"/>
  </r>
  <r>
    <x v="2064"/>
    <x v="16"/>
    <x v="0"/>
    <n v="71.900000000000006"/>
    <n v="71.900000000000006"/>
    <x v="75"/>
    <d v="2025-03-18T00:00:00"/>
    <x v="1"/>
    <x v="1"/>
    <x v="1"/>
    <x v="0"/>
    <x v="11"/>
    <x v="3"/>
    <x v="11"/>
    <x v="1"/>
  </r>
  <r>
    <x v="2065"/>
    <x v="1"/>
    <x v="1"/>
    <n v="56.9"/>
    <n v="113.8"/>
    <x v="75"/>
    <d v="2025-03-18T00:00:00"/>
    <x v="1"/>
    <x v="2"/>
    <x v="0"/>
    <x v="0"/>
    <x v="13"/>
    <x v="3"/>
    <x v="11"/>
    <x v="1"/>
  </r>
  <r>
    <x v="2066"/>
    <x v="8"/>
    <x v="1"/>
    <n v="15.8"/>
    <n v="31.6"/>
    <x v="75"/>
    <d v="2025-03-20T00:00:00"/>
    <x v="2"/>
    <x v="2"/>
    <x v="1"/>
    <x v="0"/>
    <x v="1"/>
    <x v="2"/>
    <x v="11"/>
    <x v="2"/>
  </r>
  <r>
    <x v="2067"/>
    <x v="11"/>
    <x v="12"/>
    <n v="61.7"/>
    <n v="246.8"/>
    <x v="75"/>
    <d v="2025-03-19T00:00:00"/>
    <x v="2"/>
    <x v="2"/>
    <x v="0"/>
    <x v="0"/>
    <x v="22"/>
    <x v="1"/>
    <x v="11"/>
    <x v="2"/>
  </r>
  <r>
    <x v="2068"/>
    <x v="2"/>
    <x v="7"/>
    <n v="105.2"/>
    <n v="1052"/>
    <x v="75"/>
    <d v="2025-03-19T00:00:00"/>
    <x v="1"/>
    <x v="1"/>
    <x v="4"/>
    <x v="0"/>
    <x v="3"/>
    <x v="1"/>
    <x v="11"/>
    <x v="1"/>
  </r>
  <r>
    <x v="2069"/>
    <x v="0"/>
    <x v="1"/>
    <n v="17"/>
    <n v="34"/>
    <x v="75"/>
    <d v="2025-03-19T00:00:00"/>
    <x v="2"/>
    <x v="2"/>
    <x v="0"/>
    <x v="0"/>
    <x v="3"/>
    <x v="1"/>
    <x v="11"/>
    <x v="2"/>
  </r>
  <r>
    <x v="2070"/>
    <x v="6"/>
    <x v="2"/>
    <n v="84.1"/>
    <n v="252.29999999999998"/>
    <x v="75"/>
    <d v="2025-03-18T00:00:00"/>
    <x v="1"/>
    <x v="2"/>
    <x v="0"/>
    <x v="0"/>
    <x v="3"/>
    <x v="3"/>
    <x v="11"/>
    <x v="1"/>
  </r>
  <r>
    <x v="2071"/>
    <x v="3"/>
    <x v="12"/>
    <n v="59.5"/>
    <n v="238"/>
    <x v="75"/>
    <d v="2025-03-22T00:00:00"/>
    <x v="1"/>
    <x v="0"/>
    <x v="2"/>
    <x v="0"/>
    <x v="3"/>
    <x v="0"/>
    <x v="11"/>
    <x v="1"/>
  </r>
  <r>
    <x v="2072"/>
    <x v="8"/>
    <x v="1"/>
    <n v="57.5"/>
    <n v="115"/>
    <x v="75"/>
    <d v="2025-03-19T00:00:00"/>
    <x v="1"/>
    <x v="1"/>
    <x v="2"/>
    <x v="0"/>
    <x v="3"/>
    <x v="1"/>
    <x v="11"/>
    <x v="1"/>
  </r>
  <r>
    <x v="2073"/>
    <x v="8"/>
    <x v="0"/>
    <n v="34.299999999999997"/>
    <n v="34.299999999999997"/>
    <x v="75"/>
    <d v="2025-03-18T00:00:00"/>
    <x v="2"/>
    <x v="4"/>
    <x v="2"/>
    <x v="0"/>
    <x v="3"/>
    <x v="3"/>
    <x v="11"/>
    <x v="2"/>
  </r>
  <r>
    <x v="2074"/>
    <x v="5"/>
    <x v="1"/>
    <n v="27.8"/>
    <n v="55.6"/>
    <x v="76"/>
    <d v="2025-03-20T00:00:00"/>
    <x v="2"/>
    <x v="0"/>
    <x v="0"/>
    <x v="0"/>
    <x v="3"/>
    <x v="1"/>
    <x v="11"/>
    <x v="2"/>
  </r>
  <r>
    <x v="2075"/>
    <x v="12"/>
    <x v="1"/>
    <n v="85"/>
    <n v="170"/>
    <x v="76"/>
    <d v="2025-03-18T00:00:00"/>
    <x v="1"/>
    <x v="2"/>
    <x v="2"/>
    <x v="0"/>
    <x v="3"/>
    <x v="7"/>
    <x v="11"/>
    <x v="1"/>
  </r>
  <r>
    <x v="2076"/>
    <x v="6"/>
    <x v="1"/>
    <n v="95"/>
    <n v="190"/>
    <x v="76"/>
    <d v="2025-03-20T00:00:00"/>
    <x v="2"/>
    <x v="0"/>
    <x v="0"/>
    <x v="0"/>
    <x v="3"/>
    <x v="1"/>
    <x v="11"/>
    <x v="2"/>
  </r>
  <r>
    <x v="2077"/>
    <x v="16"/>
    <x v="1"/>
    <n v="32"/>
    <n v="64"/>
    <x v="76"/>
    <d v="2025-03-20T00:00:00"/>
    <x v="1"/>
    <x v="0"/>
    <x v="1"/>
    <x v="0"/>
    <x v="3"/>
    <x v="1"/>
    <x v="11"/>
    <x v="1"/>
  </r>
  <r>
    <x v="2078"/>
    <x v="2"/>
    <x v="1"/>
    <n v="65.2"/>
    <n v="130.4"/>
    <x v="76"/>
    <d v="2025-03-19T00:00:00"/>
    <x v="2"/>
    <x v="1"/>
    <x v="0"/>
    <x v="0"/>
    <x v="3"/>
    <x v="3"/>
    <x v="11"/>
    <x v="2"/>
  </r>
  <r>
    <x v="2079"/>
    <x v="17"/>
    <x v="12"/>
    <n v="22"/>
    <n v="88"/>
    <x v="76"/>
    <d v="2025-03-19T00:00:00"/>
    <x v="1"/>
    <x v="1"/>
    <x v="2"/>
    <x v="0"/>
    <x v="3"/>
    <x v="3"/>
    <x v="11"/>
    <x v="1"/>
  </r>
  <r>
    <x v="2080"/>
    <x v="15"/>
    <x v="2"/>
    <n v="69.400000000000006"/>
    <n v="208.20000000000002"/>
    <x v="76"/>
    <d v="2025-03-21T00:00:00"/>
    <x v="1"/>
    <x v="1"/>
    <x v="2"/>
    <x v="0"/>
    <x v="3"/>
    <x v="2"/>
    <x v="11"/>
    <x v="1"/>
  </r>
  <r>
    <x v="2081"/>
    <x v="10"/>
    <x v="13"/>
    <n v="31.5"/>
    <n v="189"/>
    <x v="76"/>
    <d v="2025-03-20T00:00:00"/>
    <x v="2"/>
    <x v="0"/>
    <x v="2"/>
    <x v="0"/>
    <x v="3"/>
    <x v="1"/>
    <x v="11"/>
    <x v="2"/>
  </r>
  <r>
    <x v="2082"/>
    <x v="6"/>
    <x v="0"/>
    <n v="45.8"/>
    <n v="45.8"/>
    <x v="76"/>
    <d v="2025-03-22T00:00:00"/>
    <x v="3"/>
    <x v="0"/>
    <x v="0"/>
    <x v="0"/>
    <x v="3"/>
    <x v="5"/>
    <x v="11"/>
    <x v="3"/>
  </r>
  <r>
    <x v="2083"/>
    <x v="19"/>
    <x v="12"/>
    <n v="12.8"/>
    <n v="51.2"/>
    <x v="76"/>
    <d v="2025-03-25T00:00:00"/>
    <x v="2"/>
    <x v="1"/>
    <x v="1"/>
    <x v="0"/>
    <x v="5"/>
    <x v="6"/>
    <x v="11"/>
    <x v="2"/>
  </r>
  <r>
    <x v="2084"/>
    <x v="5"/>
    <x v="2"/>
    <n v="115.3"/>
    <n v="345.9"/>
    <x v="76"/>
    <d v="2025-03-19T00:00:00"/>
    <x v="2"/>
    <x v="2"/>
    <x v="2"/>
    <x v="0"/>
    <x v="6"/>
    <x v="3"/>
    <x v="11"/>
    <x v="2"/>
  </r>
  <r>
    <x v="2085"/>
    <x v="5"/>
    <x v="1"/>
    <n v="85"/>
    <n v="170"/>
    <x v="76"/>
    <d v="2025-03-20T00:00:00"/>
    <x v="2"/>
    <x v="1"/>
    <x v="0"/>
    <x v="0"/>
    <x v="7"/>
    <x v="1"/>
    <x v="11"/>
    <x v="2"/>
  </r>
  <r>
    <x v="2086"/>
    <x v="8"/>
    <x v="2"/>
    <n v="56.6"/>
    <n v="169.8"/>
    <x v="76"/>
    <d v="2025-03-19T00:00:00"/>
    <x v="2"/>
    <x v="1"/>
    <x v="2"/>
    <x v="0"/>
    <x v="7"/>
    <x v="3"/>
    <x v="11"/>
    <x v="2"/>
  </r>
  <r>
    <x v="2087"/>
    <x v="15"/>
    <x v="6"/>
    <n v="46.3"/>
    <n v="1250.0999999999999"/>
    <x v="76"/>
    <d v="2025-03-21T00:00:00"/>
    <x v="1"/>
    <x v="0"/>
    <x v="0"/>
    <x v="0"/>
    <x v="7"/>
    <x v="2"/>
    <x v="11"/>
    <x v="1"/>
  </r>
  <r>
    <x v="2088"/>
    <x v="14"/>
    <x v="12"/>
    <n v="23"/>
    <n v="92"/>
    <x v="76"/>
    <d v="2025-03-22T00:00:00"/>
    <x v="1"/>
    <x v="3"/>
    <x v="2"/>
    <x v="0"/>
    <x v="7"/>
    <x v="5"/>
    <x v="11"/>
    <x v="1"/>
  </r>
  <r>
    <x v="2089"/>
    <x v="8"/>
    <x v="13"/>
    <n v="42.1"/>
    <n v="252.60000000000002"/>
    <x v="76"/>
    <d v="2025-03-20T00:00:00"/>
    <x v="1"/>
    <x v="4"/>
    <x v="0"/>
    <x v="0"/>
    <x v="8"/>
    <x v="1"/>
    <x v="11"/>
    <x v="1"/>
  </r>
  <r>
    <x v="2090"/>
    <x v="5"/>
    <x v="3"/>
    <n v="57.4"/>
    <n v="401.8"/>
    <x v="76"/>
    <d v="2025-03-22T00:00:00"/>
    <x v="2"/>
    <x v="1"/>
    <x v="4"/>
    <x v="0"/>
    <x v="8"/>
    <x v="5"/>
    <x v="11"/>
    <x v="2"/>
  </r>
  <r>
    <x v="2091"/>
    <x v="0"/>
    <x v="13"/>
    <n v="13.2"/>
    <n v="79.199999999999989"/>
    <x v="76"/>
    <d v="2025-03-22T00:00:00"/>
    <x v="1"/>
    <x v="2"/>
    <x v="0"/>
    <x v="0"/>
    <x v="8"/>
    <x v="5"/>
    <x v="11"/>
    <x v="1"/>
  </r>
  <r>
    <x v="2092"/>
    <x v="6"/>
    <x v="2"/>
    <n v="52.3"/>
    <n v="156.89999999999998"/>
    <x v="76"/>
    <d v="2025-03-19T00:00:00"/>
    <x v="1"/>
    <x v="1"/>
    <x v="0"/>
    <x v="0"/>
    <x v="8"/>
    <x v="3"/>
    <x v="11"/>
    <x v="1"/>
  </r>
  <r>
    <x v="2093"/>
    <x v="8"/>
    <x v="1"/>
    <n v="15.7"/>
    <n v="31.4"/>
    <x v="76"/>
    <d v="2025-03-21T00:00:00"/>
    <x v="1"/>
    <x v="1"/>
    <x v="2"/>
    <x v="0"/>
    <x v="8"/>
    <x v="2"/>
    <x v="11"/>
    <x v="1"/>
  </r>
  <r>
    <x v="2094"/>
    <x v="7"/>
    <x v="2"/>
    <n v="35"/>
    <n v="105"/>
    <x v="76"/>
    <d v="2025-03-21T00:00:00"/>
    <x v="2"/>
    <x v="1"/>
    <x v="2"/>
    <x v="0"/>
    <x v="9"/>
    <x v="2"/>
    <x v="11"/>
    <x v="2"/>
  </r>
  <r>
    <x v="2095"/>
    <x v="4"/>
    <x v="2"/>
    <n v="26.6"/>
    <n v="79.800000000000011"/>
    <x v="76"/>
    <d v="2025-03-18T00:00:00"/>
    <x v="1"/>
    <x v="1"/>
    <x v="2"/>
    <x v="0"/>
    <x v="11"/>
    <x v="7"/>
    <x v="11"/>
    <x v="1"/>
  </r>
  <r>
    <x v="2096"/>
    <x v="4"/>
    <x v="8"/>
    <n v="47.9"/>
    <n v="383.2"/>
    <x v="77"/>
    <d v="2025-03-20T00:00:00"/>
    <x v="2"/>
    <x v="3"/>
    <x v="2"/>
    <x v="0"/>
    <x v="20"/>
    <x v="3"/>
    <x v="11"/>
    <x v="2"/>
  </r>
  <r>
    <x v="2097"/>
    <x v="5"/>
    <x v="0"/>
    <n v="80.099999999999994"/>
    <n v="80.099999999999994"/>
    <x v="77"/>
    <d v="2025-03-20T00:00:00"/>
    <x v="1"/>
    <x v="2"/>
    <x v="0"/>
    <x v="0"/>
    <x v="21"/>
    <x v="3"/>
    <x v="11"/>
    <x v="1"/>
  </r>
  <r>
    <x v="2098"/>
    <x v="6"/>
    <x v="9"/>
    <n v="50.4"/>
    <n v="252"/>
    <x v="77"/>
    <d v="2025-03-20T00:00:00"/>
    <x v="1"/>
    <x v="1"/>
    <x v="2"/>
    <x v="0"/>
    <x v="21"/>
    <x v="3"/>
    <x v="11"/>
    <x v="1"/>
  </r>
  <r>
    <x v="2099"/>
    <x v="10"/>
    <x v="3"/>
    <n v="43.3"/>
    <n v="303.09999999999997"/>
    <x v="77"/>
    <d v="2025-03-20T00:00:00"/>
    <x v="1"/>
    <x v="2"/>
    <x v="0"/>
    <x v="0"/>
    <x v="21"/>
    <x v="3"/>
    <x v="11"/>
    <x v="1"/>
  </r>
  <r>
    <x v="2100"/>
    <x v="10"/>
    <x v="12"/>
    <n v="57.5"/>
    <n v="230"/>
    <x v="77"/>
    <d v="2025-03-20T00:00:00"/>
    <x v="2"/>
    <x v="1"/>
    <x v="2"/>
    <x v="0"/>
    <x v="1"/>
    <x v="3"/>
    <x v="11"/>
    <x v="2"/>
  </r>
  <r>
    <x v="2101"/>
    <x v="9"/>
    <x v="15"/>
    <n v="24.8"/>
    <n v="322.40000000000003"/>
    <x v="77"/>
    <d v="2025-03-20T00:00:00"/>
    <x v="1"/>
    <x v="0"/>
    <x v="0"/>
    <x v="0"/>
    <x v="57"/>
    <x v="3"/>
    <x v="11"/>
    <x v="1"/>
  </r>
  <r>
    <x v="2102"/>
    <x v="2"/>
    <x v="11"/>
    <n v="85.7"/>
    <n v="771.30000000000007"/>
    <x v="77"/>
    <d v="2025-03-20T00:00:00"/>
    <x v="2"/>
    <x v="0"/>
    <x v="0"/>
    <x v="0"/>
    <x v="42"/>
    <x v="3"/>
    <x v="11"/>
    <x v="2"/>
  </r>
  <r>
    <x v="2103"/>
    <x v="7"/>
    <x v="0"/>
    <n v="47.1"/>
    <n v="47.1"/>
    <x v="77"/>
    <d v="2025-03-21T00:00:00"/>
    <x v="2"/>
    <x v="0"/>
    <x v="0"/>
    <x v="0"/>
    <x v="2"/>
    <x v="1"/>
    <x v="11"/>
    <x v="2"/>
  </r>
  <r>
    <x v="2104"/>
    <x v="5"/>
    <x v="7"/>
    <n v="83.2"/>
    <n v="832"/>
    <x v="77"/>
    <d v="2025-03-23T00:00:00"/>
    <x v="2"/>
    <x v="0"/>
    <x v="0"/>
    <x v="0"/>
    <x v="33"/>
    <x v="5"/>
    <x v="11"/>
    <x v="2"/>
  </r>
  <r>
    <x v="2105"/>
    <x v="2"/>
    <x v="2"/>
    <n v="157"/>
    <n v="471"/>
    <x v="77"/>
    <d v="2025-03-21T00:00:00"/>
    <x v="2"/>
    <x v="0"/>
    <x v="2"/>
    <x v="0"/>
    <x v="22"/>
    <x v="1"/>
    <x v="11"/>
    <x v="2"/>
  </r>
  <r>
    <x v="2106"/>
    <x v="16"/>
    <x v="12"/>
    <n v="33.700000000000003"/>
    <n v="134.80000000000001"/>
    <x v="77"/>
    <d v="2025-03-20T00:00:00"/>
    <x v="1"/>
    <x v="2"/>
    <x v="2"/>
    <x v="0"/>
    <x v="22"/>
    <x v="3"/>
    <x v="11"/>
    <x v="1"/>
  </r>
  <r>
    <x v="2107"/>
    <x v="2"/>
    <x v="2"/>
    <n v="60.8"/>
    <n v="182.39999999999998"/>
    <x v="77"/>
    <d v="2025-03-23T00:00:00"/>
    <x v="2"/>
    <x v="1"/>
    <x v="1"/>
    <x v="0"/>
    <x v="3"/>
    <x v="5"/>
    <x v="11"/>
    <x v="2"/>
  </r>
  <r>
    <x v="2108"/>
    <x v="7"/>
    <x v="0"/>
    <n v="57.6"/>
    <n v="57.6"/>
    <x v="77"/>
    <d v="2025-03-20T00:00:00"/>
    <x v="1"/>
    <x v="1"/>
    <x v="4"/>
    <x v="0"/>
    <x v="3"/>
    <x v="3"/>
    <x v="11"/>
    <x v="1"/>
  </r>
  <r>
    <x v="2109"/>
    <x v="10"/>
    <x v="0"/>
    <n v="32"/>
    <n v="32"/>
    <x v="77"/>
    <d v="2025-03-21T00:00:00"/>
    <x v="1"/>
    <x v="0"/>
    <x v="0"/>
    <x v="0"/>
    <x v="3"/>
    <x v="1"/>
    <x v="11"/>
    <x v="1"/>
  </r>
  <r>
    <x v="2110"/>
    <x v="10"/>
    <x v="12"/>
    <n v="23.5"/>
    <n v="94"/>
    <x v="77"/>
    <d v="2025-03-20T00:00:00"/>
    <x v="2"/>
    <x v="0"/>
    <x v="2"/>
    <x v="0"/>
    <x v="3"/>
    <x v="3"/>
    <x v="11"/>
    <x v="2"/>
  </r>
  <r>
    <x v="2111"/>
    <x v="12"/>
    <x v="2"/>
    <n v="44.8"/>
    <n v="134.39999999999998"/>
    <x v="77"/>
    <d v="2025-03-20T00:00:00"/>
    <x v="3"/>
    <x v="4"/>
    <x v="0"/>
    <x v="0"/>
    <x v="3"/>
    <x v="3"/>
    <x v="11"/>
    <x v="3"/>
  </r>
  <r>
    <x v="2112"/>
    <x v="0"/>
    <x v="8"/>
    <n v="11.7"/>
    <n v="93.6"/>
    <x v="77"/>
    <d v="2025-03-20T00:00:00"/>
    <x v="1"/>
    <x v="2"/>
    <x v="2"/>
    <x v="0"/>
    <x v="3"/>
    <x v="3"/>
    <x v="11"/>
    <x v="1"/>
  </r>
  <r>
    <x v="2113"/>
    <x v="7"/>
    <x v="1"/>
    <n v="38.799999999999997"/>
    <n v="77.599999999999994"/>
    <x v="77"/>
    <d v="2025-03-22T00:00:00"/>
    <x v="2"/>
    <x v="2"/>
    <x v="0"/>
    <x v="0"/>
    <x v="3"/>
    <x v="2"/>
    <x v="11"/>
    <x v="2"/>
  </r>
  <r>
    <x v="2114"/>
    <x v="5"/>
    <x v="21"/>
    <n v="86.9"/>
    <n v="1216.6000000000001"/>
    <x v="77"/>
    <d v="2025-03-24T00:00:00"/>
    <x v="2"/>
    <x v="1"/>
    <x v="0"/>
    <x v="0"/>
    <x v="3"/>
    <x v="0"/>
    <x v="11"/>
    <x v="2"/>
  </r>
  <r>
    <x v="2115"/>
    <x v="8"/>
    <x v="0"/>
    <n v="18.3"/>
    <n v="18.3"/>
    <x v="77"/>
    <d v="2025-03-20T00:00:00"/>
    <x v="2"/>
    <x v="0"/>
    <x v="0"/>
    <x v="0"/>
    <x v="3"/>
    <x v="3"/>
    <x v="11"/>
    <x v="2"/>
  </r>
  <r>
    <x v="2116"/>
    <x v="5"/>
    <x v="0"/>
    <n v="47.5"/>
    <n v="47.5"/>
    <x v="77"/>
    <d v="2025-03-23T00:00:00"/>
    <x v="1"/>
    <x v="4"/>
    <x v="2"/>
    <x v="0"/>
    <x v="3"/>
    <x v="5"/>
    <x v="11"/>
    <x v="1"/>
  </r>
  <r>
    <x v="2117"/>
    <x v="1"/>
    <x v="1"/>
    <n v="78.599999999999994"/>
    <n v="157.19999999999999"/>
    <x v="77"/>
    <d v="2025-03-20T00:00:00"/>
    <x v="1"/>
    <x v="2"/>
    <x v="2"/>
    <x v="0"/>
    <x v="3"/>
    <x v="3"/>
    <x v="11"/>
    <x v="1"/>
  </r>
  <r>
    <x v="2118"/>
    <x v="6"/>
    <x v="12"/>
    <n v="87.3"/>
    <n v="349.2"/>
    <x v="77"/>
    <d v="2025-03-20T00:00:00"/>
    <x v="1"/>
    <x v="0"/>
    <x v="0"/>
    <x v="0"/>
    <x v="3"/>
    <x v="3"/>
    <x v="11"/>
    <x v="1"/>
  </r>
  <r>
    <x v="2119"/>
    <x v="9"/>
    <x v="1"/>
    <n v="63.2"/>
    <n v="126.4"/>
    <x v="77"/>
    <d v="2025-03-19T00:00:00"/>
    <x v="1"/>
    <x v="4"/>
    <x v="1"/>
    <x v="0"/>
    <x v="3"/>
    <x v="7"/>
    <x v="11"/>
    <x v="1"/>
  </r>
  <r>
    <x v="2120"/>
    <x v="5"/>
    <x v="9"/>
    <n v="33.700000000000003"/>
    <n v="168.5"/>
    <x v="77"/>
    <d v="2025-03-20T00:00:00"/>
    <x v="2"/>
    <x v="0"/>
    <x v="0"/>
    <x v="0"/>
    <x v="3"/>
    <x v="3"/>
    <x v="11"/>
    <x v="2"/>
  </r>
  <r>
    <x v="2121"/>
    <x v="2"/>
    <x v="2"/>
    <n v="107.4"/>
    <n v="322.20000000000005"/>
    <x v="77"/>
    <d v="2025-04-01T00:00:00"/>
    <x v="2"/>
    <x v="1"/>
    <x v="2"/>
    <x v="0"/>
    <x v="3"/>
    <x v="10"/>
    <x v="11"/>
    <x v="2"/>
  </r>
  <r>
    <x v="2122"/>
    <x v="4"/>
    <x v="12"/>
    <n v="22.2"/>
    <n v="88.8"/>
    <x v="77"/>
    <d v="2025-03-20T00:00:00"/>
    <x v="0"/>
    <x v="1"/>
    <x v="2"/>
    <x v="0"/>
    <x v="24"/>
    <x v="3"/>
    <x v="11"/>
    <x v="0"/>
  </r>
  <r>
    <x v="2123"/>
    <x v="18"/>
    <x v="2"/>
    <n v="52.8"/>
    <n v="158.39999999999998"/>
    <x v="77"/>
    <d v="2025-03-20T00:00:00"/>
    <x v="1"/>
    <x v="3"/>
    <x v="2"/>
    <x v="0"/>
    <x v="24"/>
    <x v="3"/>
    <x v="11"/>
    <x v="1"/>
  </r>
  <r>
    <x v="2124"/>
    <x v="8"/>
    <x v="2"/>
    <n v="41.5"/>
    <n v="124.5"/>
    <x v="77"/>
    <d v="2025-03-22T00:00:00"/>
    <x v="2"/>
    <x v="0"/>
    <x v="0"/>
    <x v="0"/>
    <x v="25"/>
    <x v="2"/>
    <x v="11"/>
    <x v="2"/>
  </r>
  <r>
    <x v="2125"/>
    <x v="12"/>
    <x v="8"/>
    <n v="103.5"/>
    <n v="828"/>
    <x v="77"/>
    <d v="2025-03-22T00:00:00"/>
    <x v="2"/>
    <x v="0"/>
    <x v="2"/>
    <x v="0"/>
    <x v="23"/>
    <x v="2"/>
    <x v="11"/>
    <x v="2"/>
  </r>
  <r>
    <x v="2126"/>
    <x v="4"/>
    <x v="21"/>
    <n v="37.5"/>
    <n v="525"/>
    <x v="77"/>
    <d v="2025-03-19T00:00:00"/>
    <x v="2"/>
    <x v="1"/>
    <x v="2"/>
    <x v="0"/>
    <x v="6"/>
    <x v="7"/>
    <x v="11"/>
    <x v="2"/>
  </r>
  <r>
    <x v="2127"/>
    <x v="15"/>
    <x v="8"/>
    <n v="44.4"/>
    <n v="355.2"/>
    <x v="77"/>
    <d v="2025-03-25T00:00:00"/>
    <x v="2"/>
    <x v="3"/>
    <x v="2"/>
    <x v="0"/>
    <x v="7"/>
    <x v="4"/>
    <x v="11"/>
    <x v="2"/>
  </r>
  <r>
    <x v="2128"/>
    <x v="8"/>
    <x v="2"/>
    <n v="26.2"/>
    <n v="78.599999999999994"/>
    <x v="77"/>
    <d v="2025-03-20T00:00:00"/>
    <x v="1"/>
    <x v="0"/>
    <x v="0"/>
    <x v="0"/>
    <x v="8"/>
    <x v="3"/>
    <x v="11"/>
    <x v="1"/>
  </r>
  <r>
    <x v="2129"/>
    <x v="1"/>
    <x v="3"/>
    <n v="32.200000000000003"/>
    <n v="225.40000000000003"/>
    <x v="77"/>
    <d v="2025-03-20T00:00:00"/>
    <x v="2"/>
    <x v="1"/>
    <x v="2"/>
    <x v="0"/>
    <x v="8"/>
    <x v="3"/>
    <x v="11"/>
    <x v="2"/>
  </r>
  <r>
    <x v="2130"/>
    <x v="8"/>
    <x v="0"/>
    <n v="17.399999999999999"/>
    <n v="17.399999999999999"/>
    <x v="77"/>
    <d v="2025-03-23T00:00:00"/>
    <x v="0"/>
    <x v="2"/>
    <x v="1"/>
    <x v="0"/>
    <x v="8"/>
    <x v="5"/>
    <x v="11"/>
    <x v="0"/>
  </r>
  <r>
    <x v="2131"/>
    <x v="8"/>
    <x v="13"/>
    <n v="72.3"/>
    <n v="433.79999999999995"/>
    <x v="77"/>
    <d v="2025-03-22T00:00:00"/>
    <x v="2"/>
    <x v="0"/>
    <x v="0"/>
    <x v="0"/>
    <x v="8"/>
    <x v="2"/>
    <x v="11"/>
    <x v="2"/>
  </r>
  <r>
    <x v="2132"/>
    <x v="8"/>
    <x v="5"/>
    <n v="24.3"/>
    <n v="267.3"/>
    <x v="77"/>
    <d v="2025-03-20T00:00:00"/>
    <x v="1"/>
    <x v="0"/>
    <x v="0"/>
    <x v="0"/>
    <x v="8"/>
    <x v="3"/>
    <x v="11"/>
    <x v="1"/>
  </r>
  <r>
    <x v="2133"/>
    <x v="13"/>
    <x v="2"/>
    <n v="49.1"/>
    <n v="147.30000000000001"/>
    <x v="77"/>
    <d v="2025-03-25T00:00:00"/>
    <x v="1"/>
    <x v="2"/>
    <x v="4"/>
    <x v="0"/>
    <x v="8"/>
    <x v="4"/>
    <x v="11"/>
    <x v="1"/>
  </r>
  <r>
    <x v="2134"/>
    <x v="2"/>
    <x v="7"/>
    <n v="234.7"/>
    <n v="2347"/>
    <x v="77"/>
    <d v="2025-03-20T00:00:00"/>
    <x v="1"/>
    <x v="3"/>
    <x v="1"/>
    <x v="0"/>
    <x v="8"/>
    <x v="3"/>
    <x v="11"/>
    <x v="1"/>
  </r>
  <r>
    <x v="2135"/>
    <x v="3"/>
    <x v="9"/>
    <n v="76.099999999999994"/>
    <n v="380.5"/>
    <x v="77"/>
    <d v="2025-03-21T00:00:00"/>
    <x v="1"/>
    <x v="1"/>
    <x v="1"/>
    <x v="0"/>
    <x v="17"/>
    <x v="1"/>
    <x v="11"/>
    <x v="1"/>
  </r>
  <r>
    <x v="2136"/>
    <x v="1"/>
    <x v="2"/>
    <n v="93.9"/>
    <n v="281.70000000000005"/>
    <x v="77"/>
    <d v="2025-03-20T00:00:00"/>
    <x v="1"/>
    <x v="1"/>
    <x v="4"/>
    <x v="0"/>
    <x v="11"/>
    <x v="3"/>
    <x v="11"/>
    <x v="1"/>
  </r>
  <r>
    <x v="2137"/>
    <x v="2"/>
    <x v="12"/>
    <n v="187"/>
    <n v="748"/>
    <x v="78"/>
    <d v="2025-03-23T00:00:00"/>
    <x v="1"/>
    <x v="0"/>
    <x v="0"/>
    <x v="0"/>
    <x v="11"/>
    <x v="2"/>
    <x v="11"/>
    <x v="1"/>
  </r>
  <r>
    <x v="2138"/>
    <x v="8"/>
    <x v="1"/>
    <n v="18"/>
    <n v="36"/>
    <x v="78"/>
    <d v="2025-03-21T00:00:00"/>
    <x v="2"/>
    <x v="1"/>
    <x v="2"/>
    <x v="0"/>
    <x v="53"/>
    <x v="3"/>
    <x v="11"/>
    <x v="2"/>
  </r>
  <r>
    <x v="2139"/>
    <x v="4"/>
    <x v="0"/>
    <n v="24.4"/>
    <n v="24.4"/>
    <x v="78"/>
    <d v="2025-03-21T00:00:00"/>
    <x v="2"/>
    <x v="4"/>
    <x v="2"/>
    <x v="0"/>
    <x v="21"/>
    <x v="3"/>
    <x v="11"/>
    <x v="2"/>
  </r>
  <r>
    <x v="2140"/>
    <x v="10"/>
    <x v="1"/>
    <n v="38.799999999999997"/>
    <n v="77.599999999999994"/>
    <x v="78"/>
    <d v="2025-03-21T00:00:00"/>
    <x v="1"/>
    <x v="4"/>
    <x v="1"/>
    <x v="0"/>
    <x v="3"/>
    <x v="3"/>
    <x v="11"/>
    <x v="1"/>
  </r>
  <r>
    <x v="2141"/>
    <x v="3"/>
    <x v="0"/>
    <n v="59.7"/>
    <n v="59.7"/>
    <x v="78"/>
    <d v="2025-03-23T00:00:00"/>
    <x v="1"/>
    <x v="3"/>
    <x v="0"/>
    <x v="0"/>
    <x v="3"/>
    <x v="2"/>
    <x v="11"/>
    <x v="1"/>
  </r>
  <r>
    <x v="2142"/>
    <x v="7"/>
    <x v="0"/>
    <n v="31.2"/>
    <n v="31.2"/>
    <x v="78"/>
    <d v="2025-03-21T00:00:00"/>
    <x v="1"/>
    <x v="1"/>
    <x v="2"/>
    <x v="0"/>
    <x v="3"/>
    <x v="3"/>
    <x v="11"/>
    <x v="1"/>
  </r>
  <r>
    <x v="2143"/>
    <x v="0"/>
    <x v="0"/>
    <n v="16.8"/>
    <n v="16.8"/>
    <x v="78"/>
    <d v="2025-03-21T00:00:00"/>
    <x v="2"/>
    <x v="2"/>
    <x v="1"/>
    <x v="0"/>
    <x v="3"/>
    <x v="3"/>
    <x v="11"/>
    <x v="2"/>
  </r>
  <r>
    <x v="2144"/>
    <x v="8"/>
    <x v="0"/>
    <n v="46"/>
    <n v="46"/>
    <x v="78"/>
    <d v="2025-03-21T00:00:00"/>
    <x v="1"/>
    <x v="0"/>
    <x v="0"/>
    <x v="0"/>
    <x v="3"/>
    <x v="3"/>
    <x v="11"/>
    <x v="1"/>
  </r>
  <r>
    <x v="2145"/>
    <x v="9"/>
    <x v="8"/>
    <n v="42.2"/>
    <n v="337.6"/>
    <x v="78"/>
    <d v="2025-03-23T00:00:00"/>
    <x v="2"/>
    <x v="3"/>
    <x v="2"/>
    <x v="0"/>
    <x v="3"/>
    <x v="2"/>
    <x v="11"/>
    <x v="2"/>
  </r>
  <r>
    <x v="2146"/>
    <x v="1"/>
    <x v="2"/>
    <n v="71.5"/>
    <n v="214.5"/>
    <x v="78"/>
    <d v="2025-04-03T00:00:00"/>
    <x v="2"/>
    <x v="0"/>
    <x v="0"/>
    <x v="0"/>
    <x v="3"/>
    <x v="12"/>
    <x v="11"/>
    <x v="2"/>
  </r>
  <r>
    <x v="2147"/>
    <x v="1"/>
    <x v="1"/>
    <n v="76.599999999999994"/>
    <n v="153.19999999999999"/>
    <x v="78"/>
    <d v="2025-03-20T00:00:00"/>
    <x v="1"/>
    <x v="0"/>
    <x v="2"/>
    <x v="0"/>
    <x v="3"/>
    <x v="7"/>
    <x v="11"/>
    <x v="1"/>
  </r>
  <r>
    <x v="2148"/>
    <x v="12"/>
    <x v="1"/>
    <n v="87.3"/>
    <n v="174.6"/>
    <x v="78"/>
    <d v="2025-03-28T00:00:00"/>
    <x v="2"/>
    <x v="3"/>
    <x v="2"/>
    <x v="0"/>
    <x v="3"/>
    <x v="9"/>
    <x v="11"/>
    <x v="2"/>
  </r>
  <r>
    <x v="2149"/>
    <x v="1"/>
    <x v="0"/>
    <n v="63"/>
    <n v="63"/>
    <x v="78"/>
    <d v="2025-03-23T00:00:00"/>
    <x v="1"/>
    <x v="3"/>
    <x v="0"/>
    <x v="0"/>
    <x v="3"/>
    <x v="2"/>
    <x v="11"/>
    <x v="1"/>
  </r>
  <r>
    <x v="2150"/>
    <x v="8"/>
    <x v="1"/>
    <n v="41.7"/>
    <n v="83.4"/>
    <x v="78"/>
    <d v="2025-03-21T00:00:00"/>
    <x v="2"/>
    <x v="4"/>
    <x v="1"/>
    <x v="0"/>
    <x v="43"/>
    <x v="3"/>
    <x v="11"/>
    <x v="2"/>
  </r>
  <r>
    <x v="2151"/>
    <x v="6"/>
    <x v="1"/>
    <n v="76.099999999999994"/>
    <n v="152.19999999999999"/>
    <x v="78"/>
    <d v="2025-03-20T00:00:00"/>
    <x v="2"/>
    <x v="4"/>
    <x v="2"/>
    <x v="0"/>
    <x v="16"/>
    <x v="7"/>
    <x v="11"/>
    <x v="2"/>
  </r>
  <r>
    <x v="2152"/>
    <x v="13"/>
    <x v="1"/>
    <n v="28.5"/>
    <n v="57"/>
    <x v="78"/>
    <d v="2025-03-21T00:00:00"/>
    <x v="2"/>
    <x v="0"/>
    <x v="2"/>
    <x v="0"/>
    <x v="4"/>
    <x v="3"/>
    <x v="11"/>
    <x v="2"/>
  </r>
  <r>
    <x v="2153"/>
    <x v="0"/>
    <x v="12"/>
    <n v="32.1"/>
    <n v="128.4"/>
    <x v="78"/>
    <d v="2025-03-21T00:00:00"/>
    <x v="2"/>
    <x v="1"/>
    <x v="2"/>
    <x v="0"/>
    <x v="25"/>
    <x v="3"/>
    <x v="11"/>
    <x v="2"/>
  </r>
  <r>
    <x v="2154"/>
    <x v="4"/>
    <x v="2"/>
    <n v="39"/>
    <n v="117"/>
    <x v="78"/>
    <d v="2025-03-23T00:00:00"/>
    <x v="1"/>
    <x v="1"/>
    <x v="2"/>
    <x v="0"/>
    <x v="25"/>
    <x v="2"/>
    <x v="11"/>
    <x v="1"/>
  </r>
  <r>
    <x v="2155"/>
    <x v="6"/>
    <x v="0"/>
    <n v="78.5"/>
    <n v="78.5"/>
    <x v="78"/>
    <d v="2025-03-21T00:00:00"/>
    <x v="1"/>
    <x v="1"/>
    <x v="0"/>
    <x v="0"/>
    <x v="6"/>
    <x v="3"/>
    <x v="11"/>
    <x v="1"/>
  </r>
  <r>
    <x v="2156"/>
    <x v="4"/>
    <x v="9"/>
    <n v="49.7"/>
    <n v="248.5"/>
    <x v="78"/>
    <d v="2025-03-22T00:00:00"/>
    <x v="2"/>
    <x v="0"/>
    <x v="0"/>
    <x v="0"/>
    <x v="6"/>
    <x v="1"/>
    <x v="11"/>
    <x v="2"/>
  </r>
  <r>
    <x v="2157"/>
    <x v="1"/>
    <x v="12"/>
    <n v="68.400000000000006"/>
    <n v="273.60000000000002"/>
    <x v="78"/>
    <d v="2025-03-21T00:00:00"/>
    <x v="2"/>
    <x v="2"/>
    <x v="2"/>
    <x v="0"/>
    <x v="7"/>
    <x v="3"/>
    <x v="11"/>
    <x v="2"/>
  </r>
  <r>
    <x v="2158"/>
    <x v="3"/>
    <x v="1"/>
    <n v="72.900000000000006"/>
    <n v="145.80000000000001"/>
    <x v="78"/>
    <d v="2025-03-23T00:00:00"/>
    <x v="0"/>
    <x v="0"/>
    <x v="2"/>
    <x v="0"/>
    <x v="7"/>
    <x v="2"/>
    <x v="11"/>
    <x v="0"/>
  </r>
  <r>
    <x v="2159"/>
    <x v="5"/>
    <x v="15"/>
    <n v="30.3"/>
    <n v="393.90000000000003"/>
    <x v="78"/>
    <d v="2025-03-21T00:00:00"/>
    <x v="1"/>
    <x v="4"/>
    <x v="0"/>
    <x v="0"/>
    <x v="7"/>
    <x v="3"/>
    <x v="11"/>
    <x v="1"/>
  </r>
  <r>
    <x v="2160"/>
    <x v="6"/>
    <x v="5"/>
    <n v="57.9"/>
    <n v="636.9"/>
    <x v="78"/>
    <d v="2025-03-21T00:00:00"/>
    <x v="2"/>
    <x v="0"/>
    <x v="0"/>
    <x v="0"/>
    <x v="8"/>
    <x v="3"/>
    <x v="11"/>
    <x v="2"/>
  </r>
  <r>
    <x v="2161"/>
    <x v="1"/>
    <x v="0"/>
    <n v="96.7"/>
    <n v="96.7"/>
    <x v="78"/>
    <d v="2025-03-21T00:00:00"/>
    <x v="1"/>
    <x v="0"/>
    <x v="0"/>
    <x v="0"/>
    <x v="8"/>
    <x v="3"/>
    <x v="11"/>
    <x v="1"/>
  </r>
  <r>
    <x v="2162"/>
    <x v="8"/>
    <x v="4"/>
    <n v="27.6"/>
    <n v="331.20000000000005"/>
    <x v="78"/>
    <d v="2025-03-22T00:00:00"/>
    <x v="1"/>
    <x v="2"/>
    <x v="2"/>
    <x v="0"/>
    <x v="8"/>
    <x v="1"/>
    <x v="11"/>
    <x v="1"/>
  </r>
  <r>
    <x v="2163"/>
    <x v="6"/>
    <x v="12"/>
    <n v="64.7"/>
    <n v="258.8"/>
    <x v="78"/>
    <d v="2025-03-20T00:00:00"/>
    <x v="1"/>
    <x v="3"/>
    <x v="2"/>
    <x v="0"/>
    <x v="8"/>
    <x v="7"/>
    <x v="11"/>
    <x v="1"/>
  </r>
  <r>
    <x v="2164"/>
    <x v="10"/>
    <x v="13"/>
    <n v="30.5"/>
    <n v="183"/>
    <x v="78"/>
    <d v="2025-03-21T00:00:00"/>
    <x v="1"/>
    <x v="4"/>
    <x v="0"/>
    <x v="0"/>
    <x v="8"/>
    <x v="3"/>
    <x v="11"/>
    <x v="1"/>
  </r>
  <r>
    <x v="2165"/>
    <x v="6"/>
    <x v="47"/>
    <n v="106"/>
    <n v="7420"/>
    <x v="79"/>
    <d v="2025-03-23T00:00:00"/>
    <x v="1"/>
    <x v="4"/>
    <x v="2"/>
    <x v="0"/>
    <x v="8"/>
    <x v="1"/>
    <x v="11"/>
    <x v="1"/>
  </r>
  <r>
    <x v="2166"/>
    <x v="12"/>
    <x v="9"/>
    <n v="76.8"/>
    <n v="384"/>
    <x v="79"/>
    <d v="2025-03-27T00:00:00"/>
    <x v="0"/>
    <x v="1"/>
    <x v="1"/>
    <x v="0"/>
    <x v="18"/>
    <x v="4"/>
    <x v="11"/>
    <x v="0"/>
  </r>
  <r>
    <x v="2167"/>
    <x v="6"/>
    <x v="1"/>
    <n v="80.400000000000006"/>
    <n v="160.80000000000001"/>
    <x v="79"/>
    <d v="2025-03-22T00:00:00"/>
    <x v="2"/>
    <x v="2"/>
    <x v="0"/>
    <x v="0"/>
    <x v="13"/>
    <x v="3"/>
    <x v="11"/>
    <x v="2"/>
  </r>
  <r>
    <x v="2168"/>
    <x v="6"/>
    <x v="12"/>
    <n v="69.099999999999994"/>
    <n v="276.39999999999998"/>
    <x v="79"/>
    <d v="2025-03-22T00:00:00"/>
    <x v="1"/>
    <x v="1"/>
    <x v="2"/>
    <x v="0"/>
    <x v="21"/>
    <x v="3"/>
    <x v="11"/>
    <x v="1"/>
  </r>
  <r>
    <x v="2169"/>
    <x v="18"/>
    <x v="1"/>
    <n v="76.400000000000006"/>
    <n v="152.80000000000001"/>
    <x v="79"/>
    <d v="2025-03-21T00:00:00"/>
    <x v="1"/>
    <x v="3"/>
    <x v="0"/>
    <x v="0"/>
    <x v="21"/>
    <x v="7"/>
    <x v="11"/>
    <x v="1"/>
  </r>
  <r>
    <x v="2170"/>
    <x v="2"/>
    <x v="1"/>
    <n v="61.3"/>
    <n v="122.6"/>
    <x v="79"/>
    <d v="2025-03-22T00:00:00"/>
    <x v="2"/>
    <x v="1"/>
    <x v="1"/>
    <x v="0"/>
    <x v="21"/>
    <x v="3"/>
    <x v="11"/>
    <x v="2"/>
  </r>
  <r>
    <x v="2171"/>
    <x v="7"/>
    <x v="0"/>
    <n v="58"/>
    <n v="58"/>
    <x v="79"/>
    <d v="2025-03-22T00:00:00"/>
    <x v="1"/>
    <x v="3"/>
    <x v="1"/>
    <x v="0"/>
    <x v="1"/>
    <x v="3"/>
    <x v="11"/>
    <x v="1"/>
  </r>
  <r>
    <x v="2172"/>
    <x v="2"/>
    <x v="8"/>
    <n v="102.3"/>
    <n v="818.4"/>
    <x v="79"/>
    <d v="2025-03-23T00:00:00"/>
    <x v="1"/>
    <x v="2"/>
    <x v="0"/>
    <x v="0"/>
    <x v="42"/>
    <x v="1"/>
    <x v="11"/>
    <x v="1"/>
  </r>
  <r>
    <x v="2173"/>
    <x v="19"/>
    <x v="1"/>
    <n v="13.8"/>
    <n v="27.6"/>
    <x v="79"/>
    <d v="2025-03-22T00:00:00"/>
    <x v="2"/>
    <x v="4"/>
    <x v="2"/>
    <x v="0"/>
    <x v="2"/>
    <x v="3"/>
    <x v="11"/>
    <x v="2"/>
  </r>
  <r>
    <x v="2174"/>
    <x v="8"/>
    <x v="2"/>
    <n v="33.299999999999997"/>
    <n v="99.899999999999991"/>
    <x v="79"/>
    <d v="2025-03-24T00:00:00"/>
    <x v="2"/>
    <x v="2"/>
    <x v="0"/>
    <x v="0"/>
    <x v="22"/>
    <x v="2"/>
    <x v="11"/>
    <x v="2"/>
  </r>
  <r>
    <x v="2175"/>
    <x v="10"/>
    <x v="0"/>
    <n v="27.4"/>
    <n v="27.4"/>
    <x v="79"/>
    <d v="2025-03-24T00:00:00"/>
    <x v="1"/>
    <x v="0"/>
    <x v="2"/>
    <x v="0"/>
    <x v="22"/>
    <x v="2"/>
    <x v="11"/>
    <x v="1"/>
  </r>
  <r>
    <x v="2176"/>
    <x v="14"/>
    <x v="1"/>
    <n v="25.6"/>
    <n v="51.2"/>
    <x v="79"/>
    <d v="2025-03-22T00:00:00"/>
    <x v="2"/>
    <x v="1"/>
    <x v="1"/>
    <x v="0"/>
    <x v="3"/>
    <x v="3"/>
    <x v="11"/>
    <x v="2"/>
  </r>
  <r>
    <x v="2177"/>
    <x v="13"/>
    <x v="0"/>
    <n v="58.4"/>
    <n v="58.4"/>
    <x v="79"/>
    <d v="2025-03-22T00:00:00"/>
    <x v="2"/>
    <x v="2"/>
    <x v="2"/>
    <x v="0"/>
    <x v="3"/>
    <x v="3"/>
    <x v="11"/>
    <x v="2"/>
  </r>
  <r>
    <x v="2178"/>
    <x v="11"/>
    <x v="17"/>
    <n v="27"/>
    <n v="810"/>
    <x v="79"/>
    <d v="2025-03-22T00:00:00"/>
    <x v="2"/>
    <x v="4"/>
    <x v="0"/>
    <x v="0"/>
    <x v="3"/>
    <x v="3"/>
    <x v="11"/>
    <x v="2"/>
  </r>
  <r>
    <x v="2179"/>
    <x v="0"/>
    <x v="12"/>
    <n v="14.2"/>
    <n v="56.8"/>
    <x v="79"/>
    <d v="2025-03-22T00:00:00"/>
    <x v="1"/>
    <x v="0"/>
    <x v="2"/>
    <x v="0"/>
    <x v="3"/>
    <x v="3"/>
    <x v="11"/>
    <x v="1"/>
  </r>
  <r>
    <x v="2180"/>
    <x v="7"/>
    <x v="1"/>
    <n v="68"/>
    <n v="136"/>
    <x v="79"/>
    <d v="2025-03-31T00:00:00"/>
    <x v="1"/>
    <x v="2"/>
    <x v="1"/>
    <x v="0"/>
    <x v="3"/>
    <x v="14"/>
    <x v="11"/>
    <x v="1"/>
  </r>
  <r>
    <x v="2181"/>
    <x v="8"/>
    <x v="0"/>
    <n v="30.7"/>
    <n v="30.7"/>
    <x v="79"/>
    <d v="2025-03-22T00:00:00"/>
    <x v="1"/>
    <x v="0"/>
    <x v="0"/>
    <x v="0"/>
    <x v="3"/>
    <x v="3"/>
    <x v="11"/>
    <x v="1"/>
  </r>
  <r>
    <x v="2182"/>
    <x v="17"/>
    <x v="15"/>
    <n v="51.6"/>
    <n v="670.80000000000007"/>
    <x v="79"/>
    <d v="2025-03-24T00:00:00"/>
    <x v="3"/>
    <x v="1"/>
    <x v="2"/>
    <x v="0"/>
    <x v="3"/>
    <x v="2"/>
    <x v="11"/>
    <x v="3"/>
  </r>
  <r>
    <x v="2183"/>
    <x v="8"/>
    <x v="2"/>
    <n v="20.6"/>
    <n v="61.800000000000004"/>
    <x v="79"/>
    <d v="2025-03-25T00:00:00"/>
    <x v="2"/>
    <x v="4"/>
    <x v="2"/>
    <x v="0"/>
    <x v="3"/>
    <x v="5"/>
    <x v="11"/>
    <x v="2"/>
  </r>
  <r>
    <x v="2184"/>
    <x v="8"/>
    <x v="0"/>
    <n v="24.8"/>
    <n v="24.8"/>
    <x v="79"/>
    <d v="2025-03-22T00:00:00"/>
    <x v="1"/>
    <x v="4"/>
    <x v="0"/>
    <x v="0"/>
    <x v="3"/>
    <x v="3"/>
    <x v="11"/>
    <x v="1"/>
  </r>
  <r>
    <x v="2185"/>
    <x v="0"/>
    <x v="3"/>
    <n v="11.2"/>
    <n v="78.399999999999991"/>
    <x v="79"/>
    <d v="2025-03-24T00:00:00"/>
    <x v="1"/>
    <x v="1"/>
    <x v="0"/>
    <x v="0"/>
    <x v="3"/>
    <x v="2"/>
    <x v="11"/>
    <x v="1"/>
  </r>
  <r>
    <x v="2186"/>
    <x v="11"/>
    <x v="1"/>
    <n v="51.2"/>
    <n v="102.4"/>
    <x v="79"/>
    <d v="2025-03-22T00:00:00"/>
    <x v="2"/>
    <x v="1"/>
    <x v="2"/>
    <x v="0"/>
    <x v="3"/>
    <x v="3"/>
    <x v="11"/>
    <x v="2"/>
  </r>
  <r>
    <x v="2187"/>
    <x v="7"/>
    <x v="13"/>
    <n v="90.5"/>
    <n v="543"/>
    <x v="79"/>
    <d v="2025-03-22T00:00:00"/>
    <x v="2"/>
    <x v="1"/>
    <x v="4"/>
    <x v="0"/>
    <x v="3"/>
    <x v="3"/>
    <x v="11"/>
    <x v="2"/>
  </r>
  <r>
    <x v="2188"/>
    <x v="1"/>
    <x v="1"/>
    <n v="42.4"/>
    <n v="84.8"/>
    <x v="79"/>
    <d v="2025-03-22T00:00:00"/>
    <x v="1"/>
    <x v="1"/>
    <x v="2"/>
    <x v="0"/>
    <x v="4"/>
    <x v="3"/>
    <x v="11"/>
    <x v="1"/>
  </r>
  <r>
    <x v="2189"/>
    <x v="1"/>
    <x v="1"/>
    <n v="38.200000000000003"/>
    <n v="76.400000000000006"/>
    <x v="79"/>
    <d v="2025-03-22T00:00:00"/>
    <x v="1"/>
    <x v="0"/>
    <x v="0"/>
    <x v="0"/>
    <x v="5"/>
    <x v="3"/>
    <x v="11"/>
    <x v="1"/>
  </r>
  <r>
    <x v="2190"/>
    <x v="2"/>
    <x v="11"/>
    <n v="121.3"/>
    <n v="1091.7"/>
    <x v="79"/>
    <d v="2025-03-26T00:00:00"/>
    <x v="1"/>
    <x v="0"/>
    <x v="0"/>
    <x v="0"/>
    <x v="6"/>
    <x v="0"/>
    <x v="11"/>
    <x v="1"/>
  </r>
  <r>
    <x v="2191"/>
    <x v="6"/>
    <x v="1"/>
    <n v="46.9"/>
    <n v="93.8"/>
    <x v="79"/>
    <d v="2025-03-28T00:00:00"/>
    <x v="1"/>
    <x v="0"/>
    <x v="0"/>
    <x v="0"/>
    <x v="8"/>
    <x v="6"/>
    <x v="11"/>
    <x v="1"/>
  </r>
  <r>
    <x v="2192"/>
    <x v="10"/>
    <x v="0"/>
    <n v="55.3"/>
    <n v="55.3"/>
    <x v="79"/>
    <d v="2025-03-23T00:00:00"/>
    <x v="1"/>
    <x v="0"/>
    <x v="0"/>
    <x v="0"/>
    <x v="8"/>
    <x v="1"/>
    <x v="11"/>
    <x v="1"/>
  </r>
  <r>
    <x v="2193"/>
    <x v="2"/>
    <x v="2"/>
    <n v="70.599999999999994"/>
    <n v="211.79999999999998"/>
    <x v="80"/>
    <d v="2025-03-22T00:00:00"/>
    <x v="2"/>
    <x v="0"/>
    <x v="1"/>
    <x v="0"/>
    <x v="8"/>
    <x v="7"/>
    <x v="11"/>
    <x v="2"/>
  </r>
  <r>
    <x v="2194"/>
    <x v="14"/>
    <x v="12"/>
    <n v="26.1"/>
    <n v="104.4"/>
    <x v="80"/>
    <d v="2025-03-24T00:00:00"/>
    <x v="1"/>
    <x v="0"/>
    <x v="0"/>
    <x v="0"/>
    <x v="8"/>
    <x v="1"/>
    <x v="11"/>
    <x v="1"/>
  </r>
  <r>
    <x v="2195"/>
    <x v="9"/>
    <x v="5"/>
    <n v="34.5"/>
    <n v="379.5"/>
    <x v="80"/>
    <d v="2025-03-26T00:00:00"/>
    <x v="1"/>
    <x v="2"/>
    <x v="0"/>
    <x v="0"/>
    <x v="17"/>
    <x v="5"/>
    <x v="11"/>
    <x v="1"/>
  </r>
  <r>
    <x v="2196"/>
    <x v="1"/>
    <x v="1"/>
    <n v="64.2"/>
    <n v="128.4"/>
    <x v="80"/>
    <d v="2025-03-23T00:00:00"/>
    <x v="2"/>
    <x v="0"/>
    <x v="1"/>
    <x v="0"/>
    <x v="17"/>
    <x v="3"/>
    <x v="11"/>
    <x v="2"/>
  </r>
  <r>
    <x v="2197"/>
    <x v="2"/>
    <x v="12"/>
    <n v="145.69999999999999"/>
    <n v="582.79999999999995"/>
    <x v="80"/>
    <d v="2025-03-23T00:00:00"/>
    <x v="2"/>
    <x v="0"/>
    <x v="4"/>
    <x v="0"/>
    <x v="17"/>
    <x v="3"/>
    <x v="11"/>
    <x v="2"/>
  </r>
  <r>
    <x v="2198"/>
    <x v="12"/>
    <x v="1"/>
    <n v="78.5"/>
    <n v="157"/>
    <x v="80"/>
    <d v="2025-03-23T00:00:00"/>
    <x v="1"/>
    <x v="2"/>
    <x v="0"/>
    <x v="0"/>
    <x v="26"/>
    <x v="3"/>
    <x v="11"/>
    <x v="1"/>
  </r>
  <r>
    <x v="2199"/>
    <x v="1"/>
    <x v="0"/>
    <n v="34.200000000000003"/>
    <n v="34.200000000000003"/>
    <x v="80"/>
    <d v="2025-03-24T00:00:00"/>
    <x v="1"/>
    <x v="0"/>
    <x v="0"/>
    <x v="0"/>
    <x v="9"/>
    <x v="1"/>
    <x v="11"/>
    <x v="1"/>
  </r>
  <r>
    <x v="2200"/>
    <x v="19"/>
    <x v="0"/>
    <n v="26.2"/>
    <n v="26.2"/>
    <x v="80"/>
    <d v="2025-03-23T00:00:00"/>
    <x v="1"/>
    <x v="2"/>
    <x v="0"/>
    <x v="0"/>
    <x v="9"/>
    <x v="3"/>
    <x v="11"/>
    <x v="1"/>
  </r>
  <r>
    <x v="2201"/>
    <x v="6"/>
    <x v="12"/>
    <n v="53.2"/>
    <n v="212.8"/>
    <x v="80"/>
    <d v="2025-03-23T00:00:00"/>
    <x v="1"/>
    <x v="1"/>
    <x v="1"/>
    <x v="0"/>
    <x v="11"/>
    <x v="3"/>
    <x v="11"/>
    <x v="1"/>
  </r>
  <r>
    <x v="2202"/>
    <x v="1"/>
    <x v="0"/>
    <n v="35.4"/>
    <n v="35.4"/>
    <x v="80"/>
    <d v="2025-03-26T00:00:00"/>
    <x v="1"/>
    <x v="1"/>
    <x v="4"/>
    <x v="0"/>
    <x v="18"/>
    <x v="5"/>
    <x v="11"/>
    <x v="1"/>
  </r>
  <r>
    <x v="2203"/>
    <x v="14"/>
    <x v="1"/>
    <n v="21.3"/>
    <n v="42.6"/>
    <x v="80"/>
    <d v="2025-03-23T00:00:00"/>
    <x v="1"/>
    <x v="2"/>
    <x v="0"/>
    <x v="0"/>
    <x v="20"/>
    <x v="3"/>
    <x v="11"/>
    <x v="1"/>
  </r>
  <r>
    <x v="2204"/>
    <x v="8"/>
    <x v="12"/>
    <n v="32.9"/>
    <n v="131.6"/>
    <x v="80"/>
    <d v="2025-03-25T00:00:00"/>
    <x v="2"/>
    <x v="4"/>
    <x v="2"/>
    <x v="0"/>
    <x v="21"/>
    <x v="2"/>
    <x v="11"/>
    <x v="2"/>
  </r>
  <r>
    <x v="2205"/>
    <x v="5"/>
    <x v="20"/>
    <n v="85.5"/>
    <n v="1282.5"/>
    <x v="80"/>
    <d v="2025-03-24T00:00:00"/>
    <x v="2"/>
    <x v="3"/>
    <x v="1"/>
    <x v="0"/>
    <x v="21"/>
    <x v="1"/>
    <x v="11"/>
    <x v="2"/>
  </r>
  <r>
    <x v="2206"/>
    <x v="4"/>
    <x v="0"/>
    <n v="26.8"/>
    <n v="26.8"/>
    <x v="80"/>
    <d v="2025-03-23T00:00:00"/>
    <x v="2"/>
    <x v="0"/>
    <x v="1"/>
    <x v="0"/>
    <x v="2"/>
    <x v="3"/>
    <x v="11"/>
    <x v="2"/>
  </r>
  <r>
    <x v="2207"/>
    <x v="9"/>
    <x v="18"/>
    <n v="31.7"/>
    <n v="824.19999999999993"/>
    <x v="80"/>
    <d v="2025-03-22T00:00:00"/>
    <x v="2"/>
    <x v="3"/>
    <x v="0"/>
    <x v="0"/>
    <x v="2"/>
    <x v="7"/>
    <x v="11"/>
    <x v="2"/>
  </r>
  <r>
    <x v="2208"/>
    <x v="1"/>
    <x v="1"/>
    <n v="78.3"/>
    <n v="156.6"/>
    <x v="80"/>
    <d v="2025-03-24T00:00:00"/>
    <x v="2"/>
    <x v="1"/>
    <x v="1"/>
    <x v="0"/>
    <x v="3"/>
    <x v="1"/>
    <x v="11"/>
    <x v="2"/>
  </r>
  <r>
    <x v="2209"/>
    <x v="6"/>
    <x v="0"/>
    <n v="43.9"/>
    <n v="43.9"/>
    <x v="80"/>
    <d v="2025-03-23T00:00:00"/>
    <x v="1"/>
    <x v="0"/>
    <x v="0"/>
    <x v="0"/>
    <x v="3"/>
    <x v="3"/>
    <x v="11"/>
    <x v="1"/>
  </r>
  <r>
    <x v="2210"/>
    <x v="18"/>
    <x v="2"/>
    <n v="84"/>
    <n v="252"/>
    <x v="80"/>
    <d v="2025-03-24T00:00:00"/>
    <x v="0"/>
    <x v="3"/>
    <x v="2"/>
    <x v="0"/>
    <x v="3"/>
    <x v="1"/>
    <x v="11"/>
    <x v="0"/>
  </r>
  <r>
    <x v="2211"/>
    <x v="0"/>
    <x v="2"/>
    <n v="11.4"/>
    <n v="34.200000000000003"/>
    <x v="80"/>
    <d v="2025-03-23T00:00:00"/>
    <x v="1"/>
    <x v="4"/>
    <x v="0"/>
    <x v="0"/>
    <x v="3"/>
    <x v="3"/>
    <x v="11"/>
    <x v="1"/>
  </r>
  <r>
    <x v="2212"/>
    <x v="12"/>
    <x v="8"/>
    <n v="47.5"/>
    <n v="380"/>
    <x v="80"/>
    <d v="2025-03-30T00:00:00"/>
    <x v="2"/>
    <x v="0"/>
    <x v="0"/>
    <x v="0"/>
    <x v="3"/>
    <x v="9"/>
    <x v="11"/>
    <x v="2"/>
  </r>
  <r>
    <x v="2213"/>
    <x v="9"/>
    <x v="5"/>
    <n v="50.5"/>
    <n v="555.5"/>
    <x v="80"/>
    <d v="2025-03-24T00:00:00"/>
    <x v="1"/>
    <x v="2"/>
    <x v="0"/>
    <x v="0"/>
    <x v="3"/>
    <x v="1"/>
    <x v="11"/>
    <x v="1"/>
  </r>
  <r>
    <x v="2214"/>
    <x v="15"/>
    <x v="0"/>
    <n v="36.299999999999997"/>
    <n v="36.299999999999997"/>
    <x v="80"/>
    <d v="2025-03-25T00:00:00"/>
    <x v="3"/>
    <x v="0"/>
    <x v="1"/>
    <x v="0"/>
    <x v="8"/>
    <x v="2"/>
    <x v="11"/>
    <x v="3"/>
  </r>
  <r>
    <x v="2215"/>
    <x v="8"/>
    <x v="1"/>
    <n v="35.4"/>
    <n v="70.8"/>
    <x v="80"/>
    <d v="2025-03-23T00:00:00"/>
    <x v="2"/>
    <x v="0"/>
    <x v="0"/>
    <x v="0"/>
    <x v="17"/>
    <x v="3"/>
    <x v="11"/>
    <x v="2"/>
  </r>
  <r>
    <x v="2216"/>
    <x v="1"/>
    <x v="2"/>
    <n v="45.9"/>
    <n v="137.69999999999999"/>
    <x v="81"/>
    <d v="2025-03-24T00:00:00"/>
    <x v="1"/>
    <x v="3"/>
    <x v="0"/>
    <x v="0"/>
    <x v="9"/>
    <x v="3"/>
    <x v="12"/>
    <x v="1"/>
  </r>
  <r>
    <x v="2217"/>
    <x v="6"/>
    <x v="7"/>
    <n v="41.2"/>
    <n v="412"/>
    <x v="81"/>
    <d v="2025-03-27T00:00:00"/>
    <x v="1"/>
    <x v="0"/>
    <x v="0"/>
    <x v="0"/>
    <x v="11"/>
    <x v="5"/>
    <x v="12"/>
    <x v="1"/>
  </r>
  <r>
    <x v="2218"/>
    <x v="17"/>
    <x v="1"/>
    <n v="45.1"/>
    <n v="90.2"/>
    <x v="81"/>
    <d v="2025-03-24T00:00:00"/>
    <x v="1"/>
    <x v="1"/>
    <x v="1"/>
    <x v="0"/>
    <x v="21"/>
    <x v="3"/>
    <x v="12"/>
    <x v="1"/>
  </r>
  <r>
    <x v="2219"/>
    <x v="6"/>
    <x v="7"/>
    <n v="63.6"/>
    <n v="636"/>
    <x v="81"/>
    <d v="2025-03-23T00:00:00"/>
    <x v="1"/>
    <x v="2"/>
    <x v="0"/>
    <x v="0"/>
    <x v="1"/>
    <x v="7"/>
    <x v="12"/>
    <x v="1"/>
  </r>
  <r>
    <x v="2220"/>
    <x v="8"/>
    <x v="0"/>
    <n v="70.5"/>
    <n v="70.5"/>
    <x v="81"/>
    <d v="2025-03-24T00:00:00"/>
    <x v="1"/>
    <x v="0"/>
    <x v="0"/>
    <x v="0"/>
    <x v="3"/>
    <x v="3"/>
    <x v="12"/>
    <x v="1"/>
  </r>
  <r>
    <x v="2221"/>
    <x v="6"/>
    <x v="0"/>
    <n v="41.3"/>
    <n v="41.3"/>
    <x v="81"/>
    <d v="2025-03-23T00:00:00"/>
    <x v="1"/>
    <x v="4"/>
    <x v="0"/>
    <x v="0"/>
    <x v="3"/>
    <x v="7"/>
    <x v="12"/>
    <x v="1"/>
  </r>
  <r>
    <x v="2222"/>
    <x v="4"/>
    <x v="0"/>
    <n v="35.299999999999997"/>
    <n v="35.299999999999997"/>
    <x v="81"/>
    <d v="2025-03-26T00:00:00"/>
    <x v="2"/>
    <x v="4"/>
    <x v="2"/>
    <x v="0"/>
    <x v="3"/>
    <x v="2"/>
    <x v="12"/>
    <x v="2"/>
  </r>
  <r>
    <x v="2223"/>
    <x v="8"/>
    <x v="9"/>
    <n v="34.700000000000003"/>
    <n v="173.5"/>
    <x v="81"/>
    <d v="2025-03-24T00:00:00"/>
    <x v="2"/>
    <x v="0"/>
    <x v="2"/>
    <x v="0"/>
    <x v="3"/>
    <x v="3"/>
    <x v="12"/>
    <x v="2"/>
  </r>
  <r>
    <x v="2224"/>
    <x v="8"/>
    <x v="2"/>
    <n v="26.1"/>
    <n v="78.300000000000011"/>
    <x v="81"/>
    <d v="2025-03-24T00:00:00"/>
    <x v="2"/>
    <x v="0"/>
    <x v="0"/>
    <x v="0"/>
    <x v="3"/>
    <x v="3"/>
    <x v="12"/>
    <x v="2"/>
  </r>
  <r>
    <x v="2225"/>
    <x v="9"/>
    <x v="9"/>
    <n v="22.6"/>
    <n v="113"/>
    <x v="81"/>
    <d v="2025-03-23T00:00:00"/>
    <x v="2"/>
    <x v="1"/>
    <x v="2"/>
    <x v="0"/>
    <x v="3"/>
    <x v="7"/>
    <x v="12"/>
    <x v="2"/>
  </r>
  <r>
    <x v="2226"/>
    <x v="2"/>
    <x v="1"/>
    <n v="154.4"/>
    <n v="308.8"/>
    <x v="81"/>
    <d v="2025-03-26T00:00:00"/>
    <x v="1"/>
    <x v="1"/>
    <x v="1"/>
    <x v="0"/>
    <x v="3"/>
    <x v="2"/>
    <x v="12"/>
    <x v="1"/>
  </r>
  <r>
    <x v="2227"/>
    <x v="8"/>
    <x v="1"/>
    <n v="18.399999999999999"/>
    <n v="36.799999999999997"/>
    <x v="81"/>
    <d v="2025-03-24T00:00:00"/>
    <x v="1"/>
    <x v="0"/>
    <x v="0"/>
    <x v="0"/>
    <x v="3"/>
    <x v="3"/>
    <x v="12"/>
    <x v="1"/>
  </r>
  <r>
    <x v="2228"/>
    <x v="14"/>
    <x v="0"/>
    <n v="25"/>
    <n v="25"/>
    <x v="81"/>
    <d v="2025-03-26T00:00:00"/>
    <x v="2"/>
    <x v="0"/>
    <x v="0"/>
    <x v="0"/>
    <x v="3"/>
    <x v="2"/>
    <x v="12"/>
    <x v="2"/>
  </r>
  <r>
    <x v="2229"/>
    <x v="2"/>
    <x v="13"/>
    <n v="105.6"/>
    <n v="633.59999999999991"/>
    <x v="81"/>
    <d v="2025-03-23T00:00:00"/>
    <x v="2"/>
    <x v="0"/>
    <x v="0"/>
    <x v="0"/>
    <x v="3"/>
    <x v="7"/>
    <x v="12"/>
    <x v="2"/>
  </r>
  <r>
    <x v="2230"/>
    <x v="18"/>
    <x v="8"/>
    <n v="59.6"/>
    <n v="476.8"/>
    <x v="81"/>
    <d v="2025-03-23T00:00:00"/>
    <x v="2"/>
    <x v="0"/>
    <x v="2"/>
    <x v="0"/>
    <x v="23"/>
    <x v="7"/>
    <x v="12"/>
    <x v="2"/>
  </r>
  <r>
    <x v="2231"/>
    <x v="15"/>
    <x v="2"/>
    <n v="75.400000000000006"/>
    <n v="226.20000000000002"/>
    <x v="81"/>
    <d v="2025-03-28T00:00:00"/>
    <x v="1"/>
    <x v="0"/>
    <x v="1"/>
    <x v="0"/>
    <x v="7"/>
    <x v="0"/>
    <x v="12"/>
    <x v="1"/>
  </r>
  <r>
    <x v="2232"/>
    <x v="7"/>
    <x v="0"/>
    <n v="104.4"/>
    <n v="104.4"/>
    <x v="81"/>
    <d v="2025-03-24T00:00:00"/>
    <x v="2"/>
    <x v="0"/>
    <x v="0"/>
    <x v="0"/>
    <x v="8"/>
    <x v="3"/>
    <x v="12"/>
    <x v="2"/>
  </r>
  <r>
    <x v="2233"/>
    <x v="2"/>
    <x v="7"/>
    <n v="208.2"/>
    <n v="2082"/>
    <x v="81"/>
    <d v="2025-03-24T00:00:00"/>
    <x v="1"/>
    <x v="0"/>
    <x v="2"/>
    <x v="0"/>
    <x v="8"/>
    <x v="3"/>
    <x v="12"/>
    <x v="1"/>
  </r>
  <r>
    <x v="2234"/>
    <x v="6"/>
    <x v="1"/>
    <n v="45"/>
    <n v="90"/>
    <x v="81"/>
    <d v="2025-03-26T00:00:00"/>
    <x v="2"/>
    <x v="0"/>
    <x v="0"/>
    <x v="0"/>
    <x v="10"/>
    <x v="2"/>
    <x v="12"/>
    <x v="2"/>
  </r>
  <r>
    <x v="2235"/>
    <x v="15"/>
    <x v="1"/>
    <n v="20.3"/>
    <n v="40.6"/>
    <x v="82"/>
    <d v="2025-03-26T00:00:00"/>
    <x v="0"/>
    <x v="1"/>
    <x v="0"/>
    <x v="0"/>
    <x v="11"/>
    <x v="1"/>
    <x v="12"/>
    <x v="0"/>
  </r>
  <r>
    <x v="2236"/>
    <x v="2"/>
    <x v="2"/>
    <n v="94.4"/>
    <n v="283.20000000000005"/>
    <x v="82"/>
    <d v="2025-03-25T00:00:00"/>
    <x v="2"/>
    <x v="0"/>
    <x v="2"/>
    <x v="0"/>
    <x v="11"/>
    <x v="3"/>
    <x v="12"/>
    <x v="2"/>
  </r>
  <r>
    <x v="2237"/>
    <x v="9"/>
    <x v="0"/>
    <n v="49"/>
    <n v="49"/>
    <x v="82"/>
    <d v="2025-03-26T00:00:00"/>
    <x v="2"/>
    <x v="0"/>
    <x v="2"/>
    <x v="0"/>
    <x v="20"/>
    <x v="1"/>
    <x v="12"/>
    <x v="2"/>
  </r>
  <r>
    <x v="2238"/>
    <x v="4"/>
    <x v="1"/>
    <n v="27.2"/>
    <n v="54.4"/>
    <x v="82"/>
    <d v="2025-03-26T00:00:00"/>
    <x v="1"/>
    <x v="0"/>
    <x v="2"/>
    <x v="0"/>
    <x v="1"/>
    <x v="1"/>
    <x v="12"/>
    <x v="1"/>
  </r>
  <r>
    <x v="2239"/>
    <x v="2"/>
    <x v="13"/>
    <n v="72.599999999999994"/>
    <n v="435.59999999999997"/>
    <x v="82"/>
    <d v="2025-03-25T00:00:00"/>
    <x v="2"/>
    <x v="0"/>
    <x v="2"/>
    <x v="0"/>
    <x v="2"/>
    <x v="3"/>
    <x v="12"/>
    <x v="2"/>
  </r>
  <r>
    <x v="2240"/>
    <x v="15"/>
    <x v="12"/>
    <n v="62.4"/>
    <n v="249.6"/>
    <x v="82"/>
    <d v="2025-03-25T00:00:00"/>
    <x v="2"/>
    <x v="0"/>
    <x v="0"/>
    <x v="0"/>
    <x v="3"/>
    <x v="3"/>
    <x v="12"/>
    <x v="2"/>
  </r>
  <r>
    <x v="2241"/>
    <x v="8"/>
    <x v="2"/>
    <n v="19.100000000000001"/>
    <n v="57.300000000000004"/>
    <x v="82"/>
    <d v="2025-03-26T00:00:00"/>
    <x v="1"/>
    <x v="0"/>
    <x v="1"/>
    <x v="0"/>
    <x v="3"/>
    <x v="1"/>
    <x v="12"/>
    <x v="1"/>
  </r>
  <r>
    <x v="2242"/>
    <x v="10"/>
    <x v="0"/>
    <n v="29.6"/>
    <n v="29.6"/>
    <x v="82"/>
    <d v="2025-03-28T00:00:00"/>
    <x v="1"/>
    <x v="0"/>
    <x v="4"/>
    <x v="0"/>
    <x v="3"/>
    <x v="5"/>
    <x v="12"/>
    <x v="1"/>
  </r>
  <r>
    <x v="2243"/>
    <x v="8"/>
    <x v="1"/>
    <n v="18.899999999999999"/>
    <n v="37.799999999999997"/>
    <x v="82"/>
    <d v="2025-03-26T00:00:00"/>
    <x v="2"/>
    <x v="4"/>
    <x v="2"/>
    <x v="0"/>
    <x v="3"/>
    <x v="1"/>
    <x v="12"/>
    <x v="2"/>
  </r>
  <r>
    <x v="2244"/>
    <x v="10"/>
    <x v="9"/>
    <n v="41.4"/>
    <n v="207"/>
    <x v="82"/>
    <d v="2025-03-25T00:00:00"/>
    <x v="1"/>
    <x v="3"/>
    <x v="0"/>
    <x v="0"/>
    <x v="3"/>
    <x v="3"/>
    <x v="12"/>
    <x v="1"/>
  </r>
  <r>
    <x v="2245"/>
    <x v="2"/>
    <x v="0"/>
    <n v="118.4"/>
    <n v="118.4"/>
    <x v="82"/>
    <d v="2025-03-25T00:00:00"/>
    <x v="2"/>
    <x v="0"/>
    <x v="2"/>
    <x v="0"/>
    <x v="3"/>
    <x v="3"/>
    <x v="12"/>
    <x v="2"/>
  </r>
  <r>
    <x v="2246"/>
    <x v="2"/>
    <x v="1"/>
    <n v="125.3"/>
    <n v="250.6"/>
    <x v="82"/>
    <d v="2025-03-27T00:00:00"/>
    <x v="2"/>
    <x v="0"/>
    <x v="2"/>
    <x v="0"/>
    <x v="3"/>
    <x v="2"/>
    <x v="12"/>
    <x v="2"/>
  </r>
  <r>
    <x v="2247"/>
    <x v="3"/>
    <x v="1"/>
    <n v="85.8"/>
    <n v="171.6"/>
    <x v="82"/>
    <d v="2025-03-25T00:00:00"/>
    <x v="2"/>
    <x v="1"/>
    <x v="4"/>
    <x v="0"/>
    <x v="3"/>
    <x v="3"/>
    <x v="12"/>
    <x v="2"/>
  </r>
  <r>
    <x v="2248"/>
    <x v="6"/>
    <x v="0"/>
    <n v="44.2"/>
    <n v="44.2"/>
    <x v="82"/>
    <d v="2025-03-27T00:00:00"/>
    <x v="1"/>
    <x v="1"/>
    <x v="0"/>
    <x v="0"/>
    <x v="3"/>
    <x v="2"/>
    <x v="12"/>
    <x v="1"/>
  </r>
  <r>
    <x v="2249"/>
    <x v="5"/>
    <x v="12"/>
    <n v="74.099999999999994"/>
    <n v="296.39999999999998"/>
    <x v="82"/>
    <d v="2025-03-26T00:00:00"/>
    <x v="2"/>
    <x v="0"/>
    <x v="0"/>
    <x v="0"/>
    <x v="3"/>
    <x v="1"/>
    <x v="12"/>
    <x v="2"/>
  </r>
  <r>
    <x v="2250"/>
    <x v="8"/>
    <x v="0"/>
    <n v="33.799999999999997"/>
    <n v="33.799999999999997"/>
    <x v="82"/>
    <d v="2025-03-25T00:00:00"/>
    <x v="2"/>
    <x v="2"/>
    <x v="2"/>
    <x v="0"/>
    <x v="24"/>
    <x v="3"/>
    <x v="12"/>
    <x v="2"/>
  </r>
  <r>
    <x v="2251"/>
    <x v="1"/>
    <x v="1"/>
    <n v="39.1"/>
    <n v="78.2"/>
    <x v="82"/>
    <d v="2025-03-25T00:00:00"/>
    <x v="1"/>
    <x v="0"/>
    <x v="1"/>
    <x v="0"/>
    <x v="24"/>
    <x v="3"/>
    <x v="12"/>
    <x v="1"/>
  </r>
  <r>
    <x v="2252"/>
    <x v="0"/>
    <x v="0"/>
    <n v="37.200000000000003"/>
    <n v="37.200000000000003"/>
    <x v="82"/>
    <d v="2025-03-25T00:00:00"/>
    <x v="1"/>
    <x v="0"/>
    <x v="1"/>
    <x v="0"/>
    <x v="16"/>
    <x v="3"/>
    <x v="12"/>
    <x v="1"/>
  </r>
  <r>
    <x v="2253"/>
    <x v="15"/>
    <x v="2"/>
    <n v="33.9"/>
    <n v="101.69999999999999"/>
    <x v="82"/>
    <d v="2025-03-26T00:00:00"/>
    <x v="1"/>
    <x v="2"/>
    <x v="0"/>
    <x v="0"/>
    <x v="6"/>
    <x v="1"/>
    <x v="12"/>
    <x v="1"/>
  </r>
  <r>
    <x v="2254"/>
    <x v="7"/>
    <x v="20"/>
    <n v="73.3"/>
    <n v="1099.5"/>
    <x v="82"/>
    <d v="2025-03-27T00:00:00"/>
    <x v="2"/>
    <x v="2"/>
    <x v="1"/>
    <x v="0"/>
    <x v="8"/>
    <x v="2"/>
    <x v="12"/>
    <x v="2"/>
  </r>
  <r>
    <x v="2255"/>
    <x v="8"/>
    <x v="12"/>
    <n v="35"/>
    <n v="140"/>
    <x v="82"/>
    <d v="2025-03-26T00:00:00"/>
    <x v="2"/>
    <x v="1"/>
    <x v="0"/>
    <x v="0"/>
    <x v="8"/>
    <x v="1"/>
    <x v="12"/>
    <x v="2"/>
  </r>
  <r>
    <x v="2256"/>
    <x v="0"/>
    <x v="2"/>
    <n v="22.2"/>
    <n v="66.599999999999994"/>
    <x v="82"/>
    <d v="2025-03-25T00:00:00"/>
    <x v="1"/>
    <x v="1"/>
    <x v="0"/>
    <x v="0"/>
    <x v="17"/>
    <x v="3"/>
    <x v="12"/>
    <x v="1"/>
  </r>
  <r>
    <x v="2257"/>
    <x v="10"/>
    <x v="0"/>
    <n v="32.4"/>
    <n v="32.4"/>
    <x v="82"/>
    <d v="2025-03-25T00:00:00"/>
    <x v="2"/>
    <x v="0"/>
    <x v="0"/>
    <x v="0"/>
    <x v="11"/>
    <x v="3"/>
    <x v="12"/>
    <x v="2"/>
  </r>
  <r>
    <x v="2258"/>
    <x v="5"/>
    <x v="2"/>
    <n v="88.4"/>
    <n v="265.20000000000005"/>
    <x v="83"/>
    <d v="2025-03-27T00:00:00"/>
    <x v="2"/>
    <x v="1"/>
    <x v="1"/>
    <x v="0"/>
    <x v="11"/>
    <x v="1"/>
    <x v="12"/>
    <x v="2"/>
  </r>
  <r>
    <x v="2259"/>
    <x v="5"/>
    <x v="27"/>
    <n v="30.5"/>
    <n v="488"/>
    <x v="83"/>
    <d v="2025-03-26T00:00:00"/>
    <x v="2"/>
    <x v="2"/>
    <x v="0"/>
    <x v="0"/>
    <x v="11"/>
    <x v="3"/>
    <x v="12"/>
    <x v="2"/>
  </r>
  <r>
    <x v="2260"/>
    <x v="1"/>
    <x v="13"/>
    <n v="38.1"/>
    <n v="228.60000000000002"/>
    <x v="83"/>
    <d v="2025-03-27T00:00:00"/>
    <x v="2"/>
    <x v="0"/>
    <x v="1"/>
    <x v="0"/>
    <x v="11"/>
    <x v="1"/>
    <x v="12"/>
    <x v="2"/>
  </r>
  <r>
    <x v="2261"/>
    <x v="10"/>
    <x v="9"/>
    <n v="37.6"/>
    <n v="188"/>
    <x v="83"/>
    <d v="2025-03-29T00:00:00"/>
    <x v="1"/>
    <x v="0"/>
    <x v="0"/>
    <x v="0"/>
    <x v="11"/>
    <x v="5"/>
    <x v="12"/>
    <x v="1"/>
  </r>
  <r>
    <x v="2262"/>
    <x v="15"/>
    <x v="1"/>
    <n v="31.4"/>
    <n v="62.8"/>
    <x v="83"/>
    <d v="2025-03-26T00:00:00"/>
    <x v="1"/>
    <x v="0"/>
    <x v="2"/>
    <x v="0"/>
    <x v="11"/>
    <x v="3"/>
    <x v="12"/>
    <x v="1"/>
  </r>
  <r>
    <x v="2263"/>
    <x v="6"/>
    <x v="1"/>
    <n v="61.5"/>
    <n v="123"/>
    <x v="83"/>
    <d v="2025-03-26T00:00:00"/>
    <x v="1"/>
    <x v="3"/>
    <x v="0"/>
    <x v="0"/>
    <x v="31"/>
    <x v="3"/>
    <x v="12"/>
    <x v="1"/>
  </r>
  <r>
    <x v="2264"/>
    <x v="6"/>
    <x v="0"/>
    <n v="72.599999999999994"/>
    <n v="72.599999999999994"/>
    <x v="83"/>
    <d v="2025-03-26T00:00:00"/>
    <x v="1"/>
    <x v="0"/>
    <x v="1"/>
    <x v="0"/>
    <x v="21"/>
    <x v="3"/>
    <x v="12"/>
    <x v="1"/>
  </r>
  <r>
    <x v="2265"/>
    <x v="9"/>
    <x v="2"/>
    <n v="26.9"/>
    <n v="80.699999999999989"/>
    <x v="83"/>
    <d v="2025-03-30T00:00:00"/>
    <x v="3"/>
    <x v="4"/>
    <x v="1"/>
    <x v="0"/>
    <x v="46"/>
    <x v="0"/>
    <x v="12"/>
    <x v="3"/>
  </r>
  <r>
    <x v="2266"/>
    <x v="17"/>
    <x v="4"/>
    <n v="29.4"/>
    <n v="352.79999999999995"/>
    <x v="83"/>
    <d v="2025-03-26T00:00:00"/>
    <x v="2"/>
    <x v="1"/>
    <x v="0"/>
    <x v="0"/>
    <x v="51"/>
    <x v="3"/>
    <x v="12"/>
    <x v="2"/>
  </r>
  <r>
    <x v="2267"/>
    <x v="17"/>
    <x v="1"/>
    <n v="42.1"/>
    <n v="84.2"/>
    <x v="83"/>
    <d v="2025-03-26T00:00:00"/>
    <x v="2"/>
    <x v="3"/>
    <x v="1"/>
    <x v="0"/>
    <x v="1"/>
    <x v="3"/>
    <x v="12"/>
    <x v="2"/>
  </r>
  <r>
    <x v="2268"/>
    <x v="5"/>
    <x v="0"/>
    <n v="40.5"/>
    <n v="40.5"/>
    <x v="83"/>
    <d v="2025-03-26T00:00:00"/>
    <x v="2"/>
    <x v="2"/>
    <x v="1"/>
    <x v="0"/>
    <x v="1"/>
    <x v="3"/>
    <x v="12"/>
    <x v="2"/>
  </r>
  <r>
    <x v="2269"/>
    <x v="2"/>
    <x v="12"/>
    <n v="182.3"/>
    <n v="729.2"/>
    <x v="83"/>
    <d v="2025-03-26T00:00:00"/>
    <x v="2"/>
    <x v="1"/>
    <x v="0"/>
    <x v="0"/>
    <x v="1"/>
    <x v="3"/>
    <x v="12"/>
    <x v="2"/>
  </r>
  <r>
    <x v="2270"/>
    <x v="2"/>
    <x v="9"/>
    <n v="157"/>
    <n v="785"/>
    <x v="83"/>
    <d v="2025-03-28T00:00:00"/>
    <x v="2"/>
    <x v="1"/>
    <x v="2"/>
    <x v="0"/>
    <x v="2"/>
    <x v="2"/>
    <x v="12"/>
    <x v="2"/>
  </r>
  <r>
    <x v="2271"/>
    <x v="17"/>
    <x v="9"/>
    <n v="45.2"/>
    <n v="226"/>
    <x v="83"/>
    <d v="2025-03-28T00:00:00"/>
    <x v="2"/>
    <x v="1"/>
    <x v="0"/>
    <x v="0"/>
    <x v="22"/>
    <x v="2"/>
    <x v="12"/>
    <x v="2"/>
  </r>
  <r>
    <x v="2272"/>
    <x v="15"/>
    <x v="12"/>
    <n v="27.4"/>
    <n v="109.6"/>
    <x v="83"/>
    <d v="2025-03-27T00:00:00"/>
    <x v="2"/>
    <x v="0"/>
    <x v="0"/>
    <x v="0"/>
    <x v="3"/>
    <x v="1"/>
    <x v="12"/>
    <x v="2"/>
  </r>
  <r>
    <x v="2273"/>
    <x v="5"/>
    <x v="9"/>
    <n v="34.1"/>
    <n v="170.5"/>
    <x v="83"/>
    <d v="2025-03-27T00:00:00"/>
    <x v="1"/>
    <x v="0"/>
    <x v="2"/>
    <x v="0"/>
    <x v="3"/>
    <x v="1"/>
    <x v="12"/>
    <x v="1"/>
  </r>
  <r>
    <x v="2274"/>
    <x v="0"/>
    <x v="1"/>
    <n v="26"/>
    <n v="52"/>
    <x v="83"/>
    <d v="2025-03-27T00:00:00"/>
    <x v="1"/>
    <x v="2"/>
    <x v="1"/>
    <x v="0"/>
    <x v="3"/>
    <x v="1"/>
    <x v="12"/>
    <x v="1"/>
  </r>
  <r>
    <x v="2275"/>
    <x v="8"/>
    <x v="3"/>
    <n v="19.399999999999999"/>
    <n v="135.79999999999998"/>
    <x v="83"/>
    <d v="2025-03-27T00:00:00"/>
    <x v="0"/>
    <x v="1"/>
    <x v="1"/>
    <x v="0"/>
    <x v="3"/>
    <x v="1"/>
    <x v="12"/>
    <x v="0"/>
  </r>
  <r>
    <x v="2276"/>
    <x v="16"/>
    <x v="2"/>
    <n v="30.3"/>
    <n v="90.9"/>
    <x v="83"/>
    <d v="2025-03-28T00:00:00"/>
    <x v="2"/>
    <x v="1"/>
    <x v="2"/>
    <x v="0"/>
    <x v="3"/>
    <x v="2"/>
    <x v="12"/>
    <x v="2"/>
  </r>
  <r>
    <x v="2277"/>
    <x v="2"/>
    <x v="2"/>
    <n v="101.4"/>
    <n v="304.20000000000005"/>
    <x v="83"/>
    <d v="2025-03-26T00:00:00"/>
    <x v="1"/>
    <x v="0"/>
    <x v="0"/>
    <x v="0"/>
    <x v="3"/>
    <x v="3"/>
    <x v="12"/>
    <x v="1"/>
  </r>
  <r>
    <x v="2278"/>
    <x v="3"/>
    <x v="9"/>
    <n v="55.5"/>
    <n v="277.5"/>
    <x v="83"/>
    <d v="2025-03-28T00:00:00"/>
    <x v="1"/>
    <x v="1"/>
    <x v="0"/>
    <x v="0"/>
    <x v="24"/>
    <x v="2"/>
    <x v="12"/>
    <x v="1"/>
  </r>
  <r>
    <x v="2279"/>
    <x v="8"/>
    <x v="0"/>
    <n v="23.1"/>
    <n v="23.1"/>
    <x v="83"/>
    <d v="2025-03-26T00:00:00"/>
    <x v="1"/>
    <x v="0"/>
    <x v="0"/>
    <x v="0"/>
    <x v="25"/>
    <x v="3"/>
    <x v="12"/>
    <x v="1"/>
  </r>
  <r>
    <x v="2280"/>
    <x v="18"/>
    <x v="1"/>
    <n v="38.9"/>
    <n v="77.8"/>
    <x v="83"/>
    <d v="2025-03-26T00:00:00"/>
    <x v="1"/>
    <x v="2"/>
    <x v="0"/>
    <x v="0"/>
    <x v="25"/>
    <x v="3"/>
    <x v="12"/>
    <x v="1"/>
  </r>
  <r>
    <x v="2281"/>
    <x v="6"/>
    <x v="11"/>
    <n v="116.3"/>
    <n v="1046.7"/>
    <x v="83"/>
    <d v="2025-03-29T00:00:00"/>
    <x v="2"/>
    <x v="0"/>
    <x v="0"/>
    <x v="0"/>
    <x v="5"/>
    <x v="5"/>
    <x v="12"/>
    <x v="2"/>
  </r>
  <r>
    <x v="2282"/>
    <x v="16"/>
    <x v="11"/>
    <n v="64.099999999999994"/>
    <n v="576.9"/>
    <x v="83"/>
    <d v="2025-03-25T00:00:00"/>
    <x v="2"/>
    <x v="0"/>
    <x v="2"/>
    <x v="0"/>
    <x v="6"/>
    <x v="7"/>
    <x v="12"/>
    <x v="2"/>
  </r>
  <r>
    <x v="2283"/>
    <x v="2"/>
    <x v="13"/>
    <n v="109.2"/>
    <n v="655.20000000000005"/>
    <x v="83"/>
    <d v="2025-03-27T00:00:00"/>
    <x v="1"/>
    <x v="0"/>
    <x v="1"/>
    <x v="0"/>
    <x v="8"/>
    <x v="1"/>
    <x v="12"/>
    <x v="1"/>
  </r>
  <r>
    <x v="2284"/>
    <x v="10"/>
    <x v="9"/>
    <n v="23.2"/>
    <n v="116"/>
    <x v="84"/>
    <d v="2025-03-27T00:00:00"/>
    <x v="1"/>
    <x v="0"/>
    <x v="1"/>
    <x v="0"/>
    <x v="8"/>
    <x v="3"/>
    <x v="12"/>
    <x v="1"/>
  </r>
  <r>
    <x v="2285"/>
    <x v="18"/>
    <x v="13"/>
    <n v="81.2"/>
    <n v="487.20000000000005"/>
    <x v="84"/>
    <d v="2025-03-28T00:00:00"/>
    <x v="1"/>
    <x v="2"/>
    <x v="2"/>
    <x v="0"/>
    <x v="8"/>
    <x v="1"/>
    <x v="12"/>
    <x v="1"/>
  </r>
  <r>
    <x v="2286"/>
    <x v="1"/>
    <x v="21"/>
    <n v="35.700000000000003"/>
    <n v="499.80000000000007"/>
    <x v="84"/>
    <d v="2025-03-27T00:00:00"/>
    <x v="1"/>
    <x v="3"/>
    <x v="0"/>
    <x v="0"/>
    <x v="8"/>
    <x v="3"/>
    <x v="12"/>
    <x v="1"/>
  </r>
  <r>
    <x v="2287"/>
    <x v="7"/>
    <x v="1"/>
    <n v="44.5"/>
    <n v="89"/>
    <x v="84"/>
    <d v="2025-03-29T00:00:00"/>
    <x v="1"/>
    <x v="4"/>
    <x v="0"/>
    <x v="0"/>
    <x v="9"/>
    <x v="2"/>
    <x v="12"/>
    <x v="1"/>
  </r>
  <r>
    <x v="2288"/>
    <x v="1"/>
    <x v="9"/>
    <n v="32"/>
    <n v="160"/>
    <x v="84"/>
    <d v="2025-03-28T00:00:00"/>
    <x v="3"/>
    <x v="1"/>
    <x v="1"/>
    <x v="0"/>
    <x v="9"/>
    <x v="1"/>
    <x v="12"/>
    <x v="3"/>
  </r>
  <r>
    <x v="2289"/>
    <x v="8"/>
    <x v="0"/>
    <n v="25.7"/>
    <n v="25.7"/>
    <x v="84"/>
    <d v="2025-03-27T00:00:00"/>
    <x v="1"/>
    <x v="0"/>
    <x v="0"/>
    <x v="0"/>
    <x v="10"/>
    <x v="3"/>
    <x v="12"/>
    <x v="1"/>
  </r>
  <r>
    <x v="2290"/>
    <x v="16"/>
    <x v="2"/>
    <n v="65.599999999999994"/>
    <n v="196.79999999999998"/>
    <x v="84"/>
    <d v="2025-04-01T00:00:00"/>
    <x v="1"/>
    <x v="0"/>
    <x v="0"/>
    <x v="0"/>
    <x v="11"/>
    <x v="4"/>
    <x v="12"/>
    <x v="1"/>
  </r>
  <r>
    <x v="2291"/>
    <x v="1"/>
    <x v="12"/>
    <n v="52.1"/>
    <n v="208.4"/>
    <x v="84"/>
    <d v="2025-03-27T00:00:00"/>
    <x v="2"/>
    <x v="0"/>
    <x v="2"/>
    <x v="0"/>
    <x v="11"/>
    <x v="3"/>
    <x v="12"/>
    <x v="2"/>
  </r>
  <r>
    <x v="2292"/>
    <x v="8"/>
    <x v="0"/>
    <n v="31"/>
    <n v="31"/>
    <x v="84"/>
    <d v="2025-03-27T00:00:00"/>
    <x v="1"/>
    <x v="0"/>
    <x v="1"/>
    <x v="0"/>
    <x v="19"/>
    <x v="3"/>
    <x v="12"/>
    <x v="1"/>
  </r>
  <r>
    <x v="2293"/>
    <x v="8"/>
    <x v="0"/>
    <n v="32"/>
    <n v="32"/>
    <x v="84"/>
    <d v="2025-03-28T00:00:00"/>
    <x v="3"/>
    <x v="3"/>
    <x v="1"/>
    <x v="0"/>
    <x v="31"/>
    <x v="1"/>
    <x v="12"/>
    <x v="3"/>
  </r>
  <r>
    <x v="2294"/>
    <x v="16"/>
    <x v="12"/>
    <n v="58.3"/>
    <n v="233.2"/>
    <x v="84"/>
    <d v="2025-03-30T00:00:00"/>
    <x v="1"/>
    <x v="1"/>
    <x v="4"/>
    <x v="0"/>
    <x v="20"/>
    <x v="5"/>
    <x v="12"/>
    <x v="1"/>
  </r>
  <r>
    <x v="2295"/>
    <x v="8"/>
    <x v="2"/>
    <n v="31"/>
    <n v="93"/>
    <x v="84"/>
    <d v="2025-03-28T00:00:00"/>
    <x v="2"/>
    <x v="2"/>
    <x v="4"/>
    <x v="0"/>
    <x v="13"/>
    <x v="1"/>
    <x v="12"/>
    <x v="2"/>
  </r>
  <r>
    <x v="2296"/>
    <x v="3"/>
    <x v="0"/>
    <n v="40.299999999999997"/>
    <n v="40.299999999999997"/>
    <x v="84"/>
    <d v="2025-03-27T00:00:00"/>
    <x v="1"/>
    <x v="1"/>
    <x v="2"/>
    <x v="0"/>
    <x v="54"/>
    <x v="3"/>
    <x v="12"/>
    <x v="1"/>
  </r>
  <r>
    <x v="2297"/>
    <x v="6"/>
    <x v="2"/>
    <n v="47.3"/>
    <n v="141.89999999999998"/>
    <x v="84"/>
    <d v="2025-03-28T00:00:00"/>
    <x v="1"/>
    <x v="4"/>
    <x v="2"/>
    <x v="0"/>
    <x v="2"/>
    <x v="1"/>
    <x v="12"/>
    <x v="1"/>
  </r>
  <r>
    <x v="2298"/>
    <x v="2"/>
    <x v="0"/>
    <n v="82.8"/>
    <n v="82.8"/>
    <x v="84"/>
    <d v="2025-03-27T00:00:00"/>
    <x v="1"/>
    <x v="0"/>
    <x v="0"/>
    <x v="0"/>
    <x v="2"/>
    <x v="3"/>
    <x v="12"/>
    <x v="1"/>
  </r>
  <r>
    <x v="2299"/>
    <x v="8"/>
    <x v="0"/>
    <n v="18.5"/>
    <n v="18.5"/>
    <x v="84"/>
    <d v="2025-04-09T00:00:00"/>
    <x v="2"/>
    <x v="0"/>
    <x v="0"/>
    <x v="0"/>
    <x v="44"/>
    <x v="12"/>
    <x v="12"/>
    <x v="2"/>
  </r>
  <r>
    <x v="2300"/>
    <x v="3"/>
    <x v="1"/>
    <n v="60.4"/>
    <n v="120.8"/>
    <x v="84"/>
    <d v="2025-03-27T00:00:00"/>
    <x v="1"/>
    <x v="2"/>
    <x v="0"/>
    <x v="0"/>
    <x v="22"/>
    <x v="3"/>
    <x v="12"/>
    <x v="1"/>
  </r>
  <r>
    <x v="2301"/>
    <x v="6"/>
    <x v="9"/>
    <n v="80.2"/>
    <n v="401"/>
    <x v="84"/>
    <d v="2025-04-02T00:00:00"/>
    <x v="1"/>
    <x v="1"/>
    <x v="1"/>
    <x v="0"/>
    <x v="50"/>
    <x v="6"/>
    <x v="12"/>
    <x v="1"/>
  </r>
  <r>
    <x v="2302"/>
    <x v="4"/>
    <x v="0"/>
    <n v="41.5"/>
    <n v="41.5"/>
    <x v="84"/>
    <d v="2025-03-28T00:00:00"/>
    <x v="1"/>
    <x v="2"/>
    <x v="0"/>
    <x v="0"/>
    <x v="3"/>
    <x v="1"/>
    <x v="12"/>
    <x v="1"/>
  </r>
  <r>
    <x v="2303"/>
    <x v="2"/>
    <x v="1"/>
    <n v="83.9"/>
    <n v="167.8"/>
    <x v="84"/>
    <d v="2025-03-29T00:00:00"/>
    <x v="2"/>
    <x v="0"/>
    <x v="0"/>
    <x v="0"/>
    <x v="3"/>
    <x v="2"/>
    <x v="12"/>
    <x v="2"/>
  </r>
  <r>
    <x v="2304"/>
    <x v="8"/>
    <x v="1"/>
    <n v="16.7"/>
    <n v="33.4"/>
    <x v="84"/>
    <d v="2025-03-30T00:00:00"/>
    <x v="2"/>
    <x v="0"/>
    <x v="1"/>
    <x v="0"/>
    <x v="3"/>
    <x v="5"/>
    <x v="12"/>
    <x v="2"/>
  </r>
  <r>
    <x v="2305"/>
    <x v="9"/>
    <x v="1"/>
    <n v="72.900000000000006"/>
    <n v="145.80000000000001"/>
    <x v="84"/>
    <d v="2025-03-27T00:00:00"/>
    <x v="1"/>
    <x v="2"/>
    <x v="1"/>
    <x v="0"/>
    <x v="3"/>
    <x v="3"/>
    <x v="12"/>
    <x v="1"/>
  </r>
  <r>
    <x v="2306"/>
    <x v="5"/>
    <x v="1"/>
    <n v="50.2"/>
    <n v="100.4"/>
    <x v="84"/>
    <d v="2025-03-28T00:00:00"/>
    <x v="2"/>
    <x v="1"/>
    <x v="2"/>
    <x v="0"/>
    <x v="3"/>
    <x v="1"/>
    <x v="12"/>
    <x v="2"/>
  </r>
  <r>
    <x v="2307"/>
    <x v="3"/>
    <x v="1"/>
    <n v="34.200000000000003"/>
    <n v="68.400000000000006"/>
    <x v="84"/>
    <d v="2025-04-05T00:00:00"/>
    <x v="0"/>
    <x v="1"/>
    <x v="0"/>
    <x v="0"/>
    <x v="3"/>
    <x v="14"/>
    <x v="12"/>
    <x v="0"/>
  </r>
  <r>
    <x v="2308"/>
    <x v="5"/>
    <x v="1"/>
    <n v="107.9"/>
    <n v="215.8"/>
    <x v="84"/>
    <d v="2025-03-26T00:00:00"/>
    <x v="1"/>
    <x v="1"/>
    <x v="4"/>
    <x v="0"/>
    <x v="3"/>
    <x v="7"/>
    <x v="12"/>
    <x v="1"/>
  </r>
  <r>
    <x v="2309"/>
    <x v="0"/>
    <x v="2"/>
    <n v="17.5"/>
    <n v="52.5"/>
    <x v="84"/>
    <d v="2025-03-28T00:00:00"/>
    <x v="1"/>
    <x v="4"/>
    <x v="0"/>
    <x v="0"/>
    <x v="3"/>
    <x v="1"/>
    <x v="12"/>
    <x v="1"/>
  </r>
  <r>
    <x v="2310"/>
    <x v="13"/>
    <x v="20"/>
    <n v="44.7"/>
    <n v="670.5"/>
    <x v="84"/>
    <d v="2025-03-27T00:00:00"/>
    <x v="1"/>
    <x v="0"/>
    <x v="1"/>
    <x v="0"/>
    <x v="3"/>
    <x v="3"/>
    <x v="12"/>
    <x v="1"/>
  </r>
  <r>
    <x v="2311"/>
    <x v="12"/>
    <x v="13"/>
    <n v="92.7"/>
    <n v="556.20000000000005"/>
    <x v="84"/>
    <d v="2025-03-28T00:00:00"/>
    <x v="2"/>
    <x v="2"/>
    <x v="1"/>
    <x v="0"/>
    <x v="3"/>
    <x v="1"/>
    <x v="12"/>
    <x v="2"/>
  </r>
  <r>
    <x v="2312"/>
    <x v="7"/>
    <x v="2"/>
    <n v="48.8"/>
    <n v="146.39999999999998"/>
    <x v="84"/>
    <d v="2025-03-28T00:00:00"/>
    <x v="2"/>
    <x v="2"/>
    <x v="0"/>
    <x v="0"/>
    <x v="3"/>
    <x v="1"/>
    <x v="12"/>
    <x v="2"/>
  </r>
  <r>
    <x v="2313"/>
    <x v="4"/>
    <x v="27"/>
    <n v="21.3"/>
    <n v="340.8"/>
    <x v="84"/>
    <d v="2025-03-30T00:00:00"/>
    <x v="2"/>
    <x v="3"/>
    <x v="3"/>
    <x v="0"/>
    <x v="3"/>
    <x v="5"/>
    <x v="12"/>
    <x v="2"/>
  </r>
  <r>
    <x v="2314"/>
    <x v="16"/>
    <x v="0"/>
    <n v="52.5"/>
    <n v="52.5"/>
    <x v="84"/>
    <d v="2025-03-27T00:00:00"/>
    <x v="2"/>
    <x v="0"/>
    <x v="0"/>
    <x v="0"/>
    <x v="3"/>
    <x v="3"/>
    <x v="12"/>
    <x v="2"/>
  </r>
  <r>
    <x v="2315"/>
    <x v="1"/>
    <x v="1"/>
    <n v="92.4"/>
    <n v="184.8"/>
    <x v="84"/>
    <d v="2025-04-01T00:00:00"/>
    <x v="2"/>
    <x v="0"/>
    <x v="2"/>
    <x v="0"/>
    <x v="3"/>
    <x v="4"/>
    <x v="12"/>
    <x v="2"/>
  </r>
  <r>
    <x v="2316"/>
    <x v="4"/>
    <x v="5"/>
    <n v="58.3"/>
    <n v="641.29999999999995"/>
    <x v="84"/>
    <d v="2025-03-28T00:00:00"/>
    <x v="1"/>
    <x v="1"/>
    <x v="2"/>
    <x v="0"/>
    <x v="3"/>
    <x v="1"/>
    <x v="12"/>
    <x v="1"/>
  </r>
  <r>
    <x v="2317"/>
    <x v="6"/>
    <x v="44"/>
    <n v="152.6"/>
    <n v="3509.7999999999997"/>
    <x v="85"/>
    <d v="2025-03-29T00:00:00"/>
    <x v="0"/>
    <x v="0"/>
    <x v="0"/>
    <x v="0"/>
    <x v="3"/>
    <x v="1"/>
    <x v="12"/>
    <x v="0"/>
  </r>
  <r>
    <x v="2318"/>
    <x v="8"/>
    <x v="1"/>
    <n v="26"/>
    <n v="52"/>
    <x v="85"/>
    <d v="2025-03-27T00:00:00"/>
    <x v="0"/>
    <x v="0"/>
    <x v="1"/>
    <x v="0"/>
    <x v="3"/>
    <x v="7"/>
    <x v="12"/>
    <x v="0"/>
  </r>
  <r>
    <x v="2319"/>
    <x v="1"/>
    <x v="12"/>
    <n v="33.1"/>
    <n v="132.4"/>
    <x v="85"/>
    <d v="2025-03-27T00:00:00"/>
    <x v="1"/>
    <x v="2"/>
    <x v="4"/>
    <x v="0"/>
    <x v="5"/>
    <x v="7"/>
    <x v="12"/>
    <x v="1"/>
  </r>
  <r>
    <x v="2320"/>
    <x v="18"/>
    <x v="0"/>
    <n v="51.4"/>
    <n v="51.4"/>
    <x v="85"/>
    <d v="2025-03-29T00:00:00"/>
    <x v="2"/>
    <x v="1"/>
    <x v="1"/>
    <x v="0"/>
    <x v="5"/>
    <x v="1"/>
    <x v="12"/>
    <x v="2"/>
  </r>
  <r>
    <x v="2321"/>
    <x v="8"/>
    <x v="1"/>
    <n v="30.2"/>
    <n v="60.4"/>
    <x v="85"/>
    <d v="2025-03-28T00:00:00"/>
    <x v="2"/>
    <x v="2"/>
    <x v="2"/>
    <x v="0"/>
    <x v="6"/>
    <x v="3"/>
    <x v="12"/>
    <x v="2"/>
  </r>
  <r>
    <x v="2322"/>
    <x v="2"/>
    <x v="13"/>
    <n v="97"/>
    <n v="582"/>
    <x v="85"/>
    <d v="2025-03-31T00:00:00"/>
    <x v="2"/>
    <x v="0"/>
    <x v="2"/>
    <x v="0"/>
    <x v="7"/>
    <x v="5"/>
    <x v="12"/>
    <x v="2"/>
  </r>
  <r>
    <x v="2323"/>
    <x v="2"/>
    <x v="0"/>
    <n v="76.900000000000006"/>
    <n v="76.900000000000006"/>
    <x v="85"/>
    <d v="2025-03-28T00:00:00"/>
    <x v="1"/>
    <x v="1"/>
    <x v="2"/>
    <x v="0"/>
    <x v="8"/>
    <x v="3"/>
    <x v="12"/>
    <x v="1"/>
  </r>
  <r>
    <x v="2324"/>
    <x v="7"/>
    <x v="13"/>
    <n v="36.1"/>
    <n v="216.60000000000002"/>
    <x v="85"/>
    <d v="2025-03-31T00:00:00"/>
    <x v="2"/>
    <x v="0"/>
    <x v="0"/>
    <x v="0"/>
    <x v="8"/>
    <x v="5"/>
    <x v="12"/>
    <x v="2"/>
  </r>
  <r>
    <x v="2325"/>
    <x v="1"/>
    <x v="3"/>
    <n v="34.4"/>
    <n v="240.79999999999998"/>
    <x v="85"/>
    <d v="2025-03-27T00:00:00"/>
    <x v="2"/>
    <x v="2"/>
    <x v="1"/>
    <x v="0"/>
    <x v="11"/>
    <x v="7"/>
    <x v="12"/>
    <x v="2"/>
  </r>
  <r>
    <x v="2326"/>
    <x v="1"/>
    <x v="31"/>
    <n v="53.4"/>
    <n v="1495.2"/>
    <x v="85"/>
    <d v="2025-03-29T00:00:00"/>
    <x v="2"/>
    <x v="1"/>
    <x v="0"/>
    <x v="0"/>
    <x v="18"/>
    <x v="1"/>
    <x v="12"/>
    <x v="2"/>
  </r>
  <r>
    <x v="2327"/>
    <x v="2"/>
    <x v="0"/>
    <n v="77.599999999999994"/>
    <n v="77.599999999999994"/>
    <x v="85"/>
    <d v="2025-03-28T00:00:00"/>
    <x v="2"/>
    <x v="0"/>
    <x v="1"/>
    <x v="0"/>
    <x v="19"/>
    <x v="3"/>
    <x v="12"/>
    <x v="2"/>
  </r>
  <r>
    <x v="2328"/>
    <x v="1"/>
    <x v="2"/>
    <n v="71.7"/>
    <n v="215.10000000000002"/>
    <x v="85"/>
    <d v="2025-03-30T00:00:00"/>
    <x v="2"/>
    <x v="1"/>
    <x v="0"/>
    <x v="0"/>
    <x v="19"/>
    <x v="2"/>
    <x v="12"/>
    <x v="2"/>
  </r>
  <r>
    <x v="2329"/>
    <x v="3"/>
    <x v="2"/>
    <n v="80.599999999999994"/>
    <n v="241.79999999999998"/>
    <x v="85"/>
    <d v="2025-03-28T00:00:00"/>
    <x v="1"/>
    <x v="4"/>
    <x v="1"/>
    <x v="0"/>
    <x v="19"/>
    <x v="3"/>
    <x v="12"/>
    <x v="1"/>
  </r>
  <r>
    <x v="2330"/>
    <x v="1"/>
    <x v="20"/>
    <n v="70"/>
    <n v="1050"/>
    <x v="85"/>
    <d v="2025-03-29T00:00:00"/>
    <x v="1"/>
    <x v="0"/>
    <x v="0"/>
    <x v="0"/>
    <x v="20"/>
    <x v="1"/>
    <x v="12"/>
    <x v="1"/>
  </r>
  <r>
    <x v="2331"/>
    <x v="4"/>
    <x v="13"/>
    <n v="27.3"/>
    <n v="163.80000000000001"/>
    <x v="85"/>
    <d v="2025-03-29T00:00:00"/>
    <x v="2"/>
    <x v="1"/>
    <x v="1"/>
    <x v="0"/>
    <x v="2"/>
    <x v="1"/>
    <x v="12"/>
    <x v="2"/>
  </r>
  <r>
    <x v="2332"/>
    <x v="8"/>
    <x v="21"/>
    <n v="37.6"/>
    <n v="526.4"/>
    <x v="85"/>
    <d v="2025-03-29T00:00:00"/>
    <x v="1"/>
    <x v="1"/>
    <x v="0"/>
    <x v="0"/>
    <x v="3"/>
    <x v="1"/>
    <x v="12"/>
    <x v="1"/>
  </r>
  <r>
    <x v="2333"/>
    <x v="5"/>
    <x v="2"/>
    <n v="36.6"/>
    <n v="109.80000000000001"/>
    <x v="85"/>
    <d v="2025-03-29T00:00:00"/>
    <x v="2"/>
    <x v="4"/>
    <x v="0"/>
    <x v="0"/>
    <x v="3"/>
    <x v="1"/>
    <x v="12"/>
    <x v="2"/>
  </r>
  <r>
    <x v="2334"/>
    <x v="13"/>
    <x v="0"/>
    <n v="55.2"/>
    <n v="55.2"/>
    <x v="85"/>
    <d v="2025-03-29T00:00:00"/>
    <x v="1"/>
    <x v="3"/>
    <x v="0"/>
    <x v="0"/>
    <x v="3"/>
    <x v="1"/>
    <x v="12"/>
    <x v="1"/>
  </r>
  <r>
    <x v="2335"/>
    <x v="6"/>
    <x v="9"/>
    <n v="59.9"/>
    <n v="299.5"/>
    <x v="85"/>
    <d v="2025-03-29T00:00:00"/>
    <x v="1"/>
    <x v="0"/>
    <x v="0"/>
    <x v="0"/>
    <x v="3"/>
    <x v="1"/>
    <x v="12"/>
    <x v="1"/>
  </r>
  <r>
    <x v="2336"/>
    <x v="6"/>
    <x v="0"/>
    <n v="44"/>
    <n v="44"/>
    <x v="85"/>
    <d v="2025-03-28T00:00:00"/>
    <x v="2"/>
    <x v="2"/>
    <x v="2"/>
    <x v="0"/>
    <x v="3"/>
    <x v="3"/>
    <x v="12"/>
    <x v="2"/>
  </r>
  <r>
    <x v="2337"/>
    <x v="9"/>
    <x v="1"/>
    <n v="68.7"/>
    <n v="137.4"/>
    <x v="85"/>
    <d v="2025-03-27T00:00:00"/>
    <x v="1"/>
    <x v="0"/>
    <x v="0"/>
    <x v="0"/>
    <x v="3"/>
    <x v="7"/>
    <x v="12"/>
    <x v="1"/>
  </r>
  <r>
    <x v="2338"/>
    <x v="5"/>
    <x v="1"/>
    <n v="61.6"/>
    <n v="123.2"/>
    <x v="85"/>
    <d v="2025-03-31T00:00:00"/>
    <x v="1"/>
    <x v="3"/>
    <x v="1"/>
    <x v="0"/>
    <x v="3"/>
    <x v="5"/>
    <x v="12"/>
    <x v="1"/>
  </r>
  <r>
    <x v="2339"/>
    <x v="7"/>
    <x v="3"/>
    <n v="51.8"/>
    <n v="362.59999999999997"/>
    <x v="85"/>
    <d v="2025-03-28T00:00:00"/>
    <x v="1"/>
    <x v="0"/>
    <x v="0"/>
    <x v="0"/>
    <x v="3"/>
    <x v="3"/>
    <x v="12"/>
    <x v="1"/>
  </r>
  <r>
    <x v="2340"/>
    <x v="8"/>
    <x v="7"/>
    <n v="46.2"/>
    <n v="462"/>
    <x v="85"/>
    <d v="2025-03-29T00:00:00"/>
    <x v="1"/>
    <x v="1"/>
    <x v="2"/>
    <x v="0"/>
    <x v="3"/>
    <x v="1"/>
    <x v="12"/>
    <x v="1"/>
  </r>
  <r>
    <x v="2341"/>
    <x v="0"/>
    <x v="1"/>
    <n v="19.399999999999999"/>
    <n v="38.799999999999997"/>
    <x v="85"/>
    <d v="2025-03-29T00:00:00"/>
    <x v="2"/>
    <x v="1"/>
    <x v="2"/>
    <x v="0"/>
    <x v="6"/>
    <x v="1"/>
    <x v="12"/>
    <x v="2"/>
  </r>
  <r>
    <x v="2342"/>
    <x v="11"/>
    <x v="2"/>
    <n v="52.1"/>
    <n v="156.30000000000001"/>
    <x v="85"/>
    <d v="2025-03-30T00:00:00"/>
    <x v="1"/>
    <x v="3"/>
    <x v="3"/>
    <x v="0"/>
    <x v="6"/>
    <x v="2"/>
    <x v="12"/>
    <x v="1"/>
  </r>
  <r>
    <x v="2343"/>
    <x v="6"/>
    <x v="0"/>
    <n v="74.900000000000006"/>
    <n v="74.900000000000006"/>
    <x v="85"/>
    <d v="2025-03-29T00:00:00"/>
    <x v="3"/>
    <x v="0"/>
    <x v="0"/>
    <x v="0"/>
    <x v="7"/>
    <x v="1"/>
    <x v="12"/>
    <x v="3"/>
  </r>
  <r>
    <x v="2344"/>
    <x v="9"/>
    <x v="3"/>
    <n v="49.6"/>
    <n v="347.2"/>
    <x v="85"/>
    <d v="2025-03-30T00:00:00"/>
    <x v="2"/>
    <x v="4"/>
    <x v="0"/>
    <x v="0"/>
    <x v="8"/>
    <x v="2"/>
    <x v="12"/>
    <x v="2"/>
  </r>
  <r>
    <x v="2345"/>
    <x v="16"/>
    <x v="12"/>
    <n v="82.8"/>
    <n v="331.2"/>
    <x v="86"/>
    <d v="2025-03-31T00:00:00"/>
    <x v="2"/>
    <x v="4"/>
    <x v="0"/>
    <x v="0"/>
    <x v="8"/>
    <x v="2"/>
    <x v="12"/>
    <x v="2"/>
  </r>
  <r>
    <x v="2346"/>
    <x v="2"/>
    <x v="0"/>
    <n v="97.7"/>
    <n v="97.7"/>
    <x v="86"/>
    <d v="2025-03-29T00:00:00"/>
    <x v="2"/>
    <x v="1"/>
    <x v="0"/>
    <x v="0"/>
    <x v="8"/>
    <x v="3"/>
    <x v="12"/>
    <x v="2"/>
  </r>
  <r>
    <x v="2347"/>
    <x v="6"/>
    <x v="9"/>
    <n v="83.6"/>
    <n v="418"/>
    <x v="86"/>
    <d v="2025-03-29T00:00:00"/>
    <x v="2"/>
    <x v="4"/>
    <x v="0"/>
    <x v="0"/>
    <x v="8"/>
    <x v="3"/>
    <x v="12"/>
    <x v="2"/>
  </r>
  <r>
    <x v="2348"/>
    <x v="8"/>
    <x v="9"/>
    <n v="23.5"/>
    <n v="117.5"/>
    <x v="86"/>
    <d v="2025-04-01T00:00:00"/>
    <x v="3"/>
    <x v="0"/>
    <x v="0"/>
    <x v="0"/>
    <x v="8"/>
    <x v="5"/>
    <x v="12"/>
    <x v="3"/>
  </r>
  <r>
    <x v="2349"/>
    <x v="9"/>
    <x v="2"/>
    <n v="44.6"/>
    <n v="133.80000000000001"/>
    <x v="86"/>
    <d v="2025-03-31T00:00:00"/>
    <x v="2"/>
    <x v="4"/>
    <x v="1"/>
    <x v="0"/>
    <x v="26"/>
    <x v="2"/>
    <x v="12"/>
    <x v="2"/>
  </r>
  <r>
    <x v="2350"/>
    <x v="0"/>
    <x v="2"/>
    <n v="20.100000000000001"/>
    <n v="60.300000000000004"/>
    <x v="86"/>
    <d v="2025-03-30T00:00:00"/>
    <x v="2"/>
    <x v="3"/>
    <x v="4"/>
    <x v="0"/>
    <x v="11"/>
    <x v="1"/>
    <x v="12"/>
    <x v="2"/>
  </r>
  <r>
    <x v="2351"/>
    <x v="2"/>
    <x v="9"/>
    <n v="153.6"/>
    <n v="768"/>
    <x v="86"/>
    <d v="2025-03-29T00:00:00"/>
    <x v="2"/>
    <x v="1"/>
    <x v="2"/>
    <x v="0"/>
    <x v="53"/>
    <x v="3"/>
    <x v="12"/>
    <x v="2"/>
  </r>
  <r>
    <x v="2352"/>
    <x v="1"/>
    <x v="1"/>
    <n v="71.8"/>
    <n v="143.6"/>
    <x v="86"/>
    <d v="2025-04-01T00:00:00"/>
    <x v="2"/>
    <x v="1"/>
    <x v="0"/>
    <x v="0"/>
    <x v="1"/>
    <x v="5"/>
    <x v="12"/>
    <x v="2"/>
  </r>
  <r>
    <x v="2353"/>
    <x v="10"/>
    <x v="0"/>
    <n v="64.7"/>
    <n v="64.7"/>
    <x v="86"/>
    <d v="2025-03-30T00:00:00"/>
    <x v="0"/>
    <x v="0"/>
    <x v="1"/>
    <x v="0"/>
    <x v="1"/>
    <x v="1"/>
    <x v="12"/>
    <x v="0"/>
  </r>
  <r>
    <x v="2354"/>
    <x v="9"/>
    <x v="8"/>
    <n v="60.4"/>
    <n v="483.2"/>
    <x v="86"/>
    <d v="2025-03-30T00:00:00"/>
    <x v="2"/>
    <x v="3"/>
    <x v="2"/>
    <x v="0"/>
    <x v="2"/>
    <x v="1"/>
    <x v="12"/>
    <x v="2"/>
  </r>
  <r>
    <x v="2355"/>
    <x v="6"/>
    <x v="12"/>
    <n v="86"/>
    <n v="344"/>
    <x v="86"/>
    <d v="2025-03-31T00:00:00"/>
    <x v="2"/>
    <x v="2"/>
    <x v="2"/>
    <x v="0"/>
    <x v="22"/>
    <x v="2"/>
    <x v="12"/>
    <x v="2"/>
  </r>
  <r>
    <x v="2356"/>
    <x v="12"/>
    <x v="1"/>
    <n v="42.1"/>
    <n v="84.2"/>
    <x v="86"/>
    <d v="2025-03-29T00:00:00"/>
    <x v="2"/>
    <x v="4"/>
    <x v="1"/>
    <x v="0"/>
    <x v="34"/>
    <x v="3"/>
    <x v="12"/>
    <x v="2"/>
  </r>
  <r>
    <x v="2357"/>
    <x v="16"/>
    <x v="11"/>
    <n v="51.1"/>
    <n v="459.90000000000003"/>
    <x v="86"/>
    <d v="2025-03-29T00:00:00"/>
    <x v="1"/>
    <x v="2"/>
    <x v="1"/>
    <x v="0"/>
    <x v="3"/>
    <x v="3"/>
    <x v="12"/>
    <x v="1"/>
  </r>
  <r>
    <x v="2358"/>
    <x v="9"/>
    <x v="12"/>
    <n v="73.8"/>
    <n v="295.2"/>
    <x v="86"/>
    <d v="2025-03-29T00:00:00"/>
    <x v="1"/>
    <x v="4"/>
    <x v="0"/>
    <x v="0"/>
    <x v="3"/>
    <x v="3"/>
    <x v="12"/>
    <x v="1"/>
  </r>
  <r>
    <x v="2359"/>
    <x v="8"/>
    <x v="9"/>
    <n v="27"/>
    <n v="135"/>
    <x v="86"/>
    <d v="2025-03-31T00:00:00"/>
    <x v="2"/>
    <x v="2"/>
    <x v="2"/>
    <x v="0"/>
    <x v="3"/>
    <x v="2"/>
    <x v="12"/>
    <x v="2"/>
  </r>
  <r>
    <x v="2360"/>
    <x v="8"/>
    <x v="13"/>
    <n v="60.1"/>
    <n v="360.6"/>
    <x v="86"/>
    <d v="2025-03-29T00:00:00"/>
    <x v="1"/>
    <x v="3"/>
    <x v="0"/>
    <x v="0"/>
    <x v="3"/>
    <x v="3"/>
    <x v="12"/>
    <x v="1"/>
  </r>
  <r>
    <x v="2361"/>
    <x v="2"/>
    <x v="3"/>
    <n v="94.1"/>
    <n v="658.69999999999993"/>
    <x v="86"/>
    <d v="2025-03-30T00:00:00"/>
    <x v="2"/>
    <x v="4"/>
    <x v="1"/>
    <x v="0"/>
    <x v="3"/>
    <x v="1"/>
    <x v="12"/>
    <x v="2"/>
  </r>
  <r>
    <x v="2362"/>
    <x v="2"/>
    <x v="1"/>
    <n v="124.1"/>
    <n v="248.2"/>
    <x v="86"/>
    <d v="2025-03-28T00:00:00"/>
    <x v="2"/>
    <x v="2"/>
    <x v="3"/>
    <x v="0"/>
    <x v="43"/>
    <x v="7"/>
    <x v="12"/>
    <x v="2"/>
  </r>
  <r>
    <x v="2363"/>
    <x v="8"/>
    <x v="12"/>
    <n v="16.899999999999999"/>
    <n v="67.599999999999994"/>
    <x v="86"/>
    <d v="2025-03-31T00:00:00"/>
    <x v="1"/>
    <x v="3"/>
    <x v="0"/>
    <x v="0"/>
    <x v="6"/>
    <x v="2"/>
    <x v="12"/>
    <x v="1"/>
  </r>
  <r>
    <x v="2364"/>
    <x v="1"/>
    <x v="0"/>
    <n v="36.9"/>
    <n v="36.9"/>
    <x v="86"/>
    <d v="2025-03-29T00:00:00"/>
    <x v="1"/>
    <x v="0"/>
    <x v="0"/>
    <x v="0"/>
    <x v="6"/>
    <x v="3"/>
    <x v="12"/>
    <x v="1"/>
  </r>
  <r>
    <x v="2365"/>
    <x v="9"/>
    <x v="1"/>
    <n v="22.6"/>
    <n v="45.2"/>
    <x v="86"/>
    <d v="2025-04-10T00:00:00"/>
    <x v="2"/>
    <x v="2"/>
    <x v="1"/>
    <x v="0"/>
    <x v="8"/>
    <x v="10"/>
    <x v="12"/>
    <x v="2"/>
  </r>
  <r>
    <x v="2366"/>
    <x v="7"/>
    <x v="12"/>
    <n v="35"/>
    <n v="140"/>
    <x v="86"/>
    <d v="2025-04-02T00:00:00"/>
    <x v="1"/>
    <x v="3"/>
    <x v="1"/>
    <x v="0"/>
    <x v="8"/>
    <x v="0"/>
    <x v="12"/>
    <x v="1"/>
  </r>
  <r>
    <x v="2367"/>
    <x v="9"/>
    <x v="13"/>
    <n v="63.6"/>
    <n v="381.6"/>
    <x v="86"/>
    <d v="2025-04-04T00:00:00"/>
    <x v="0"/>
    <x v="1"/>
    <x v="2"/>
    <x v="0"/>
    <x v="8"/>
    <x v="6"/>
    <x v="12"/>
    <x v="0"/>
  </r>
  <r>
    <x v="2368"/>
    <x v="15"/>
    <x v="12"/>
    <n v="78.599999999999994"/>
    <n v="314.39999999999998"/>
    <x v="86"/>
    <d v="2025-03-29T00:00:00"/>
    <x v="1"/>
    <x v="4"/>
    <x v="1"/>
    <x v="0"/>
    <x v="8"/>
    <x v="3"/>
    <x v="12"/>
    <x v="1"/>
  </r>
  <r>
    <x v="2369"/>
    <x v="3"/>
    <x v="1"/>
    <n v="38.5"/>
    <n v="77"/>
    <x v="86"/>
    <d v="2025-03-29T00:00:00"/>
    <x v="1"/>
    <x v="0"/>
    <x v="2"/>
    <x v="0"/>
    <x v="8"/>
    <x v="3"/>
    <x v="12"/>
    <x v="1"/>
  </r>
  <r>
    <x v="2370"/>
    <x v="8"/>
    <x v="5"/>
    <n v="71.5"/>
    <n v="786.5"/>
    <x v="86"/>
    <d v="2025-03-29T00:00:00"/>
    <x v="2"/>
    <x v="1"/>
    <x v="4"/>
    <x v="0"/>
    <x v="8"/>
    <x v="3"/>
    <x v="12"/>
    <x v="2"/>
  </r>
  <r>
    <x v="2371"/>
    <x v="6"/>
    <x v="12"/>
    <n v="121.4"/>
    <n v="485.6"/>
    <x v="86"/>
    <d v="2025-04-01T00:00:00"/>
    <x v="1"/>
    <x v="1"/>
    <x v="2"/>
    <x v="0"/>
    <x v="17"/>
    <x v="5"/>
    <x v="12"/>
    <x v="1"/>
  </r>
  <r>
    <x v="2372"/>
    <x v="11"/>
    <x v="0"/>
    <n v="40.200000000000003"/>
    <n v="40.200000000000003"/>
    <x v="86"/>
    <d v="2025-03-31T00:00:00"/>
    <x v="2"/>
    <x v="0"/>
    <x v="2"/>
    <x v="0"/>
    <x v="11"/>
    <x v="2"/>
    <x v="12"/>
    <x v="2"/>
  </r>
  <r>
    <x v="2373"/>
    <x v="5"/>
    <x v="9"/>
    <n v="31.9"/>
    <n v="159.5"/>
    <x v="86"/>
    <d v="2025-03-30T00:00:00"/>
    <x v="2"/>
    <x v="2"/>
    <x v="2"/>
    <x v="0"/>
    <x v="28"/>
    <x v="1"/>
    <x v="12"/>
    <x v="2"/>
  </r>
  <r>
    <x v="2374"/>
    <x v="14"/>
    <x v="9"/>
    <n v="15.8"/>
    <n v="79"/>
    <x v="87"/>
    <d v="2025-03-30T00:00:00"/>
    <x v="1"/>
    <x v="3"/>
    <x v="2"/>
    <x v="0"/>
    <x v="21"/>
    <x v="3"/>
    <x v="12"/>
    <x v="1"/>
  </r>
  <r>
    <x v="2375"/>
    <x v="10"/>
    <x v="1"/>
    <n v="25.1"/>
    <n v="50.2"/>
    <x v="87"/>
    <d v="2025-03-31T00:00:00"/>
    <x v="0"/>
    <x v="1"/>
    <x v="0"/>
    <x v="0"/>
    <x v="21"/>
    <x v="1"/>
    <x v="12"/>
    <x v="0"/>
  </r>
  <r>
    <x v="2376"/>
    <x v="1"/>
    <x v="44"/>
    <n v="38.1"/>
    <n v="876.30000000000007"/>
    <x v="87"/>
    <d v="2025-03-30T00:00:00"/>
    <x v="2"/>
    <x v="4"/>
    <x v="0"/>
    <x v="0"/>
    <x v="1"/>
    <x v="3"/>
    <x v="12"/>
    <x v="2"/>
  </r>
  <r>
    <x v="2377"/>
    <x v="3"/>
    <x v="1"/>
    <n v="42.2"/>
    <n v="84.4"/>
    <x v="87"/>
    <d v="2025-03-31T00:00:00"/>
    <x v="2"/>
    <x v="0"/>
    <x v="2"/>
    <x v="0"/>
    <x v="1"/>
    <x v="1"/>
    <x v="12"/>
    <x v="2"/>
  </r>
  <r>
    <x v="2378"/>
    <x v="0"/>
    <x v="7"/>
    <n v="12.3"/>
    <n v="123"/>
    <x v="87"/>
    <d v="2025-03-30T00:00:00"/>
    <x v="2"/>
    <x v="4"/>
    <x v="0"/>
    <x v="0"/>
    <x v="2"/>
    <x v="3"/>
    <x v="12"/>
    <x v="2"/>
  </r>
  <r>
    <x v="2379"/>
    <x v="7"/>
    <x v="0"/>
    <n v="30.2"/>
    <n v="30.2"/>
    <x v="87"/>
    <d v="2025-03-31T00:00:00"/>
    <x v="2"/>
    <x v="1"/>
    <x v="2"/>
    <x v="0"/>
    <x v="34"/>
    <x v="1"/>
    <x v="12"/>
    <x v="2"/>
  </r>
  <r>
    <x v="2380"/>
    <x v="5"/>
    <x v="2"/>
    <n v="25.3"/>
    <n v="75.900000000000006"/>
    <x v="87"/>
    <d v="2025-04-01T00:00:00"/>
    <x v="2"/>
    <x v="2"/>
    <x v="0"/>
    <x v="0"/>
    <x v="3"/>
    <x v="2"/>
    <x v="12"/>
    <x v="2"/>
  </r>
  <r>
    <x v="2381"/>
    <x v="8"/>
    <x v="9"/>
    <n v="29.7"/>
    <n v="148.5"/>
    <x v="87"/>
    <d v="2025-03-31T00:00:00"/>
    <x v="1"/>
    <x v="3"/>
    <x v="0"/>
    <x v="0"/>
    <x v="3"/>
    <x v="1"/>
    <x v="12"/>
    <x v="1"/>
  </r>
  <r>
    <x v="2382"/>
    <x v="9"/>
    <x v="8"/>
    <n v="32.9"/>
    <n v="263.2"/>
    <x v="87"/>
    <d v="2025-03-30T00:00:00"/>
    <x v="0"/>
    <x v="3"/>
    <x v="2"/>
    <x v="0"/>
    <x v="3"/>
    <x v="3"/>
    <x v="12"/>
    <x v="0"/>
  </r>
  <r>
    <x v="2383"/>
    <x v="10"/>
    <x v="1"/>
    <n v="43.6"/>
    <n v="87.2"/>
    <x v="87"/>
    <d v="2025-03-30T00:00:00"/>
    <x v="1"/>
    <x v="1"/>
    <x v="2"/>
    <x v="0"/>
    <x v="3"/>
    <x v="3"/>
    <x v="12"/>
    <x v="1"/>
  </r>
  <r>
    <x v="2384"/>
    <x v="15"/>
    <x v="12"/>
    <n v="78.400000000000006"/>
    <n v="313.60000000000002"/>
    <x v="87"/>
    <d v="2025-03-30T00:00:00"/>
    <x v="1"/>
    <x v="2"/>
    <x v="0"/>
    <x v="0"/>
    <x v="3"/>
    <x v="3"/>
    <x v="12"/>
    <x v="1"/>
  </r>
  <r>
    <x v="2385"/>
    <x v="6"/>
    <x v="1"/>
    <n v="56.5"/>
    <n v="113"/>
    <x v="87"/>
    <d v="2025-04-02T00:00:00"/>
    <x v="1"/>
    <x v="1"/>
    <x v="1"/>
    <x v="0"/>
    <x v="3"/>
    <x v="5"/>
    <x v="12"/>
    <x v="1"/>
  </r>
  <r>
    <x v="2386"/>
    <x v="16"/>
    <x v="0"/>
    <n v="36.700000000000003"/>
    <n v="36.700000000000003"/>
    <x v="87"/>
    <d v="2025-03-30T00:00:00"/>
    <x v="2"/>
    <x v="0"/>
    <x v="2"/>
    <x v="0"/>
    <x v="3"/>
    <x v="3"/>
    <x v="12"/>
    <x v="2"/>
  </r>
  <r>
    <x v="2387"/>
    <x v="2"/>
    <x v="12"/>
    <n v="103.6"/>
    <n v="414.4"/>
    <x v="87"/>
    <d v="2025-04-09T00:00:00"/>
    <x v="1"/>
    <x v="4"/>
    <x v="2"/>
    <x v="0"/>
    <x v="3"/>
    <x v="11"/>
    <x v="12"/>
    <x v="1"/>
  </r>
  <r>
    <x v="2388"/>
    <x v="8"/>
    <x v="13"/>
    <n v="16.2"/>
    <n v="97.199999999999989"/>
    <x v="87"/>
    <d v="2025-04-02T00:00:00"/>
    <x v="1"/>
    <x v="1"/>
    <x v="2"/>
    <x v="0"/>
    <x v="6"/>
    <x v="5"/>
    <x v="12"/>
    <x v="1"/>
  </r>
  <r>
    <x v="2389"/>
    <x v="8"/>
    <x v="1"/>
    <n v="20.2"/>
    <n v="40.4"/>
    <x v="87"/>
    <d v="2025-03-30T00:00:00"/>
    <x v="2"/>
    <x v="0"/>
    <x v="0"/>
    <x v="0"/>
    <x v="6"/>
    <x v="3"/>
    <x v="12"/>
    <x v="2"/>
  </r>
  <r>
    <x v="2390"/>
    <x v="11"/>
    <x v="1"/>
    <n v="26.9"/>
    <n v="53.8"/>
    <x v="87"/>
    <d v="2025-03-31T00:00:00"/>
    <x v="2"/>
    <x v="2"/>
    <x v="0"/>
    <x v="0"/>
    <x v="6"/>
    <x v="1"/>
    <x v="12"/>
    <x v="2"/>
  </r>
  <r>
    <x v="2391"/>
    <x v="1"/>
    <x v="1"/>
    <n v="82.4"/>
    <n v="164.8"/>
    <x v="87"/>
    <d v="2025-04-01T00:00:00"/>
    <x v="0"/>
    <x v="0"/>
    <x v="0"/>
    <x v="0"/>
    <x v="7"/>
    <x v="2"/>
    <x v="12"/>
    <x v="0"/>
  </r>
  <r>
    <x v="2392"/>
    <x v="2"/>
    <x v="1"/>
    <n v="117.8"/>
    <n v="235.6"/>
    <x v="87"/>
    <d v="2025-03-31T00:00:00"/>
    <x v="1"/>
    <x v="1"/>
    <x v="2"/>
    <x v="0"/>
    <x v="8"/>
    <x v="1"/>
    <x v="12"/>
    <x v="1"/>
  </r>
  <r>
    <x v="2393"/>
    <x v="11"/>
    <x v="12"/>
    <n v="36.700000000000003"/>
    <n v="146.80000000000001"/>
    <x v="87"/>
    <d v="2025-03-30T00:00:00"/>
    <x v="1"/>
    <x v="1"/>
    <x v="0"/>
    <x v="0"/>
    <x v="8"/>
    <x v="3"/>
    <x v="12"/>
    <x v="1"/>
  </r>
  <r>
    <x v="2394"/>
    <x v="17"/>
    <x v="2"/>
    <n v="46.8"/>
    <n v="140.39999999999998"/>
    <x v="87"/>
    <d v="2025-03-30T00:00:00"/>
    <x v="1"/>
    <x v="4"/>
    <x v="2"/>
    <x v="0"/>
    <x v="10"/>
    <x v="3"/>
    <x v="12"/>
    <x v="1"/>
  </r>
  <r>
    <x v="2395"/>
    <x v="3"/>
    <x v="0"/>
    <n v="61.4"/>
    <n v="61.4"/>
    <x v="87"/>
    <d v="2025-03-30T00:00:00"/>
    <x v="1"/>
    <x v="1"/>
    <x v="0"/>
    <x v="0"/>
    <x v="10"/>
    <x v="3"/>
    <x v="12"/>
    <x v="1"/>
  </r>
  <r>
    <x v="2396"/>
    <x v="15"/>
    <x v="1"/>
    <n v="22.9"/>
    <n v="45.8"/>
    <x v="87"/>
    <d v="2025-03-30T00:00:00"/>
    <x v="1"/>
    <x v="0"/>
    <x v="0"/>
    <x v="0"/>
    <x v="11"/>
    <x v="3"/>
    <x v="12"/>
    <x v="1"/>
  </r>
  <r>
    <x v="2397"/>
    <x v="10"/>
    <x v="1"/>
    <n v="22.1"/>
    <n v="44.2"/>
    <x v="87"/>
    <d v="2025-03-30T00:00:00"/>
    <x v="2"/>
    <x v="4"/>
    <x v="0"/>
    <x v="0"/>
    <x v="11"/>
    <x v="3"/>
    <x v="12"/>
    <x v="2"/>
  </r>
  <r>
    <x v="2398"/>
    <x v="12"/>
    <x v="1"/>
    <n v="31"/>
    <n v="62"/>
    <x v="87"/>
    <d v="2025-03-31T00:00:00"/>
    <x v="2"/>
    <x v="2"/>
    <x v="0"/>
    <x v="0"/>
    <x v="18"/>
    <x v="1"/>
    <x v="12"/>
    <x v="2"/>
  </r>
  <r>
    <x v="2399"/>
    <x v="18"/>
    <x v="1"/>
    <n v="84.2"/>
    <n v="168.4"/>
    <x v="87"/>
    <d v="2025-03-31T00:00:00"/>
    <x v="1"/>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BC03932-AAE1-4C24-AF6F-779BC5FDEC38}" name="PivotTable2"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9:C23" firstHeaderRow="0" firstDataRow="1" firstDataCol="1"/>
  <pivotFields count="18">
    <pivotField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pivotField showAll="0">
      <items count="8">
        <item x="0"/>
        <item x="1"/>
        <item x="2"/>
        <item x="4"/>
        <item x="3"/>
        <item x="6"/>
        <item x="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0" baseItem="0" numFmtId="164"/>
  </dataFields>
  <formats count="5">
    <format dxfId="57">
      <pivotArea dataOnly="0" labelOnly="1" outline="0" fieldPosition="0">
        <references count="1">
          <reference field="4294967294" count="2">
            <x v="0"/>
            <x v="1"/>
          </reference>
        </references>
      </pivotArea>
    </format>
    <format dxfId="58">
      <pivotArea field="13" type="button" dataOnly="0" labelOnly="1" outline="0" axis="axisRow" fieldPosition="0"/>
    </format>
    <format dxfId="59">
      <pivotArea grandRow="1" outline="0" collapsedLevelsAreSubtotals="1" fieldPosition="0"/>
    </format>
    <format dxfId="60">
      <pivotArea dataOnly="0" labelOnly="1" grandRow="1" outline="0" fieldPosition="0"/>
    </format>
    <format dxfId="61">
      <pivotArea outline="0" fieldPosition="0">
        <references count="1">
          <reference field="4294967294" count="1">
            <x v="1"/>
          </reference>
        </references>
      </pivotArea>
    </format>
  </formats>
  <chartFormats count="2">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51DF990-3789-4F94-887F-4B57E6CF644B}" name="PivotTable1"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8">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pivotField dataField="1" showAll="0"/>
    <pivotField showAll="0"/>
    <pivotField showAll="0"/>
    <pivotField dataField="1" showAll="0"/>
    <pivotField showAll="0"/>
    <pivotField showAll="0"/>
    <pivotField showAll="0">
      <items count="8">
        <item x="0"/>
        <item x="1"/>
        <item x="2"/>
        <item x="4"/>
        <item x="3"/>
        <item x="6"/>
        <item x="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dataField name="Average of Rating C" fld="9" subtotal="average" baseField="0" baseItem="3"/>
    <dataField name="Average of Days to Deliver" fld="12" subtotal="average" baseField="0" baseItem="0"/>
  </dataFields>
  <formats count="1">
    <format dxfId="56">
      <pivotArea dataOnly="0" labelOnly="1" outline="0" fieldPosition="0">
        <references count="1">
          <reference field="4294967294" count="5">
            <x v="0"/>
            <x v="1"/>
            <x v="2"/>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EBA6153-5740-49C0-9526-F50461489A17}" name="PivotTable3"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0" firstHeaderRow="1" firstDataRow="2" firstDataCol="1"/>
  <pivotFields count="18">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axis="axisRow"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items count="8">
        <item x="0"/>
        <item x="1"/>
        <item x="2"/>
        <item x="4"/>
        <item x="3"/>
        <item x="6"/>
        <item x="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Amount" fld="4" showDataAs="percentOfTotal" baseField="0" baseItem="0" numFmtId="10"/>
  </dataFields>
  <formats count="10">
    <format dxfId="46">
      <pivotArea type="origin" dataOnly="0" labelOnly="1" outline="0" fieldPosition="0"/>
    </format>
    <format dxfId="47">
      <pivotArea field="14" type="button" dataOnly="0" labelOnly="1" outline="0" axis="axisCol" fieldPosition="0"/>
    </format>
    <format dxfId="48">
      <pivotArea type="topRight" dataOnly="0" labelOnly="1" outline="0" fieldPosition="0"/>
    </format>
    <format dxfId="49">
      <pivotArea field="8" type="button" dataOnly="0" labelOnly="1" outline="0" axis="axisRow" fieldPosition="0"/>
    </format>
    <format dxfId="50">
      <pivotArea dataOnly="0" labelOnly="1" fieldPosition="0">
        <references count="1">
          <reference field="14" count="0"/>
        </references>
      </pivotArea>
    </format>
    <format dxfId="51">
      <pivotArea dataOnly="0" labelOnly="1" grandCol="1" outline="0" fieldPosition="0"/>
    </format>
    <format dxfId="52">
      <pivotArea grandRow="1" outline="0" collapsedLevelsAreSubtotals="1" fieldPosition="0"/>
    </format>
    <format dxfId="53">
      <pivotArea dataOnly="0" labelOnly="1" grandRow="1" outline="0" fieldPosition="0"/>
    </format>
    <format dxfId="54">
      <pivotArea outline="0" fieldPosition="0">
        <references count="1">
          <reference field="4294967294" count="1">
            <x v="0"/>
          </reference>
        </references>
      </pivotArea>
    </format>
    <format dxfId="5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DA29283-D55B-42E9-B8E6-3A0C2EA15057}" name="PivotTable5"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location ref="A3:B11"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pivotField showAll="0"/>
    <pivotField showAll="0"/>
    <pivotField showAll="0"/>
    <pivotField showAll="0"/>
    <pivotField showAll="0"/>
    <pivotField showAll="0"/>
    <pivotField axis="axisRow" showAll="0" defaultSubtotal="0">
      <items count="7">
        <item x="0"/>
        <item x="1"/>
        <item x="2"/>
        <item x="3"/>
        <item x="4"/>
        <item n="6 TO 10" x="6"/>
        <item n="More than 10" x="5"/>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8">
    <i>
      <x/>
    </i>
    <i>
      <x v="1"/>
    </i>
    <i>
      <x v="2"/>
    </i>
    <i>
      <x v="3"/>
    </i>
    <i>
      <x v="4"/>
    </i>
    <i>
      <x v="5"/>
    </i>
    <i>
      <x v="6"/>
    </i>
    <i t="grand">
      <x/>
    </i>
  </rowItems>
  <colItems count="1">
    <i/>
  </colItems>
  <dataFields count="1">
    <dataField name="Count of TX ID" fld="0" subtotal="count" baseField="0" baseItem="0"/>
  </dataFields>
  <formats count="3">
    <format dxfId="43">
      <pivotArea field="2" type="button" dataOnly="0" labelOnly="1" outline="0"/>
    </format>
    <format dxfId="44">
      <pivotArea dataOnly="0" labelOnly="1" outline="0" axis="axisValues" fieldPosition="0"/>
    </format>
    <format dxfId="45">
      <pivotArea dataOnly="0" grandRow="1" axis="axisRow" fieldPosition="0"/>
    </format>
  </formats>
  <chartFormats count="2">
    <chartFormat chart="12"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FAE0CFF-5E4D-4249-8AE7-F8F96DF0EB9A}" name="PivotTable10"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1">
  <location ref="J3:K8" firstHeaderRow="1" firstDataRow="1" firstDataCol="1"/>
  <pivotFields count="18">
    <pivotField showAll="0"/>
    <pivotField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2">
            <reference field="4294967294" count="1" selected="0">
              <x v="0"/>
            </reference>
            <reference field="1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items count="5">
        <item x="0"/>
        <item n="Female" x="2"/>
        <item x="1"/>
        <item x="3"/>
        <item t="default"/>
      </items>
    </pivotField>
    <pivotField showAll="0"/>
    <pivotField showAll="0"/>
    <pivotField showAll="0"/>
    <pivotField showAll="0"/>
    <pivotField showAll="0"/>
    <pivotField showAll="0"/>
    <pivotField axis="axisRow"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5">
    <i>
      <x/>
    </i>
    <i>
      <x v="1"/>
    </i>
    <i>
      <x v="2"/>
    </i>
    <i>
      <x v="3"/>
    </i>
    <i t="grand">
      <x/>
    </i>
  </rowItems>
  <colItems count="1">
    <i/>
  </colItems>
  <dataFields count="1">
    <dataField name="Sum of Quantity" fld="2" baseField="0" baseItem="0"/>
  </dataFields>
  <formats count="10">
    <format dxfId="24">
      <pivotArea grandRow="1" outline="0" collapsedLevelsAreSubtotals="1" fieldPosition="0"/>
    </format>
    <format dxfId="25">
      <pivotArea dataOnly="0" labelOnly="1" grandRow="1" outline="0" fieldPosition="0"/>
    </format>
    <format dxfId="26">
      <pivotArea type="origin" dataOnly="0" labelOnly="1" outline="0" fieldPosition="0"/>
    </format>
    <format dxfId="27">
      <pivotArea field="14" type="button" dataOnly="0" labelOnly="1" outline="0" axis="axisRow" fieldPosition="0"/>
    </format>
    <format dxfId="28">
      <pivotArea type="topRight" dataOnly="0" labelOnly="1" outline="0" fieldPosition="0"/>
    </format>
    <format dxfId="29">
      <pivotArea field="1" type="button" dataOnly="0" labelOnly="1" outline="0"/>
    </format>
    <format dxfId="30">
      <pivotArea dataOnly="0" labelOnly="1" fieldPosition="0">
        <references count="1">
          <reference field="14" count="0"/>
        </references>
      </pivotArea>
    </format>
    <format dxfId="31">
      <pivotArea dataOnly="0" labelOnly="1" grandCol="1" outline="0" fieldPosition="0"/>
    </format>
    <format dxfId="32">
      <pivotArea dataOnly="0" grandRow="1" axis="axisRow" fieldPosition="0"/>
    </format>
    <format dxfId="23">
      <pivotArea dataOnly="0" labelOnly="1" fieldPosition="0">
        <references count="1">
          <reference field="14" count="0"/>
        </references>
      </pivotArea>
    </format>
  </formats>
  <chartFormats count="14">
    <chartFormat chart="8" format="0" series="1">
      <pivotArea type="data" outline="0" fieldPosition="0">
        <references count="2">
          <reference field="4294967294" count="1" selected="0">
            <x v="0"/>
          </reference>
          <reference field="14" count="1" selected="0">
            <x v="0"/>
          </reference>
        </references>
      </pivotArea>
    </chartFormat>
    <chartFormat chart="8" format="1" series="1">
      <pivotArea type="data" outline="0" fieldPosition="0">
        <references count="2">
          <reference field="4294967294" count="1" selected="0">
            <x v="0"/>
          </reference>
          <reference field="14" count="1" selected="0">
            <x v="1"/>
          </reference>
        </references>
      </pivotArea>
    </chartFormat>
    <chartFormat chart="8" format="2" series="1">
      <pivotArea type="data" outline="0" fieldPosition="0">
        <references count="2">
          <reference field="4294967294" count="1" selected="0">
            <x v="0"/>
          </reference>
          <reference field="14" count="1" selected="0">
            <x v="2"/>
          </reference>
        </references>
      </pivotArea>
    </chartFormat>
    <chartFormat chart="8" format="3" series="1">
      <pivotArea type="data" outline="0" fieldPosition="0">
        <references count="2">
          <reference field="4294967294" count="1" selected="0">
            <x v="0"/>
          </reference>
          <reference field="14" count="1" selected="0">
            <x v="3"/>
          </reference>
        </references>
      </pivotArea>
    </chartFormat>
    <chartFormat chart="16" format="8" series="1">
      <pivotArea type="data" outline="0" fieldPosition="0">
        <references count="2">
          <reference field="4294967294" count="1" selected="0">
            <x v="0"/>
          </reference>
          <reference field="14" count="1" selected="0">
            <x v="0"/>
          </reference>
        </references>
      </pivotArea>
    </chartFormat>
    <chartFormat chart="16" format="9" series="1">
      <pivotArea type="data" outline="0" fieldPosition="0">
        <references count="2">
          <reference field="4294967294" count="1" selected="0">
            <x v="0"/>
          </reference>
          <reference field="14" count="1" selected="0">
            <x v="1"/>
          </reference>
        </references>
      </pivotArea>
    </chartFormat>
    <chartFormat chart="16" format="10" series="1">
      <pivotArea type="data" outline="0" fieldPosition="0">
        <references count="2">
          <reference field="4294967294" count="1" selected="0">
            <x v="0"/>
          </reference>
          <reference field="14" count="1" selected="0">
            <x v="2"/>
          </reference>
        </references>
      </pivotArea>
    </chartFormat>
    <chartFormat chart="16" format="11" series="1">
      <pivotArea type="data" outline="0" fieldPosition="0">
        <references count="2">
          <reference field="4294967294" count="1" selected="0">
            <x v="0"/>
          </reference>
          <reference field="14" count="1" selected="0">
            <x v="3"/>
          </reference>
        </references>
      </pivotArea>
    </chartFormat>
    <chartFormat chart="23" format="0" series="1">
      <pivotArea type="data" outline="0" fieldPosition="0">
        <references count="1">
          <reference field="4294967294" count="1" selected="0">
            <x v="0"/>
          </reference>
        </references>
      </pivotArea>
    </chartFormat>
    <chartFormat chart="34" format="6" series="1">
      <pivotArea type="data" outline="0" fieldPosition="0">
        <references count="1">
          <reference field="4294967294" count="1" selected="0">
            <x v="0"/>
          </reference>
        </references>
      </pivotArea>
    </chartFormat>
    <chartFormat chart="34" format="7">
      <pivotArea type="data" outline="0" fieldPosition="0">
        <references count="2">
          <reference field="4294967294" count="1" selected="0">
            <x v="0"/>
          </reference>
          <reference field="14" count="1" selected="0">
            <x v="0"/>
          </reference>
        </references>
      </pivotArea>
    </chartFormat>
    <chartFormat chart="34" format="8">
      <pivotArea type="data" outline="0" fieldPosition="0">
        <references count="2">
          <reference field="4294967294" count="1" selected="0">
            <x v="0"/>
          </reference>
          <reference field="14" count="1" selected="0">
            <x v="1"/>
          </reference>
        </references>
      </pivotArea>
    </chartFormat>
    <chartFormat chart="34" format="9">
      <pivotArea type="data" outline="0" fieldPosition="0">
        <references count="2">
          <reference field="4294967294" count="1" selected="0">
            <x v="0"/>
          </reference>
          <reference field="14" count="1" selected="0">
            <x v="2"/>
          </reference>
        </references>
      </pivotArea>
    </chartFormat>
    <chartFormat chart="34" format="10">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5AD0AC4-47BE-4428-A490-5FDCB1BA3A2A}" name="PivotTable9"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F25" firstHeaderRow="1" firstDataRow="2" firstDataCol="1"/>
  <pivotFields count="18">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2">
            <reference field="4294967294" count="1" selected="0">
              <x v="0"/>
            </reference>
            <reference field="1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items count="5">
        <item x="0"/>
        <item n="Female" x="2"/>
        <item x="1"/>
        <item x="3"/>
        <item t="default"/>
      </items>
    </pivotField>
    <pivotField showAll="0"/>
    <pivotField showAll="0"/>
    <pivotField showAll="0"/>
    <pivotField showAll="0"/>
    <pivotField showAll="0"/>
    <pivotField showAll="0"/>
    <pivotField axis="axisCol"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1">
    <i>
      <x v="18"/>
    </i>
    <i>
      <x v="6"/>
    </i>
    <i>
      <x v="13"/>
    </i>
    <i>
      <x v="16"/>
    </i>
    <i>
      <x v="1"/>
    </i>
    <i>
      <x v="14"/>
    </i>
    <i>
      <x v="4"/>
    </i>
    <i>
      <x v="12"/>
    </i>
    <i>
      <x v="11"/>
    </i>
    <i>
      <x v="5"/>
    </i>
    <i>
      <x v="2"/>
    </i>
    <i>
      <x v="8"/>
    </i>
    <i>
      <x v="9"/>
    </i>
    <i>
      <x v="3"/>
    </i>
    <i>
      <x v="19"/>
    </i>
    <i>
      <x v="10"/>
    </i>
    <i>
      <x v="15"/>
    </i>
    <i>
      <x v="17"/>
    </i>
    <i>
      <x/>
    </i>
    <i>
      <x v="7"/>
    </i>
    <i t="grand">
      <x/>
    </i>
  </rowItems>
  <colFields count="1">
    <field x="14"/>
  </colFields>
  <colItems count="5">
    <i>
      <x/>
    </i>
    <i>
      <x v="1"/>
    </i>
    <i>
      <x v="2"/>
    </i>
    <i>
      <x v="3"/>
    </i>
    <i t="grand">
      <x/>
    </i>
  </colItems>
  <dataFields count="1">
    <dataField name="Sum of Quantity" fld="2" baseField="0" baseItem="0"/>
  </dataFields>
  <formats count="10">
    <format dxfId="42">
      <pivotArea dataOnly="0" fieldPosition="0">
        <references count="1">
          <reference field="1" count="0"/>
        </references>
      </pivotArea>
    </format>
    <format dxfId="41">
      <pivotArea grandRow="1" outline="0" collapsedLevelsAreSubtotals="1" fieldPosition="0"/>
    </format>
    <format dxfId="40">
      <pivotArea dataOnly="0" labelOnly="1" grandRow="1" outline="0" fieldPosition="0"/>
    </format>
    <format dxfId="39">
      <pivotArea type="origin" dataOnly="0" labelOnly="1" outline="0" fieldPosition="0"/>
    </format>
    <format dxfId="38">
      <pivotArea field="14" type="button" dataOnly="0" labelOnly="1" outline="0" axis="axisCol" fieldPosition="0"/>
    </format>
    <format dxfId="37">
      <pivotArea type="topRight" dataOnly="0" labelOnly="1" outline="0" fieldPosition="0"/>
    </format>
    <format dxfId="36">
      <pivotArea field="1" type="button" dataOnly="0" labelOnly="1" outline="0" axis="axisRow" fieldPosition="0"/>
    </format>
    <format dxfId="35">
      <pivotArea dataOnly="0" labelOnly="1" fieldPosition="0">
        <references count="1">
          <reference field="14" count="0"/>
        </references>
      </pivotArea>
    </format>
    <format dxfId="34">
      <pivotArea dataOnly="0" labelOnly="1" grandCol="1" outline="0" fieldPosition="0"/>
    </format>
    <format dxfId="33">
      <pivotArea dataOnly="0" grandRow="1" axis="axisRow" fieldPosition="0"/>
    </format>
  </formats>
  <chartFormats count="4">
    <chartFormat chart="16" format="8" series="1">
      <pivotArea type="data" outline="0" fieldPosition="0">
        <references count="2">
          <reference field="4294967294" count="1" selected="0">
            <x v="0"/>
          </reference>
          <reference field="14" count="1" selected="0">
            <x v="0"/>
          </reference>
        </references>
      </pivotArea>
    </chartFormat>
    <chartFormat chart="16" format="9" series="1">
      <pivotArea type="data" outline="0" fieldPosition="0">
        <references count="2">
          <reference field="4294967294" count="1" selected="0">
            <x v="0"/>
          </reference>
          <reference field="14" count="1" selected="0">
            <x v="1"/>
          </reference>
        </references>
      </pivotArea>
    </chartFormat>
    <chartFormat chart="16" format="10" series="1">
      <pivotArea type="data" outline="0" fieldPosition="0">
        <references count="2">
          <reference field="4294967294" count="1" selected="0">
            <x v="0"/>
          </reference>
          <reference field="14" count="1" selected="0">
            <x v="2"/>
          </reference>
        </references>
      </pivotArea>
    </chartFormat>
    <chartFormat chart="16" format="11"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9102F77-4FDF-42DD-B001-19F51F6C8F96}" name="PivotTable11" cacheId="32"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4:D62" firstHeaderRow="0" firstDataRow="1" firstDataCol="2"/>
  <pivotFields count="18">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5" outline="0" showAll="0" defaultSubtota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s>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58">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7">
        <item x="0"/>
        <item x="1"/>
        <item x="2"/>
        <item x="3"/>
        <item x="4"/>
        <item x="5"/>
        <item x="6"/>
      </items>
      <extLst>
        <ext xmlns:x14="http://schemas.microsoft.com/office/spreadsheetml/2009/9/main" uri="{2946ED86-A175-432a-8AC1-64E0C546D7DE}">
          <x14:pivotField fillDownLabels="1"/>
        </ext>
      </extLst>
    </pivotField>
    <pivotField compact="0" outline="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2">
    <field x="10"/>
    <field x="11"/>
  </rowFields>
  <rowItems count="58">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rowItems>
  <colFields count="1">
    <field x="-2"/>
  </colFields>
  <colItems count="2">
    <i>
      <x/>
    </i>
    <i i="1">
      <x v="1"/>
    </i>
  </colItems>
  <dataFields count="2">
    <dataField name="Sum of Quantity" fld="2" baseField="0" baseItem="0"/>
    <dataField name="Sum of Amount" fld="4" baseField="0" baseItem="0"/>
  </dataFields>
  <formats count="5">
    <format dxfId="22">
      <pivotArea field="11" type="button" dataOnly="0" labelOnly="1" outline="0" axis="axisRow" fieldPosition="1"/>
    </format>
    <format dxfId="21">
      <pivotArea dataOnly="0" labelOnly="1" outline="0" fieldPosition="0">
        <references count="1">
          <reference field="4294967294" count="2">
            <x v="0"/>
            <x v="1"/>
          </reference>
        </references>
      </pivotArea>
    </format>
    <format dxfId="20">
      <pivotArea grandRow="1" outline="0" collapsedLevelsAreSubtotals="1" fieldPosition="0"/>
    </format>
    <format dxfId="19">
      <pivotArea dataOnly="0" labelOnly="1" grandRow="1" outline="0" fieldPosition="0"/>
    </format>
    <format dxfId="18">
      <pivotArea field="10" type="button" dataOnly="0" labelOnly="1" outline="0" axis="axisRow"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FA6145F-08E3-4B41-AC6C-52DE2565F137}" name="PivotTable13"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21:B37"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pivotField showAll="0"/>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16">
    <i>
      <x/>
    </i>
    <i>
      <x v="1"/>
    </i>
    <i>
      <x v="2"/>
    </i>
    <i>
      <x v="3"/>
    </i>
    <i>
      <x v="4"/>
    </i>
    <i>
      <x v="5"/>
    </i>
    <i>
      <x v="6"/>
    </i>
    <i>
      <x v="7"/>
    </i>
    <i>
      <x v="8"/>
    </i>
    <i>
      <x v="9"/>
    </i>
    <i>
      <x v="10"/>
    </i>
    <i>
      <x v="11"/>
    </i>
    <i>
      <x v="12"/>
    </i>
    <i>
      <x v="13"/>
    </i>
    <i>
      <x v="14"/>
    </i>
    <i t="grand">
      <x/>
    </i>
  </rowItems>
  <colItems count="1">
    <i/>
  </colItems>
  <dataFields count="1">
    <dataField name="Count of TX ID" fld="0" subtotal="count" baseField="0" baseItem="0"/>
  </dataFields>
  <formats count="4">
    <format dxfId="0">
      <pivotArea field="12" type="button" dataOnly="0" labelOnly="1" outline="0" axis="axisRow" fieldPosition="0"/>
    </format>
    <format dxfId="1">
      <pivotArea dataOnly="0" labelOnly="1" outline="0" axis="axisValues" fieldPosition="0"/>
    </format>
    <format dxfId="2">
      <pivotArea grandRow="1" outline="0" collapsedLevelsAreSubtotals="1" fieldPosition="0"/>
    </format>
    <format dxfId="3">
      <pivotArea dataOnly="0" labelOnly="1" grandRow="1" outline="0" fieldPosition="0"/>
    </format>
  </formats>
  <chartFormats count="4">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98B0872-7280-4684-97FE-4BDE614CD535}" name="PivotTable12"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7">
  <location ref="A3:G8" firstHeaderRow="1" firstDataRow="2"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axis="axisCol" showAll="0">
      <items count="6">
        <item x="3"/>
        <item x="4"/>
        <item x="1"/>
        <item x="0"/>
        <item x="2"/>
        <item t="default"/>
      </items>
    </pivotField>
    <pivotField showAll="0"/>
    <pivotField showAll="0"/>
    <pivotField showAll="0">
      <items count="16">
        <item x="7"/>
        <item x="3"/>
        <item x="1"/>
        <item x="2"/>
        <item x="5"/>
        <item x="0"/>
        <item x="4"/>
        <item x="6"/>
        <item x="9"/>
        <item x="8"/>
        <item x="14"/>
        <item x="11"/>
        <item x="13"/>
        <item x="10"/>
        <item x="12"/>
        <item t="default"/>
      </items>
    </pivotField>
    <pivotField showAll="0"/>
    <pivotField showAll="0">
      <items count="5">
        <item x="2"/>
        <item x="1"/>
        <item x="3"/>
        <item x="0"/>
        <item t="default"/>
      </items>
    </pivotField>
    <pivotField showAll="0" defaultSubtotal="0">
      <items count="7">
        <item x="0"/>
        <item x="1"/>
        <item x="2"/>
        <item x="3"/>
        <item x="4"/>
        <item x="5"/>
        <item x="6"/>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4">
    <i>
      <x v="1"/>
    </i>
    <i>
      <x v="2"/>
    </i>
    <i>
      <x v="3"/>
    </i>
    <i t="grand">
      <x/>
    </i>
  </rowItems>
  <colFields count="1">
    <field x="9"/>
  </colFields>
  <colItems count="6">
    <i>
      <x/>
    </i>
    <i>
      <x v="1"/>
    </i>
    <i>
      <x v="2"/>
    </i>
    <i>
      <x v="3"/>
    </i>
    <i>
      <x v="4"/>
    </i>
    <i t="grand">
      <x/>
    </i>
  </colItems>
  <dataFields count="1">
    <dataField name="Count of TX ID" fld="0" subtotal="count" baseField="0" baseItem="0"/>
  </dataFields>
  <formats count="14">
    <format dxfId="17">
      <pivotArea field="12" type="button" dataOnly="0" labelOnly="1" outline="0"/>
    </format>
    <format dxfId="16">
      <pivotArea dataOnly="0" labelOnly="1" outline="0" axis="axisValues" fieldPosition="0"/>
    </format>
    <format dxfId="15">
      <pivotArea grandRow="1" outline="0" collapsedLevelsAreSubtotals="1" fieldPosition="0"/>
    </format>
    <format dxfId="14">
      <pivotArea dataOnly="0" labelOnly="1" grandRow="1" outline="0" fieldPosition="0"/>
    </format>
    <format dxfId="13">
      <pivotArea field="9" type="button" dataOnly="0" labelOnly="1" outline="0" axis="axisCol" fieldPosition="0"/>
    </format>
    <format dxfId="12">
      <pivotArea type="origin" dataOnly="0" labelOnly="1" outline="0" offset="A2:A3" fieldPosition="0"/>
    </format>
    <format dxfId="11">
      <pivotArea field="9" type="button" dataOnly="0" labelOnly="1" outline="0" axis="axisCol" fieldPosition="0"/>
    </format>
    <format dxfId="10">
      <pivotArea dataOnly="0" labelOnly="1" fieldPosition="0">
        <references count="1">
          <reference field="17" count="3">
            <x v="1"/>
            <x v="2"/>
            <x v="3"/>
          </reference>
        </references>
      </pivotArea>
    </format>
    <format dxfId="9">
      <pivotArea dataOnly="0" labelOnly="1" grandCol="1" outline="0" fieldPosition="0"/>
    </format>
    <format dxfId="8">
      <pivotArea type="origin" dataOnly="0" labelOnly="1" outline="0" offset="A1" fieldPosition="0"/>
    </format>
    <format dxfId="7">
      <pivotArea field="17" type="button" dataOnly="0" labelOnly="1" outline="0" axis="axisRow" fieldPosition="0"/>
    </format>
    <format dxfId="6">
      <pivotArea field="16" type="button" dataOnly="0" labelOnly="1" outline="0"/>
    </format>
    <format dxfId="5">
      <pivotArea field="5" type="button" dataOnly="0" labelOnly="1" outline="0"/>
    </format>
    <format dxfId="4">
      <pivotArea type="topRight" dataOnly="0" labelOnly="1" outline="0" fieldPosition="0"/>
    </format>
  </formats>
  <chartFormats count="5">
    <chartFormat chart="46" format="10" series="1">
      <pivotArea type="data" outline="0" fieldPosition="0">
        <references count="2">
          <reference field="4294967294" count="1" selected="0">
            <x v="0"/>
          </reference>
          <reference field="9" count="1" selected="0">
            <x v="0"/>
          </reference>
        </references>
      </pivotArea>
    </chartFormat>
    <chartFormat chart="46" format="11" series="1">
      <pivotArea type="data" outline="0" fieldPosition="0">
        <references count="2">
          <reference field="4294967294" count="1" selected="0">
            <x v="0"/>
          </reference>
          <reference field="9" count="1" selected="0">
            <x v="1"/>
          </reference>
        </references>
      </pivotArea>
    </chartFormat>
    <chartFormat chart="46" format="12" series="1">
      <pivotArea type="data" outline="0" fieldPosition="0">
        <references count="2">
          <reference field="4294967294" count="1" selected="0">
            <x v="0"/>
          </reference>
          <reference field="9" count="1" selected="0">
            <x v="2"/>
          </reference>
        </references>
      </pivotArea>
    </chartFormat>
    <chartFormat chart="46" format="13" series="1">
      <pivotArea type="data" outline="0" fieldPosition="0">
        <references count="2">
          <reference field="4294967294" count="1" selected="0">
            <x v="0"/>
          </reference>
          <reference field="9" count="1" selected="0">
            <x v="3"/>
          </reference>
        </references>
      </pivotArea>
    </chartFormat>
    <chartFormat chart="46" format="14"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6A8FF16E-13FA-4E47-9AB9-9412B530E167}" sourceName="Order Mode">
  <pivotTables>
    <pivotTable tabId="16" name="PivotTable12"/>
  </pivotTables>
  <data>
    <tabular pivotCacheId="1912843578">
      <items count="5">
        <i x="0" s="1"/>
        <i x="3" s="1"/>
        <i x="4"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64E047BD-E572-4C9B-A064-0397443DEDC4}" sourceName="Gender Value">
  <pivotTables>
    <pivotTable tabId="16" name="PivotTable12"/>
  </pivotTables>
  <data>
    <tabular pivotCacheId="1912843578">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76891425-9629-49C1-B64D-F411FB8EECA1}" cache="Slicer_Order_Mode" caption="Order Mode" rowHeight="247650"/>
  <slicer name="Gender Value" xr10:uid="{F5B4109B-48E2-48EC-AC4D-6FC8EB24BB62}" cache="Slicer_Gender_Value" caption="Gender Valu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tableColumns count="15">
    <tableColumn id="1" xr3:uid="{835BDA26-C722-4E6F-9298-258C54C0B701}" name="TX ID"/>
    <tableColumn id="2" xr3:uid="{D1EF005A-5696-4529-BA61-93E2EAA2107A}" name="Product"/>
    <tableColumn id="3" xr3:uid="{D49C5075-88A8-4A63-A107-04CDE748DF73}" name="Quantity"/>
    <tableColumn id="4" xr3:uid="{165FB9D7-E05A-4AF9-8E1E-85C779E2F26A}" name="Unit Price"/>
    <tableColumn id="5" xr3:uid="{ADAB0B65-CB79-438E-8639-84ED9A249D6D}" name="Amount"/>
    <tableColumn id="6" xr3:uid="{F1CF05F9-0D26-457F-8C26-9F73C63CDAC6}" name="Order Date" dataDxfId="66"/>
    <tableColumn id="7" xr3:uid="{43BB5DBF-46E1-4185-80C0-4361F55A385C}" name="Ship Date" dataDxfId="65"/>
    <tableColumn id="8" xr3:uid="{414130C9-4E38-42D6-9A5C-4680F86C86A0}" name="Customer Gender"/>
    <tableColumn id="9" xr3:uid="{8BBEC465-D535-4FE0-8A17-D6D08BC95D63}" name="Order Mode"/>
    <tableColumn id="10" xr3:uid="{9F8B8E2F-389A-43C1-A866-C7B34C836FA7}" name="Rating C"/>
    <tableColumn id="15" xr3:uid="{6AB4A82F-B440-4251-B6F1-F7FEC368BCB0}" name="State"/>
    <tableColumn id="14" xr3:uid="{7677905C-5061-4DD9-BB0A-9B3AD4D72582}" name="County"/>
    <tableColumn id="11" xr3:uid="{B121C182-B0E1-414B-A82C-D2FE9133B15C}" name="Days to Deliver" dataDxfId="64">
      <calculatedColumnFormula>orders[[#This Row],[Ship Date]]-orders[[#This Row],[Order Date]]</calculatedColumnFormula>
    </tableColumn>
    <tableColumn id="12" xr3:uid="{B071C0DA-87A9-4516-B4D9-4F5B7D3FF44A}" name="Weeknum" dataDxfId="63">
      <calculatedColumnFormula>WEEKNUM(orders[[#This Row],[Order Date]])</calculatedColumnFormula>
    </tableColumn>
    <tableColumn id="13" xr3:uid="{B8EA9E28-7541-4E76-9935-C26438661A18}" name="Gender Value" dataDxfId="62">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VivaCalif">
      <a:dk1>
        <a:sysClr val="windowText" lastClr="000000"/>
      </a:dk1>
      <a:lt1>
        <a:sysClr val="window" lastClr="FFFFFF"/>
      </a:lt1>
      <a:dk2>
        <a:srgbClr val="0E2841"/>
      </a:dk2>
      <a:lt2>
        <a:srgbClr val="E8E8E8"/>
      </a:lt2>
      <a:accent1>
        <a:srgbClr val="9FBFAD"/>
      </a:accent1>
      <a:accent2>
        <a:srgbClr val="748C76"/>
      </a:accent2>
      <a:accent3>
        <a:srgbClr val="505947"/>
      </a:accent3>
      <a:accent4>
        <a:srgbClr val="BF7F5A"/>
      </a:accent4>
      <a:accent5>
        <a:srgbClr val="BF3939"/>
      </a:accent5>
      <a:accent6>
        <a:srgbClr val="4887E6"/>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dimension ref="A1:S2401"/>
  <sheetViews>
    <sheetView workbookViewId="0">
      <selection activeCell="E7" sqref="E7"/>
    </sheetView>
  </sheetViews>
  <sheetFormatPr defaultRowHeight="14.4" x14ac:dyDescent="0.3"/>
  <cols>
    <col min="2" max="2" width="19.109375" bestFit="1" customWidth="1"/>
    <col min="3" max="3" width="8.109375" bestFit="1" customWidth="1"/>
    <col min="4" max="4" width="9.109375" bestFit="1" customWidth="1"/>
    <col min="5" max="5" width="7.44140625" bestFit="1" customWidth="1"/>
    <col min="6" max="6" width="10" bestFit="1" customWidth="1"/>
    <col min="7" max="7" width="9.44140625" bestFit="1" customWidth="1"/>
    <col min="8" max="8" width="15.6640625" bestFit="1" customWidth="1"/>
    <col min="9" max="9" width="10.6640625" bestFit="1" customWidth="1"/>
    <col min="10" max="10" width="7.77734375" bestFit="1" customWidth="1"/>
    <col min="11" max="11" width="8.77734375" bestFit="1" customWidth="1"/>
    <col min="12" max="12" width="19.6640625" bestFit="1" customWidth="1"/>
    <col min="13" max="13" width="13.33203125" bestFit="1" customWidth="1"/>
    <col min="14" max="14" width="9.33203125" bestFit="1" customWidth="1"/>
    <col min="15" max="15" width="12.109375" bestFit="1" customWidth="1"/>
  </cols>
  <sheetData>
    <row r="1" spans="1:19" x14ac:dyDescent="0.3">
      <c r="A1" t="s">
        <v>0</v>
      </c>
      <c r="B1" t="s">
        <v>1</v>
      </c>
      <c r="C1" t="s">
        <v>2</v>
      </c>
      <c r="D1" t="s">
        <v>3</v>
      </c>
      <c r="E1" t="s">
        <v>4</v>
      </c>
      <c r="F1" t="s">
        <v>5</v>
      </c>
      <c r="G1" t="s">
        <v>6</v>
      </c>
      <c r="H1" t="s">
        <v>7</v>
      </c>
      <c r="I1" t="s">
        <v>8</v>
      </c>
      <c r="J1" t="s">
        <v>9</v>
      </c>
      <c r="K1" t="s">
        <v>10</v>
      </c>
      <c r="L1" t="s">
        <v>11</v>
      </c>
      <c r="M1" s="2" t="s">
        <v>12</v>
      </c>
      <c r="N1" s="2" t="s">
        <v>13</v>
      </c>
      <c r="O1" s="2" t="s">
        <v>14</v>
      </c>
    </row>
    <row r="2" spans="1:19" x14ac:dyDescent="0.3">
      <c r="A2" t="s">
        <v>15</v>
      </c>
      <c r="B2" t="s">
        <v>16</v>
      </c>
      <c r="C2">
        <v>1</v>
      </c>
      <c r="D2">
        <v>10.9</v>
      </c>
      <c r="E2">
        <v>10.9</v>
      </c>
      <c r="F2" s="1">
        <v>45658</v>
      </c>
      <c r="G2" s="1">
        <v>45663</v>
      </c>
      <c r="H2" t="s">
        <v>17</v>
      </c>
      <c r="I2" t="s">
        <v>18</v>
      </c>
      <c r="J2">
        <v>4</v>
      </c>
      <c r="K2" t="s">
        <v>19</v>
      </c>
      <c r="L2" t="s">
        <v>20</v>
      </c>
      <c r="M2">
        <f>orders[[#This Row],[Ship Date]]-orders[[#This Row],[Order Date]]</f>
        <v>5</v>
      </c>
      <c r="N2">
        <f>WEEKNUM(orders[[#This Row],[Order Date]])</f>
        <v>1</v>
      </c>
      <c r="O2" t="str" cm="1">
        <f t="array" ref="O2">_xlfn.IFS(orders[[#This Row],[Customer Gender]]="M","Male", orders[[#This Row],[Customer Gender]]="F","Female", orders[[#This Row],[Customer Gender]]="O","Other", TRUE,"Unknown")</f>
        <v>Unknown</v>
      </c>
      <c r="S2" s="9"/>
    </row>
    <row r="3" spans="1:19" x14ac:dyDescent="0.3">
      <c r="A3" t="s">
        <v>21</v>
      </c>
      <c r="B3" t="s">
        <v>22</v>
      </c>
      <c r="C3">
        <v>2</v>
      </c>
      <c r="D3">
        <v>30.6</v>
      </c>
      <c r="E3">
        <v>61.2</v>
      </c>
      <c r="F3" s="1">
        <v>45658</v>
      </c>
      <c r="G3" s="1">
        <v>45660</v>
      </c>
      <c r="H3" t="s">
        <v>23</v>
      </c>
      <c r="I3" t="s">
        <v>18</v>
      </c>
      <c r="J3">
        <v>4</v>
      </c>
      <c r="K3" t="s">
        <v>19</v>
      </c>
      <c r="L3" t="s">
        <v>24</v>
      </c>
      <c r="M3">
        <f>orders[[#This Row],[Ship Date]]-orders[[#This Row],[Order Date]]</f>
        <v>2</v>
      </c>
      <c r="N3">
        <f>WEEKNUM(orders[[#This Row],[Order Date]])</f>
        <v>1</v>
      </c>
      <c r="O3" t="str" cm="1">
        <f t="array" ref="O3">_xlfn.IFS(orders[[#This Row],[Customer Gender]]="M","Male", orders[[#This Row],[Customer Gender]]="F","Female", orders[[#This Row],[Customer Gender]]="O","Other", TRUE,"Unknown")</f>
        <v>Male</v>
      </c>
      <c r="S3" s="9"/>
    </row>
    <row r="4" spans="1:19" x14ac:dyDescent="0.3">
      <c r="A4" t="s">
        <v>25</v>
      </c>
      <c r="B4" t="s">
        <v>26</v>
      </c>
      <c r="C4">
        <v>3</v>
      </c>
      <c r="D4">
        <v>109.4</v>
      </c>
      <c r="E4">
        <v>328.20000000000005</v>
      </c>
      <c r="F4" s="1">
        <v>45658</v>
      </c>
      <c r="G4" s="1">
        <v>45661</v>
      </c>
      <c r="H4" t="s">
        <v>27</v>
      </c>
      <c r="I4" t="s">
        <v>18</v>
      </c>
      <c r="J4">
        <v>3</v>
      </c>
      <c r="K4" t="s">
        <v>19</v>
      </c>
      <c r="L4" t="s">
        <v>28</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row>
    <row r="5" spans="1:19" x14ac:dyDescent="0.3">
      <c r="A5" t="s">
        <v>29</v>
      </c>
      <c r="B5" t="s">
        <v>30</v>
      </c>
      <c r="C5">
        <v>7</v>
      </c>
      <c r="D5">
        <v>37.700000000000003</v>
      </c>
      <c r="E5">
        <v>263.90000000000003</v>
      </c>
      <c r="F5" s="1">
        <v>45658</v>
      </c>
      <c r="G5" s="1">
        <v>45659</v>
      </c>
      <c r="H5" t="s">
        <v>27</v>
      </c>
      <c r="I5" t="s">
        <v>18</v>
      </c>
      <c r="J5">
        <v>4</v>
      </c>
      <c r="K5" t="s">
        <v>19</v>
      </c>
      <c r="L5" t="s">
        <v>28</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19" x14ac:dyDescent="0.3">
      <c r="A6" t="s">
        <v>31</v>
      </c>
      <c r="B6" t="s">
        <v>32</v>
      </c>
      <c r="C6">
        <v>3</v>
      </c>
      <c r="D6">
        <v>56.7</v>
      </c>
      <c r="E6">
        <v>170.10000000000002</v>
      </c>
      <c r="F6" s="1">
        <v>45658</v>
      </c>
      <c r="G6" s="1">
        <v>45661</v>
      </c>
      <c r="H6" t="s">
        <v>27</v>
      </c>
      <c r="I6" t="s">
        <v>18</v>
      </c>
      <c r="J6">
        <v>5</v>
      </c>
      <c r="K6" t="s">
        <v>19</v>
      </c>
      <c r="L6" t="s">
        <v>33</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19" x14ac:dyDescent="0.3">
      <c r="A7" t="s">
        <v>34</v>
      </c>
      <c r="B7" t="s">
        <v>22</v>
      </c>
      <c r="C7">
        <v>12</v>
      </c>
      <c r="D7">
        <v>83.5</v>
      </c>
      <c r="E7">
        <v>1002</v>
      </c>
      <c r="F7" s="1">
        <v>45658</v>
      </c>
      <c r="G7" s="1">
        <v>45661</v>
      </c>
      <c r="H7" t="s">
        <v>23</v>
      </c>
      <c r="I7" t="s">
        <v>35</v>
      </c>
      <c r="J7">
        <v>4</v>
      </c>
      <c r="K7" t="s">
        <v>19</v>
      </c>
      <c r="L7" t="s">
        <v>33</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19" x14ac:dyDescent="0.3">
      <c r="A8" t="s">
        <v>36</v>
      </c>
      <c r="B8" t="s">
        <v>37</v>
      </c>
      <c r="C8">
        <v>1</v>
      </c>
      <c r="D8">
        <v>55.3</v>
      </c>
      <c r="E8">
        <v>55.3</v>
      </c>
      <c r="F8" s="1">
        <v>45658</v>
      </c>
      <c r="G8" s="1">
        <v>45659</v>
      </c>
      <c r="H8" t="s">
        <v>27</v>
      </c>
      <c r="I8" t="s">
        <v>18</v>
      </c>
      <c r="J8">
        <v>4</v>
      </c>
      <c r="K8" t="s">
        <v>19</v>
      </c>
      <c r="L8" t="s">
        <v>33</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19" x14ac:dyDescent="0.3">
      <c r="A9" t="s">
        <v>38</v>
      </c>
      <c r="B9" t="s">
        <v>39</v>
      </c>
      <c r="C9">
        <v>2</v>
      </c>
      <c r="D9">
        <v>40.299999999999997</v>
      </c>
      <c r="E9">
        <v>80.599999999999994</v>
      </c>
      <c r="F9" s="1">
        <v>45658</v>
      </c>
      <c r="G9" s="1">
        <v>45659</v>
      </c>
      <c r="H9" t="s">
        <v>23</v>
      </c>
      <c r="I9" t="s">
        <v>40</v>
      </c>
      <c r="J9">
        <v>5</v>
      </c>
      <c r="K9" t="s">
        <v>19</v>
      </c>
      <c r="L9" t="s">
        <v>33</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9" x14ac:dyDescent="0.3">
      <c r="A10" t="s">
        <v>41</v>
      </c>
      <c r="B10" t="s">
        <v>42</v>
      </c>
      <c r="C10">
        <v>11</v>
      </c>
      <c r="D10">
        <v>35.700000000000003</v>
      </c>
      <c r="E10">
        <v>392.70000000000005</v>
      </c>
      <c r="F10" s="1">
        <v>45658</v>
      </c>
      <c r="G10" s="1">
        <v>45659</v>
      </c>
      <c r="H10" t="s">
        <v>27</v>
      </c>
      <c r="I10" t="s">
        <v>18</v>
      </c>
      <c r="J10">
        <v>4</v>
      </c>
      <c r="K10" t="s">
        <v>19</v>
      </c>
      <c r="L10" t="s">
        <v>33</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9" x14ac:dyDescent="0.3">
      <c r="A11" t="s">
        <v>43</v>
      </c>
      <c r="B11" t="s">
        <v>44</v>
      </c>
      <c r="C11">
        <v>7</v>
      </c>
      <c r="D11">
        <v>22.4</v>
      </c>
      <c r="E11">
        <v>156.79999999999998</v>
      </c>
      <c r="F11" s="1">
        <v>45658</v>
      </c>
      <c r="G11" s="1">
        <v>45661</v>
      </c>
      <c r="H11" t="s">
        <v>23</v>
      </c>
      <c r="I11" t="s">
        <v>18</v>
      </c>
      <c r="J11">
        <v>3</v>
      </c>
      <c r="K11" t="s">
        <v>19</v>
      </c>
      <c r="L11" t="s">
        <v>33</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9" x14ac:dyDescent="0.3">
      <c r="A12" t="s">
        <v>45</v>
      </c>
      <c r="B12" t="s">
        <v>46</v>
      </c>
      <c r="C12">
        <v>2</v>
      </c>
      <c r="D12">
        <v>54.4</v>
      </c>
      <c r="E12">
        <v>108.8</v>
      </c>
      <c r="F12" s="1">
        <v>45658</v>
      </c>
      <c r="G12" s="1">
        <v>45664</v>
      </c>
      <c r="H12" t="s">
        <v>27</v>
      </c>
      <c r="I12" t="s">
        <v>18</v>
      </c>
      <c r="J12">
        <v>4</v>
      </c>
      <c r="K12" t="s">
        <v>19</v>
      </c>
      <c r="L12" t="s">
        <v>33</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9" x14ac:dyDescent="0.3">
      <c r="A13" t="s">
        <v>47</v>
      </c>
      <c r="B13" t="s">
        <v>46</v>
      </c>
      <c r="C13">
        <v>2</v>
      </c>
      <c r="D13">
        <v>49</v>
      </c>
      <c r="E13">
        <v>98</v>
      </c>
      <c r="F13" s="1">
        <v>45658</v>
      </c>
      <c r="G13" s="1">
        <v>45660</v>
      </c>
      <c r="H13" t="s">
        <v>27</v>
      </c>
      <c r="I13" t="s">
        <v>40</v>
      </c>
      <c r="J13">
        <v>3</v>
      </c>
      <c r="K13" t="s">
        <v>19</v>
      </c>
      <c r="L13" t="s">
        <v>33</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9" x14ac:dyDescent="0.3">
      <c r="A14" t="s">
        <v>48</v>
      </c>
      <c r="B14" t="s">
        <v>37</v>
      </c>
      <c r="C14">
        <v>7</v>
      </c>
      <c r="D14">
        <v>118.6</v>
      </c>
      <c r="E14">
        <v>830.19999999999993</v>
      </c>
      <c r="F14" s="1">
        <v>45658</v>
      </c>
      <c r="G14" s="1">
        <v>45662</v>
      </c>
      <c r="H14" t="s">
        <v>27</v>
      </c>
      <c r="I14" t="s">
        <v>35</v>
      </c>
      <c r="J14">
        <v>4</v>
      </c>
      <c r="K14" t="s">
        <v>19</v>
      </c>
      <c r="L14" t="s">
        <v>49</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9" x14ac:dyDescent="0.3">
      <c r="A15" t="s">
        <v>50</v>
      </c>
      <c r="B15" t="s">
        <v>39</v>
      </c>
      <c r="C15">
        <v>27</v>
      </c>
      <c r="D15">
        <v>88.4</v>
      </c>
      <c r="E15">
        <v>2386.8000000000002</v>
      </c>
      <c r="F15" s="1">
        <v>45658</v>
      </c>
      <c r="G15" s="1">
        <v>45665</v>
      </c>
      <c r="H15" t="s">
        <v>23</v>
      </c>
      <c r="I15" t="s">
        <v>51</v>
      </c>
      <c r="J15">
        <v>4</v>
      </c>
      <c r="K15" t="s">
        <v>19</v>
      </c>
      <c r="L15" t="s">
        <v>52</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9" x14ac:dyDescent="0.3">
      <c r="A16" t="s">
        <v>53</v>
      </c>
      <c r="B16" t="s">
        <v>54</v>
      </c>
      <c r="C16">
        <v>1</v>
      </c>
      <c r="D16">
        <v>66.7</v>
      </c>
      <c r="E16">
        <v>66.7</v>
      </c>
      <c r="F16" s="1">
        <v>45658</v>
      </c>
      <c r="G16" s="1">
        <v>45661</v>
      </c>
      <c r="H16" t="s">
        <v>23</v>
      </c>
      <c r="I16" t="s">
        <v>18</v>
      </c>
      <c r="J16">
        <v>4</v>
      </c>
      <c r="K16" t="s">
        <v>19</v>
      </c>
      <c r="L16" t="s">
        <v>55</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x14ac:dyDescent="0.3">
      <c r="A17" t="s">
        <v>56</v>
      </c>
      <c r="B17" t="s">
        <v>46</v>
      </c>
      <c r="C17">
        <v>10</v>
      </c>
      <c r="D17">
        <v>30.9</v>
      </c>
      <c r="E17">
        <v>309</v>
      </c>
      <c r="F17" s="1">
        <v>45658</v>
      </c>
      <c r="G17" s="1">
        <v>45659</v>
      </c>
      <c r="H17" t="s">
        <v>23</v>
      </c>
      <c r="I17" t="s">
        <v>35</v>
      </c>
      <c r="J17">
        <v>5</v>
      </c>
      <c r="K17" t="s">
        <v>19</v>
      </c>
      <c r="L17" t="s">
        <v>55</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x14ac:dyDescent="0.3">
      <c r="A18" t="s">
        <v>57</v>
      </c>
      <c r="B18" t="s">
        <v>32</v>
      </c>
      <c r="C18">
        <v>3</v>
      </c>
      <c r="D18">
        <v>31.1</v>
      </c>
      <c r="E18">
        <v>93.300000000000011</v>
      </c>
      <c r="F18" s="1">
        <v>45658</v>
      </c>
      <c r="G18" s="1">
        <v>45659</v>
      </c>
      <c r="H18" t="s">
        <v>27</v>
      </c>
      <c r="I18" t="s">
        <v>18</v>
      </c>
      <c r="J18">
        <v>3</v>
      </c>
      <c r="K18" t="s">
        <v>19</v>
      </c>
      <c r="L18" t="s">
        <v>55</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x14ac:dyDescent="0.3">
      <c r="A19" t="s">
        <v>58</v>
      </c>
      <c r="B19" t="s">
        <v>42</v>
      </c>
      <c r="C19">
        <v>3</v>
      </c>
      <c r="D19">
        <v>36.6</v>
      </c>
      <c r="E19">
        <v>109.80000000000001</v>
      </c>
      <c r="F19" s="1">
        <v>45658</v>
      </c>
      <c r="G19" s="1">
        <v>45661</v>
      </c>
      <c r="H19" t="s">
        <v>27</v>
      </c>
      <c r="I19" t="s">
        <v>18</v>
      </c>
      <c r="J19">
        <v>4</v>
      </c>
      <c r="K19" t="s">
        <v>19</v>
      </c>
      <c r="L19" t="s">
        <v>59</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x14ac:dyDescent="0.3">
      <c r="A20" t="s">
        <v>60</v>
      </c>
      <c r="B20" t="s">
        <v>39</v>
      </c>
      <c r="C20">
        <v>8</v>
      </c>
      <c r="D20">
        <v>51.1</v>
      </c>
      <c r="E20">
        <v>408.8</v>
      </c>
      <c r="F20" s="1">
        <v>45658</v>
      </c>
      <c r="G20" s="1">
        <v>45661</v>
      </c>
      <c r="H20" t="s">
        <v>27</v>
      </c>
      <c r="I20" t="s">
        <v>40</v>
      </c>
      <c r="J20">
        <v>1</v>
      </c>
      <c r="K20" t="s">
        <v>19</v>
      </c>
      <c r="L20" t="s">
        <v>59</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x14ac:dyDescent="0.3">
      <c r="A21" t="s">
        <v>61</v>
      </c>
      <c r="B21" t="s">
        <v>46</v>
      </c>
      <c r="C21">
        <v>1</v>
      </c>
      <c r="D21">
        <v>25.2</v>
      </c>
      <c r="E21">
        <v>25.2</v>
      </c>
      <c r="F21" s="1">
        <v>45658</v>
      </c>
      <c r="G21" s="1">
        <v>45659</v>
      </c>
      <c r="H21" t="s">
        <v>27</v>
      </c>
      <c r="I21" t="s">
        <v>35</v>
      </c>
      <c r="J21">
        <v>5</v>
      </c>
      <c r="K21" t="s">
        <v>19</v>
      </c>
      <c r="L21" t="s">
        <v>62</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x14ac:dyDescent="0.3">
      <c r="A22" t="s">
        <v>63</v>
      </c>
      <c r="B22" t="s">
        <v>46</v>
      </c>
      <c r="C22">
        <v>5</v>
      </c>
      <c r="D22">
        <v>43.8</v>
      </c>
      <c r="E22">
        <v>219</v>
      </c>
      <c r="F22" s="1">
        <v>45658</v>
      </c>
      <c r="G22" s="1">
        <v>45661</v>
      </c>
      <c r="H22" t="s">
        <v>27</v>
      </c>
      <c r="I22" t="s">
        <v>40</v>
      </c>
      <c r="J22">
        <v>4</v>
      </c>
      <c r="K22" t="s">
        <v>19</v>
      </c>
      <c r="L22" t="s">
        <v>62</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x14ac:dyDescent="0.3">
      <c r="A23" t="s">
        <v>64</v>
      </c>
      <c r="B23" t="s">
        <v>44</v>
      </c>
      <c r="C23">
        <v>12</v>
      </c>
      <c r="D23">
        <v>46.7</v>
      </c>
      <c r="E23">
        <v>560.40000000000009</v>
      </c>
      <c r="F23" s="1">
        <v>45658</v>
      </c>
      <c r="G23" s="1">
        <v>45659</v>
      </c>
      <c r="H23" t="s">
        <v>27</v>
      </c>
      <c r="I23" t="s">
        <v>35</v>
      </c>
      <c r="J23">
        <v>3</v>
      </c>
      <c r="K23" t="s">
        <v>19</v>
      </c>
      <c r="L23" t="s">
        <v>62</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x14ac:dyDescent="0.3">
      <c r="A24" t="s">
        <v>65</v>
      </c>
      <c r="B24" t="s">
        <v>30</v>
      </c>
      <c r="C24">
        <v>19</v>
      </c>
      <c r="D24">
        <v>79.900000000000006</v>
      </c>
      <c r="E24">
        <v>1518.1000000000001</v>
      </c>
      <c r="F24" s="1">
        <v>45658</v>
      </c>
      <c r="G24" s="1">
        <v>45659</v>
      </c>
      <c r="H24" t="s">
        <v>23</v>
      </c>
      <c r="I24" t="s">
        <v>18</v>
      </c>
      <c r="J24">
        <v>5</v>
      </c>
      <c r="K24" t="s">
        <v>19</v>
      </c>
      <c r="L24" t="s">
        <v>62</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x14ac:dyDescent="0.3">
      <c r="A25" t="s">
        <v>66</v>
      </c>
      <c r="B25" t="s">
        <v>67</v>
      </c>
      <c r="C25">
        <v>8</v>
      </c>
      <c r="D25">
        <v>26.4</v>
      </c>
      <c r="E25">
        <v>211.2</v>
      </c>
      <c r="F25" s="1">
        <v>45658</v>
      </c>
      <c r="G25" s="1">
        <v>45659</v>
      </c>
      <c r="H25" t="s">
        <v>27</v>
      </c>
      <c r="I25" t="s">
        <v>51</v>
      </c>
      <c r="J25">
        <v>4</v>
      </c>
      <c r="K25" t="s">
        <v>19</v>
      </c>
      <c r="L25" t="s">
        <v>62</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x14ac:dyDescent="0.3">
      <c r="A26" t="s">
        <v>68</v>
      </c>
      <c r="B26" t="s">
        <v>69</v>
      </c>
      <c r="C26">
        <v>8</v>
      </c>
      <c r="D26">
        <v>88.8</v>
      </c>
      <c r="E26">
        <v>710.4</v>
      </c>
      <c r="F26" s="1">
        <v>45658</v>
      </c>
      <c r="G26" s="1">
        <v>45659</v>
      </c>
      <c r="H26" t="s">
        <v>27</v>
      </c>
      <c r="I26" t="s">
        <v>70</v>
      </c>
      <c r="J26">
        <v>4</v>
      </c>
      <c r="K26" t="s">
        <v>19</v>
      </c>
      <c r="L26" t="s">
        <v>62</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x14ac:dyDescent="0.3">
      <c r="A27" t="s">
        <v>71</v>
      </c>
      <c r="B27" t="s">
        <v>16</v>
      </c>
      <c r="C27">
        <v>10</v>
      </c>
      <c r="D27">
        <v>17.5</v>
      </c>
      <c r="E27">
        <v>175</v>
      </c>
      <c r="F27" s="1">
        <v>45658</v>
      </c>
      <c r="G27" s="1">
        <v>45659</v>
      </c>
      <c r="H27" t="s">
        <v>27</v>
      </c>
      <c r="I27" t="s">
        <v>40</v>
      </c>
      <c r="J27">
        <v>4</v>
      </c>
      <c r="K27" t="s">
        <v>19</v>
      </c>
      <c r="L27" t="s">
        <v>72</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x14ac:dyDescent="0.3">
      <c r="A28" t="s">
        <v>73</v>
      </c>
      <c r="B28" t="s">
        <v>22</v>
      </c>
      <c r="C28">
        <v>9</v>
      </c>
      <c r="D28">
        <v>38.700000000000003</v>
      </c>
      <c r="E28">
        <v>348.3</v>
      </c>
      <c r="F28" s="1">
        <v>45658</v>
      </c>
      <c r="G28" s="1">
        <v>45661</v>
      </c>
      <c r="H28" t="s">
        <v>23</v>
      </c>
      <c r="I28" t="s">
        <v>35</v>
      </c>
      <c r="J28">
        <v>4</v>
      </c>
      <c r="K28" t="s">
        <v>19</v>
      </c>
      <c r="L28" t="s">
        <v>74</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x14ac:dyDescent="0.3">
      <c r="A29" t="s">
        <v>75</v>
      </c>
      <c r="B29" t="s">
        <v>76</v>
      </c>
      <c r="C29">
        <v>4</v>
      </c>
      <c r="D29">
        <v>57.2</v>
      </c>
      <c r="E29">
        <v>228.8</v>
      </c>
      <c r="F29" s="1">
        <v>45658</v>
      </c>
      <c r="G29" s="1">
        <v>45660</v>
      </c>
      <c r="H29" t="s">
        <v>17</v>
      </c>
      <c r="I29" t="s">
        <v>35</v>
      </c>
      <c r="J29">
        <v>5</v>
      </c>
      <c r="K29" t="s">
        <v>19</v>
      </c>
      <c r="L29" t="s">
        <v>77</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x14ac:dyDescent="0.3">
      <c r="A30" t="s">
        <v>78</v>
      </c>
      <c r="B30" t="s">
        <v>39</v>
      </c>
      <c r="C30">
        <v>5</v>
      </c>
      <c r="D30">
        <v>50.9</v>
      </c>
      <c r="E30">
        <v>254.5</v>
      </c>
      <c r="F30" s="1">
        <v>45658</v>
      </c>
      <c r="G30" s="1">
        <v>45664</v>
      </c>
      <c r="H30" t="s">
        <v>17</v>
      </c>
      <c r="I30" t="s">
        <v>35</v>
      </c>
      <c r="J30">
        <v>5</v>
      </c>
      <c r="K30" t="s">
        <v>19</v>
      </c>
      <c r="L30" t="s">
        <v>79</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x14ac:dyDescent="0.3">
      <c r="A31" t="s">
        <v>80</v>
      </c>
      <c r="B31" t="s">
        <v>81</v>
      </c>
      <c r="C31">
        <v>7</v>
      </c>
      <c r="D31">
        <v>41</v>
      </c>
      <c r="E31">
        <v>287</v>
      </c>
      <c r="F31" s="1">
        <v>45658</v>
      </c>
      <c r="G31" s="1">
        <v>45662</v>
      </c>
      <c r="H31" t="s">
        <v>27</v>
      </c>
      <c r="I31" t="s">
        <v>35</v>
      </c>
      <c r="J31">
        <v>4</v>
      </c>
      <c r="K31" t="s">
        <v>19</v>
      </c>
      <c r="L31" t="s">
        <v>82</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x14ac:dyDescent="0.3">
      <c r="A32" t="s">
        <v>83</v>
      </c>
      <c r="B32" t="s">
        <v>44</v>
      </c>
      <c r="C32">
        <v>7</v>
      </c>
      <c r="D32">
        <v>19.100000000000001</v>
      </c>
      <c r="E32">
        <v>133.70000000000002</v>
      </c>
      <c r="F32" s="1">
        <v>45658</v>
      </c>
      <c r="G32" s="1">
        <v>45662</v>
      </c>
      <c r="H32" t="s">
        <v>23</v>
      </c>
      <c r="I32" t="s">
        <v>18</v>
      </c>
      <c r="J32">
        <v>5</v>
      </c>
      <c r="K32" t="s">
        <v>19</v>
      </c>
      <c r="L32" t="s">
        <v>84</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x14ac:dyDescent="0.3">
      <c r="A33" t="s">
        <v>85</v>
      </c>
      <c r="B33" t="s">
        <v>26</v>
      </c>
      <c r="C33">
        <v>5</v>
      </c>
      <c r="D33">
        <v>166.1</v>
      </c>
      <c r="E33">
        <v>830.5</v>
      </c>
      <c r="F33" s="1">
        <v>45658</v>
      </c>
      <c r="G33" s="1">
        <v>45661</v>
      </c>
      <c r="H33" t="s">
        <v>23</v>
      </c>
      <c r="I33" t="s">
        <v>18</v>
      </c>
      <c r="J33">
        <v>4</v>
      </c>
      <c r="K33" t="s">
        <v>19</v>
      </c>
      <c r="L33" t="s">
        <v>86</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x14ac:dyDescent="0.3">
      <c r="A34" t="s">
        <v>87</v>
      </c>
      <c r="B34" t="s">
        <v>32</v>
      </c>
      <c r="C34">
        <v>3</v>
      </c>
      <c r="D34">
        <v>29.9</v>
      </c>
      <c r="E34">
        <v>89.699999999999989</v>
      </c>
      <c r="F34" s="1">
        <v>45658</v>
      </c>
      <c r="G34" s="1">
        <v>45659</v>
      </c>
      <c r="H34" t="s">
        <v>23</v>
      </c>
      <c r="I34" t="s">
        <v>51</v>
      </c>
      <c r="J34">
        <v>4</v>
      </c>
      <c r="K34" t="s">
        <v>19</v>
      </c>
      <c r="L34" t="s">
        <v>33</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x14ac:dyDescent="0.3">
      <c r="A35" t="s">
        <v>88</v>
      </c>
      <c r="B35" t="s">
        <v>54</v>
      </c>
      <c r="C35">
        <v>6</v>
      </c>
      <c r="D35">
        <v>21.7</v>
      </c>
      <c r="E35">
        <v>130.19999999999999</v>
      </c>
      <c r="F35" s="1">
        <v>45658</v>
      </c>
      <c r="G35" s="1">
        <v>45660</v>
      </c>
      <c r="H35" t="s">
        <v>89</v>
      </c>
      <c r="I35" t="s">
        <v>40</v>
      </c>
      <c r="J35">
        <v>5</v>
      </c>
      <c r="K35" t="s">
        <v>19</v>
      </c>
      <c r="L35" t="s">
        <v>33</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x14ac:dyDescent="0.3">
      <c r="A36" t="s">
        <v>90</v>
      </c>
      <c r="B36" t="s">
        <v>67</v>
      </c>
      <c r="C36">
        <v>2</v>
      </c>
      <c r="D36">
        <v>32</v>
      </c>
      <c r="E36">
        <v>64</v>
      </c>
      <c r="F36" s="1">
        <v>45658</v>
      </c>
      <c r="G36" s="1">
        <v>45661</v>
      </c>
      <c r="H36" t="s">
        <v>23</v>
      </c>
      <c r="I36" t="s">
        <v>18</v>
      </c>
      <c r="J36">
        <v>5</v>
      </c>
      <c r="K36" t="s">
        <v>19</v>
      </c>
      <c r="L36" t="s">
        <v>33</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x14ac:dyDescent="0.3">
      <c r="A37" t="s">
        <v>91</v>
      </c>
      <c r="B37" t="s">
        <v>44</v>
      </c>
      <c r="C37">
        <v>2</v>
      </c>
      <c r="D37">
        <v>15.8</v>
      </c>
      <c r="E37">
        <v>31.6</v>
      </c>
      <c r="F37" s="1">
        <v>45658</v>
      </c>
      <c r="G37" s="1">
        <v>45659</v>
      </c>
      <c r="H37" t="s">
        <v>23</v>
      </c>
      <c r="I37" t="s">
        <v>70</v>
      </c>
      <c r="J37">
        <v>5</v>
      </c>
      <c r="K37" t="s">
        <v>19</v>
      </c>
      <c r="L37" t="s">
        <v>33</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x14ac:dyDescent="0.3">
      <c r="A38" t="s">
        <v>92</v>
      </c>
      <c r="B38" t="s">
        <v>26</v>
      </c>
      <c r="C38">
        <v>17</v>
      </c>
      <c r="D38">
        <v>203.1</v>
      </c>
      <c r="E38">
        <v>3452.7</v>
      </c>
      <c r="F38" s="1">
        <v>45658</v>
      </c>
      <c r="G38" s="1">
        <v>45662</v>
      </c>
      <c r="H38" t="s">
        <v>23</v>
      </c>
      <c r="I38" t="s">
        <v>51</v>
      </c>
      <c r="J38">
        <v>3</v>
      </c>
      <c r="K38" t="s">
        <v>19</v>
      </c>
      <c r="L38" t="s">
        <v>33</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x14ac:dyDescent="0.3">
      <c r="A39" t="s">
        <v>93</v>
      </c>
      <c r="B39" t="s">
        <v>42</v>
      </c>
      <c r="C39">
        <v>13</v>
      </c>
      <c r="D39">
        <v>39</v>
      </c>
      <c r="E39">
        <v>507</v>
      </c>
      <c r="F39" s="1">
        <v>45658</v>
      </c>
      <c r="G39" s="1">
        <v>45664</v>
      </c>
      <c r="H39" t="s">
        <v>23</v>
      </c>
      <c r="I39" t="s">
        <v>18</v>
      </c>
      <c r="J39">
        <v>5</v>
      </c>
      <c r="K39" t="s">
        <v>19</v>
      </c>
      <c r="L39" t="s">
        <v>33</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x14ac:dyDescent="0.3">
      <c r="A40" t="s">
        <v>94</v>
      </c>
      <c r="B40" t="s">
        <v>54</v>
      </c>
      <c r="C40">
        <v>1</v>
      </c>
      <c r="D40">
        <v>26.5</v>
      </c>
      <c r="E40">
        <v>26.5</v>
      </c>
      <c r="F40" s="1">
        <v>45659</v>
      </c>
      <c r="G40" s="1">
        <v>45660</v>
      </c>
      <c r="H40" t="s">
        <v>23</v>
      </c>
      <c r="I40" t="s">
        <v>40</v>
      </c>
      <c r="J40">
        <v>4</v>
      </c>
      <c r="K40" t="s">
        <v>19</v>
      </c>
      <c r="L40" t="s">
        <v>33</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x14ac:dyDescent="0.3">
      <c r="A41" t="s">
        <v>95</v>
      </c>
      <c r="B41" t="s">
        <v>37</v>
      </c>
      <c r="C41">
        <v>1</v>
      </c>
      <c r="D41">
        <v>43.1</v>
      </c>
      <c r="E41">
        <v>43.1</v>
      </c>
      <c r="F41" s="1">
        <v>45659</v>
      </c>
      <c r="G41" s="1">
        <v>45660</v>
      </c>
      <c r="H41" t="s">
        <v>27</v>
      </c>
      <c r="I41" t="s">
        <v>40</v>
      </c>
      <c r="J41">
        <v>3</v>
      </c>
      <c r="K41" t="s">
        <v>19</v>
      </c>
      <c r="L41" t="s">
        <v>33</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x14ac:dyDescent="0.3">
      <c r="A42" t="s">
        <v>96</v>
      </c>
      <c r="B42" t="s">
        <v>22</v>
      </c>
      <c r="C42">
        <v>3</v>
      </c>
      <c r="D42">
        <v>139</v>
      </c>
      <c r="E42">
        <v>417</v>
      </c>
      <c r="F42" s="1">
        <v>45659</v>
      </c>
      <c r="G42" s="1">
        <v>45660</v>
      </c>
      <c r="H42" t="s">
        <v>27</v>
      </c>
      <c r="I42" t="s">
        <v>70</v>
      </c>
      <c r="J42">
        <v>5</v>
      </c>
      <c r="K42" t="s">
        <v>19</v>
      </c>
      <c r="L42" t="s">
        <v>33</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x14ac:dyDescent="0.3">
      <c r="A43" t="s">
        <v>97</v>
      </c>
      <c r="B43" t="s">
        <v>69</v>
      </c>
      <c r="C43">
        <v>1</v>
      </c>
      <c r="D43">
        <v>80.7</v>
      </c>
      <c r="E43">
        <v>80.7</v>
      </c>
      <c r="F43" s="1">
        <v>45659</v>
      </c>
      <c r="G43" s="1">
        <v>45660</v>
      </c>
      <c r="H43" t="s">
        <v>23</v>
      </c>
      <c r="I43" t="s">
        <v>18</v>
      </c>
      <c r="J43">
        <v>5</v>
      </c>
      <c r="K43" t="s">
        <v>19</v>
      </c>
      <c r="L43" t="s">
        <v>98</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x14ac:dyDescent="0.3">
      <c r="A44" t="s">
        <v>99</v>
      </c>
      <c r="B44" t="s">
        <v>32</v>
      </c>
      <c r="C44">
        <v>2</v>
      </c>
      <c r="D44">
        <v>54.5</v>
      </c>
      <c r="E44">
        <v>109</v>
      </c>
      <c r="F44" s="1">
        <v>45659</v>
      </c>
      <c r="G44" s="1">
        <v>45661</v>
      </c>
      <c r="H44" t="s">
        <v>23</v>
      </c>
      <c r="I44" t="s">
        <v>35</v>
      </c>
      <c r="J44">
        <v>3</v>
      </c>
      <c r="K44" t="s">
        <v>19</v>
      </c>
      <c r="L44" t="s">
        <v>55</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x14ac:dyDescent="0.3">
      <c r="A45" t="s">
        <v>100</v>
      </c>
      <c r="B45" t="s">
        <v>39</v>
      </c>
      <c r="C45">
        <v>3</v>
      </c>
      <c r="D45">
        <v>68.599999999999994</v>
      </c>
      <c r="E45">
        <v>205.79999999999998</v>
      </c>
      <c r="F45" s="1">
        <v>45659</v>
      </c>
      <c r="G45" s="1">
        <v>45659</v>
      </c>
      <c r="H45" t="s">
        <v>27</v>
      </c>
      <c r="I45" t="s">
        <v>18</v>
      </c>
      <c r="J45">
        <v>3</v>
      </c>
      <c r="K45" t="s">
        <v>19</v>
      </c>
      <c r="L45" t="s">
        <v>62</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x14ac:dyDescent="0.3">
      <c r="A46" t="s">
        <v>101</v>
      </c>
      <c r="B46" t="s">
        <v>26</v>
      </c>
      <c r="C46">
        <v>4</v>
      </c>
      <c r="D46">
        <v>135.9</v>
      </c>
      <c r="E46">
        <v>543.6</v>
      </c>
      <c r="F46" s="1">
        <v>45659</v>
      </c>
      <c r="G46" s="1">
        <v>45660</v>
      </c>
      <c r="H46" t="s">
        <v>27</v>
      </c>
      <c r="I46" t="s">
        <v>40</v>
      </c>
      <c r="J46">
        <v>5</v>
      </c>
      <c r="K46" t="s">
        <v>19</v>
      </c>
      <c r="L46" t="s">
        <v>62</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x14ac:dyDescent="0.3">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x14ac:dyDescent="0.3">
      <c r="A48" t="s">
        <v>104</v>
      </c>
      <c r="B48" t="s">
        <v>22</v>
      </c>
      <c r="C48">
        <v>5</v>
      </c>
      <c r="D48">
        <v>63.7</v>
      </c>
      <c r="E48">
        <v>318.5</v>
      </c>
      <c r="F48" s="1">
        <v>45659</v>
      </c>
      <c r="G48" s="1">
        <v>45660</v>
      </c>
      <c r="H48" t="s">
        <v>23</v>
      </c>
      <c r="I48" t="s">
        <v>35</v>
      </c>
      <c r="J48">
        <v>3</v>
      </c>
      <c r="K48" t="s">
        <v>19</v>
      </c>
      <c r="L48" t="s">
        <v>72</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x14ac:dyDescent="0.3">
      <c r="A49" t="s">
        <v>105</v>
      </c>
      <c r="B49" t="s">
        <v>76</v>
      </c>
      <c r="C49">
        <v>1</v>
      </c>
      <c r="D49">
        <v>29.7</v>
      </c>
      <c r="E49">
        <v>29.7</v>
      </c>
      <c r="F49" s="1">
        <v>45659</v>
      </c>
      <c r="G49" s="1">
        <v>45661</v>
      </c>
      <c r="H49" t="s">
        <v>27</v>
      </c>
      <c r="I49" t="s">
        <v>35</v>
      </c>
      <c r="J49">
        <v>4</v>
      </c>
      <c r="K49" t="s">
        <v>19</v>
      </c>
      <c r="L49" t="s">
        <v>77</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x14ac:dyDescent="0.3">
      <c r="A50" t="s">
        <v>106</v>
      </c>
      <c r="B50" t="s">
        <v>32</v>
      </c>
      <c r="C50">
        <v>3</v>
      </c>
      <c r="D50">
        <v>26.8</v>
      </c>
      <c r="E50">
        <v>80.400000000000006</v>
      </c>
      <c r="F50" s="1">
        <v>45659</v>
      </c>
      <c r="G50" s="1">
        <v>45668</v>
      </c>
      <c r="H50" t="s">
        <v>27</v>
      </c>
      <c r="I50" t="s">
        <v>35</v>
      </c>
      <c r="J50">
        <v>5</v>
      </c>
      <c r="K50" t="s">
        <v>19</v>
      </c>
      <c r="L50" t="s">
        <v>77</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x14ac:dyDescent="0.3">
      <c r="A51" t="s">
        <v>107</v>
      </c>
      <c r="B51" t="s">
        <v>81</v>
      </c>
      <c r="C51">
        <v>1</v>
      </c>
      <c r="D51">
        <v>27</v>
      </c>
      <c r="E51">
        <v>27</v>
      </c>
      <c r="F51" s="1">
        <v>45659</v>
      </c>
      <c r="G51" s="1">
        <v>45661</v>
      </c>
      <c r="H51" t="s">
        <v>27</v>
      </c>
      <c r="I51" t="s">
        <v>18</v>
      </c>
      <c r="J51">
        <v>4</v>
      </c>
      <c r="K51" t="s">
        <v>19</v>
      </c>
      <c r="L51" t="s">
        <v>108</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x14ac:dyDescent="0.3">
      <c r="A52" t="s">
        <v>109</v>
      </c>
      <c r="B52" t="s">
        <v>44</v>
      </c>
      <c r="C52">
        <v>1</v>
      </c>
      <c r="D52">
        <v>41.4</v>
      </c>
      <c r="E52">
        <v>41.4</v>
      </c>
      <c r="F52" s="1">
        <v>45659</v>
      </c>
      <c r="G52" s="1">
        <v>45660</v>
      </c>
      <c r="H52" t="s">
        <v>23</v>
      </c>
      <c r="I52" t="s">
        <v>35</v>
      </c>
      <c r="J52">
        <v>5</v>
      </c>
      <c r="K52" t="s">
        <v>19</v>
      </c>
      <c r="L52" t="s">
        <v>110</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x14ac:dyDescent="0.3">
      <c r="A53" t="s">
        <v>111</v>
      </c>
      <c r="B53" t="s">
        <v>44</v>
      </c>
      <c r="C53">
        <v>2</v>
      </c>
      <c r="D53">
        <v>24.3</v>
      </c>
      <c r="E53">
        <v>48.6</v>
      </c>
      <c r="F53" s="1">
        <v>45659</v>
      </c>
      <c r="G53" s="1">
        <v>45662</v>
      </c>
      <c r="H53" t="s">
        <v>27</v>
      </c>
      <c r="I53" t="s">
        <v>35</v>
      </c>
      <c r="J53">
        <v>4</v>
      </c>
      <c r="K53" t="s">
        <v>19</v>
      </c>
      <c r="L53" t="s">
        <v>110</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x14ac:dyDescent="0.3">
      <c r="A54" t="s">
        <v>112</v>
      </c>
      <c r="B54" t="s">
        <v>44</v>
      </c>
      <c r="C54">
        <v>3</v>
      </c>
      <c r="D54">
        <v>41.7</v>
      </c>
      <c r="E54">
        <v>125.10000000000001</v>
      </c>
      <c r="F54" s="1">
        <v>45659</v>
      </c>
      <c r="G54" s="1">
        <v>45661</v>
      </c>
      <c r="H54" t="s">
        <v>23</v>
      </c>
      <c r="I54" t="s">
        <v>18</v>
      </c>
      <c r="J54">
        <v>5</v>
      </c>
      <c r="K54" t="s">
        <v>19</v>
      </c>
      <c r="L54" t="s">
        <v>113</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x14ac:dyDescent="0.3">
      <c r="A55" t="s">
        <v>114</v>
      </c>
      <c r="B55" t="s">
        <v>16</v>
      </c>
      <c r="C55">
        <v>2</v>
      </c>
      <c r="D55">
        <v>18</v>
      </c>
      <c r="E55">
        <v>36</v>
      </c>
      <c r="F55" s="1">
        <v>45659</v>
      </c>
      <c r="G55" s="1">
        <v>45660</v>
      </c>
      <c r="H55" t="s">
        <v>27</v>
      </c>
      <c r="I55" t="s">
        <v>18</v>
      </c>
      <c r="J55">
        <v>5</v>
      </c>
      <c r="K55" t="s">
        <v>19</v>
      </c>
      <c r="L55" t="s">
        <v>115</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x14ac:dyDescent="0.3">
      <c r="A56" t="s">
        <v>116</v>
      </c>
      <c r="B56" t="s">
        <v>42</v>
      </c>
      <c r="C56">
        <v>3</v>
      </c>
      <c r="D56">
        <v>91.3</v>
      </c>
      <c r="E56">
        <v>273.89999999999998</v>
      </c>
      <c r="F56" s="1">
        <v>45659</v>
      </c>
      <c r="G56" s="1">
        <v>45662</v>
      </c>
      <c r="H56" t="s">
        <v>23</v>
      </c>
      <c r="I56" t="s">
        <v>40</v>
      </c>
      <c r="J56">
        <v>5</v>
      </c>
      <c r="K56" t="s">
        <v>19</v>
      </c>
      <c r="L56" t="s">
        <v>33</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x14ac:dyDescent="0.3">
      <c r="A57" t="s">
        <v>117</v>
      </c>
      <c r="B57" t="s">
        <v>44</v>
      </c>
      <c r="C57">
        <v>8</v>
      </c>
      <c r="D57">
        <v>19.3</v>
      </c>
      <c r="E57">
        <v>154.4</v>
      </c>
      <c r="F57" s="1">
        <v>45659</v>
      </c>
      <c r="G57" s="1">
        <v>45660</v>
      </c>
      <c r="H57" t="s">
        <v>23</v>
      </c>
      <c r="I57" t="s">
        <v>18</v>
      </c>
      <c r="J57">
        <v>4</v>
      </c>
      <c r="K57" t="s">
        <v>19</v>
      </c>
      <c r="L57" t="s">
        <v>33</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x14ac:dyDescent="0.3">
      <c r="A58" t="s">
        <v>118</v>
      </c>
      <c r="B58" t="s">
        <v>69</v>
      </c>
      <c r="C58">
        <v>13</v>
      </c>
      <c r="D58">
        <v>63.2</v>
      </c>
      <c r="E58">
        <v>821.6</v>
      </c>
      <c r="F58" s="1">
        <v>45659</v>
      </c>
      <c r="G58" s="1">
        <v>45660</v>
      </c>
      <c r="H58" t="s">
        <v>27</v>
      </c>
      <c r="I58" t="s">
        <v>18</v>
      </c>
      <c r="J58">
        <v>4</v>
      </c>
      <c r="K58" t="s">
        <v>19</v>
      </c>
      <c r="L58" t="s">
        <v>33</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x14ac:dyDescent="0.3">
      <c r="A59" t="s">
        <v>119</v>
      </c>
      <c r="B59" t="s">
        <v>54</v>
      </c>
      <c r="C59">
        <v>9</v>
      </c>
      <c r="D59">
        <v>33.299999999999997</v>
      </c>
      <c r="E59">
        <v>299.7</v>
      </c>
      <c r="F59" s="1">
        <v>45660</v>
      </c>
      <c r="G59" s="1">
        <v>45668</v>
      </c>
      <c r="H59" t="s">
        <v>27</v>
      </c>
      <c r="I59" t="s">
        <v>18</v>
      </c>
      <c r="J59">
        <v>5</v>
      </c>
      <c r="K59" t="s">
        <v>19</v>
      </c>
      <c r="L59" t="s">
        <v>33</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x14ac:dyDescent="0.3">
      <c r="A60" t="s">
        <v>120</v>
      </c>
      <c r="B60" t="s">
        <v>42</v>
      </c>
      <c r="C60">
        <v>2</v>
      </c>
      <c r="D60">
        <v>64.2</v>
      </c>
      <c r="E60">
        <v>128.4</v>
      </c>
      <c r="F60" s="1">
        <v>45660</v>
      </c>
      <c r="G60" s="1">
        <v>45661</v>
      </c>
      <c r="H60" t="s">
        <v>23</v>
      </c>
      <c r="I60" t="s">
        <v>18</v>
      </c>
      <c r="J60">
        <v>5</v>
      </c>
      <c r="K60" t="s">
        <v>19</v>
      </c>
      <c r="L60" t="s">
        <v>33</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x14ac:dyDescent="0.3">
      <c r="A61" t="s">
        <v>121</v>
      </c>
      <c r="B61" t="s">
        <v>46</v>
      </c>
      <c r="C61">
        <v>3</v>
      </c>
      <c r="D61">
        <v>23.1</v>
      </c>
      <c r="E61">
        <v>69.300000000000011</v>
      </c>
      <c r="F61" s="1">
        <v>45660</v>
      </c>
      <c r="G61" s="1">
        <v>45663</v>
      </c>
      <c r="H61" t="s">
        <v>27</v>
      </c>
      <c r="I61" t="s">
        <v>35</v>
      </c>
      <c r="J61">
        <v>5</v>
      </c>
      <c r="K61" t="s">
        <v>19</v>
      </c>
      <c r="L61" t="s">
        <v>33</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x14ac:dyDescent="0.3">
      <c r="A62" t="s">
        <v>122</v>
      </c>
      <c r="B62" t="s">
        <v>123</v>
      </c>
      <c r="C62">
        <v>2</v>
      </c>
      <c r="D62">
        <v>71.099999999999994</v>
      </c>
      <c r="E62">
        <v>142.19999999999999</v>
      </c>
      <c r="F62" s="1">
        <v>45660</v>
      </c>
      <c r="G62" s="1">
        <v>45662</v>
      </c>
      <c r="H62" t="s">
        <v>27</v>
      </c>
      <c r="I62" t="s">
        <v>51</v>
      </c>
      <c r="J62">
        <v>3</v>
      </c>
      <c r="K62" t="s">
        <v>19</v>
      </c>
      <c r="L62" t="s">
        <v>33</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x14ac:dyDescent="0.3">
      <c r="A63" t="s">
        <v>124</v>
      </c>
      <c r="B63" t="s">
        <v>16</v>
      </c>
      <c r="C63">
        <v>2</v>
      </c>
      <c r="D63">
        <v>11.5</v>
      </c>
      <c r="E63">
        <v>23</v>
      </c>
      <c r="F63" s="1">
        <v>45660</v>
      </c>
      <c r="G63" s="1">
        <v>45661</v>
      </c>
      <c r="H63" t="s">
        <v>27</v>
      </c>
      <c r="I63" t="s">
        <v>18</v>
      </c>
      <c r="J63">
        <v>4</v>
      </c>
      <c r="K63" t="s">
        <v>19</v>
      </c>
      <c r="L63" t="s">
        <v>33</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x14ac:dyDescent="0.3">
      <c r="A64" t="s">
        <v>125</v>
      </c>
      <c r="B64" t="s">
        <v>123</v>
      </c>
      <c r="C64">
        <v>19</v>
      </c>
      <c r="D64">
        <v>69.2</v>
      </c>
      <c r="E64">
        <v>1314.8</v>
      </c>
      <c r="F64" s="1">
        <v>45660</v>
      </c>
      <c r="G64" s="1">
        <v>45665</v>
      </c>
      <c r="H64" t="s">
        <v>27</v>
      </c>
      <c r="I64" t="s">
        <v>18</v>
      </c>
      <c r="J64">
        <v>4</v>
      </c>
      <c r="K64" t="s">
        <v>19</v>
      </c>
      <c r="L64" t="s">
        <v>33</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x14ac:dyDescent="0.3">
      <c r="A65" t="s">
        <v>126</v>
      </c>
      <c r="B65" t="s">
        <v>16</v>
      </c>
      <c r="C65">
        <v>1</v>
      </c>
      <c r="D65">
        <v>26.8</v>
      </c>
      <c r="E65">
        <v>26.8</v>
      </c>
      <c r="F65" s="1">
        <v>45660</v>
      </c>
      <c r="G65" s="1">
        <v>45661</v>
      </c>
      <c r="H65" t="s">
        <v>23</v>
      </c>
      <c r="I65" t="s">
        <v>40</v>
      </c>
      <c r="J65">
        <v>2</v>
      </c>
      <c r="K65" t="s">
        <v>19</v>
      </c>
      <c r="L65" t="s">
        <v>33</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x14ac:dyDescent="0.3">
      <c r="A66" t="s">
        <v>127</v>
      </c>
      <c r="B66" t="s">
        <v>128</v>
      </c>
      <c r="C66">
        <v>3</v>
      </c>
      <c r="D66">
        <v>31.2</v>
      </c>
      <c r="E66">
        <v>93.6</v>
      </c>
      <c r="F66" s="1">
        <v>45660</v>
      </c>
      <c r="G66" s="1">
        <v>45663</v>
      </c>
      <c r="H66" t="s">
        <v>27</v>
      </c>
      <c r="I66" t="s">
        <v>18</v>
      </c>
      <c r="J66">
        <v>4</v>
      </c>
      <c r="K66" t="s">
        <v>19</v>
      </c>
      <c r="L66" t="s">
        <v>33</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x14ac:dyDescent="0.3">
      <c r="A67" t="s">
        <v>129</v>
      </c>
      <c r="B67" t="s">
        <v>69</v>
      </c>
      <c r="C67">
        <v>2</v>
      </c>
      <c r="D67">
        <v>113.2</v>
      </c>
      <c r="E67">
        <v>226.4</v>
      </c>
      <c r="F67" s="1">
        <v>45660</v>
      </c>
      <c r="G67" s="1">
        <v>45661</v>
      </c>
      <c r="H67" t="s">
        <v>27</v>
      </c>
      <c r="I67" t="s">
        <v>70</v>
      </c>
      <c r="J67">
        <v>4</v>
      </c>
      <c r="K67" t="s">
        <v>19</v>
      </c>
      <c r="L67" t="s">
        <v>33</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x14ac:dyDescent="0.3">
      <c r="A68" t="s">
        <v>130</v>
      </c>
      <c r="B68" t="s">
        <v>54</v>
      </c>
      <c r="C68">
        <v>8</v>
      </c>
      <c r="D68">
        <v>21</v>
      </c>
      <c r="E68">
        <v>168</v>
      </c>
      <c r="F68" s="1">
        <v>45660</v>
      </c>
      <c r="G68" s="1">
        <v>45661</v>
      </c>
      <c r="H68" t="s">
        <v>23</v>
      </c>
      <c r="I68" t="s">
        <v>18</v>
      </c>
      <c r="J68">
        <v>4</v>
      </c>
      <c r="K68" t="s">
        <v>19</v>
      </c>
      <c r="L68" t="s">
        <v>55</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x14ac:dyDescent="0.3">
      <c r="A69" t="s">
        <v>131</v>
      </c>
      <c r="B69" t="s">
        <v>22</v>
      </c>
      <c r="C69">
        <v>2</v>
      </c>
      <c r="D69">
        <v>89.1</v>
      </c>
      <c r="E69">
        <v>178.2</v>
      </c>
      <c r="F69" s="1">
        <v>45660</v>
      </c>
      <c r="G69" s="1">
        <v>45661</v>
      </c>
      <c r="H69" t="s">
        <v>27</v>
      </c>
      <c r="I69" t="s">
        <v>40</v>
      </c>
      <c r="J69">
        <v>5</v>
      </c>
      <c r="K69" t="s">
        <v>19</v>
      </c>
      <c r="L69" t="s">
        <v>55</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x14ac:dyDescent="0.3">
      <c r="A70" t="s">
        <v>132</v>
      </c>
      <c r="B70" t="s">
        <v>22</v>
      </c>
      <c r="C70">
        <v>1</v>
      </c>
      <c r="D70">
        <v>97.7</v>
      </c>
      <c r="E70">
        <v>97.7</v>
      </c>
      <c r="F70" s="1">
        <v>45660</v>
      </c>
      <c r="G70" s="1">
        <v>45662</v>
      </c>
      <c r="H70" t="s">
        <v>27</v>
      </c>
      <c r="I70" t="s">
        <v>18</v>
      </c>
      <c r="J70">
        <v>3</v>
      </c>
      <c r="K70" t="s">
        <v>19</v>
      </c>
      <c r="L70" t="s">
        <v>55</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x14ac:dyDescent="0.3">
      <c r="A71" t="s">
        <v>133</v>
      </c>
      <c r="B71" t="s">
        <v>123</v>
      </c>
      <c r="C71">
        <v>4</v>
      </c>
      <c r="D71">
        <v>97.7</v>
      </c>
      <c r="E71">
        <v>390.8</v>
      </c>
      <c r="F71" s="1">
        <v>45660</v>
      </c>
      <c r="G71" s="1">
        <v>45662</v>
      </c>
      <c r="H71" t="s">
        <v>23</v>
      </c>
      <c r="I71" t="s">
        <v>51</v>
      </c>
      <c r="J71">
        <v>4</v>
      </c>
      <c r="K71" t="s">
        <v>19</v>
      </c>
      <c r="L71" t="s">
        <v>55</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x14ac:dyDescent="0.3">
      <c r="A72" t="s">
        <v>134</v>
      </c>
      <c r="B72" t="s">
        <v>135</v>
      </c>
      <c r="C72">
        <v>3</v>
      </c>
      <c r="D72">
        <v>47.4</v>
      </c>
      <c r="E72">
        <v>142.19999999999999</v>
      </c>
      <c r="F72" s="1">
        <v>45660</v>
      </c>
      <c r="G72" s="1">
        <v>45663</v>
      </c>
      <c r="H72" t="s">
        <v>23</v>
      </c>
      <c r="I72" t="s">
        <v>51</v>
      </c>
      <c r="J72">
        <v>5</v>
      </c>
      <c r="K72" t="s">
        <v>19</v>
      </c>
      <c r="L72" t="s">
        <v>62</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x14ac:dyDescent="0.3">
      <c r="A73" t="s">
        <v>136</v>
      </c>
      <c r="B73" t="s">
        <v>42</v>
      </c>
      <c r="C73">
        <v>1</v>
      </c>
      <c r="D73">
        <v>89.6</v>
      </c>
      <c r="E73">
        <v>89.6</v>
      </c>
      <c r="F73" s="1">
        <v>45660</v>
      </c>
      <c r="G73" s="1">
        <v>45663</v>
      </c>
      <c r="H73" t="s">
        <v>27</v>
      </c>
      <c r="I73" t="s">
        <v>18</v>
      </c>
      <c r="J73">
        <v>5</v>
      </c>
      <c r="K73" t="s">
        <v>19</v>
      </c>
      <c r="L73" t="s">
        <v>62</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x14ac:dyDescent="0.3">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x14ac:dyDescent="0.3">
      <c r="A75" t="s">
        <v>138</v>
      </c>
      <c r="B75" t="s">
        <v>16</v>
      </c>
      <c r="C75">
        <v>2</v>
      </c>
      <c r="D75">
        <v>17.899999999999999</v>
      </c>
      <c r="E75">
        <v>35.799999999999997</v>
      </c>
      <c r="F75" s="1">
        <v>45660</v>
      </c>
      <c r="G75" s="1">
        <v>45661</v>
      </c>
      <c r="H75" t="s">
        <v>27</v>
      </c>
      <c r="I75" t="s">
        <v>18</v>
      </c>
      <c r="J75">
        <v>5</v>
      </c>
      <c r="K75" t="s">
        <v>19</v>
      </c>
      <c r="L75" t="s">
        <v>72</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x14ac:dyDescent="0.3">
      <c r="A76" t="s">
        <v>139</v>
      </c>
      <c r="B76" t="s">
        <v>46</v>
      </c>
      <c r="C76">
        <v>2</v>
      </c>
      <c r="D76">
        <v>48.4</v>
      </c>
      <c r="E76">
        <v>96.8</v>
      </c>
      <c r="F76" s="1">
        <v>45660</v>
      </c>
      <c r="G76" s="1">
        <v>45663</v>
      </c>
      <c r="H76" t="s">
        <v>23</v>
      </c>
      <c r="I76" t="s">
        <v>35</v>
      </c>
      <c r="J76">
        <v>4</v>
      </c>
      <c r="K76" t="s">
        <v>19</v>
      </c>
      <c r="L76" t="s">
        <v>72</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x14ac:dyDescent="0.3">
      <c r="A77" t="s">
        <v>140</v>
      </c>
      <c r="B77" t="s">
        <v>69</v>
      </c>
      <c r="C77">
        <v>4</v>
      </c>
      <c r="D77">
        <v>44.4</v>
      </c>
      <c r="E77">
        <v>177.6</v>
      </c>
      <c r="F77" s="1">
        <v>45660</v>
      </c>
      <c r="G77" s="1">
        <v>45661</v>
      </c>
      <c r="H77" t="s">
        <v>89</v>
      </c>
      <c r="I77" t="s">
        <v>35</v>
      </c>
      <c r="J77">
        <v>3</v>
      </c>
      <c r="K77" t="s">
        <v>19</v>
      </c>
      <c r="L77" t="s">
        <v>77</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x14ac:dyDescent="0.3">
      <c r="A78" t="s">
        <v>141</v>
      </c>
      <c r="B78" t="s">
        <v>26</v>
      </c>
      <c r="C78">
        <v>8</v>
      </c>
      <c r="D78">
        <v>103.7</v>
      </c>
      <c r="E78">
        <v>829.6</v>
      </c>
      <c r="F78" s="1">
        <v>45660</v>
      </c>
      <c r="G78" s="1">
        <v>45661</v>
      </c>
      <c r="H78" t="s">
        <v>27</v>
      </c>
      <c r="I78" t="s">
        <v>18</v>
      </c>
      <c r="J78">
        <v>3</v>
      </c>
      <c r="K78" t="s">
        <v>19</v>
      </c>
      <c r="L78" t="s">
        <v>110</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x14ac:dyDescent="0.3">
      <c r="A79" t="s">
        <v>142</v>
      </c>
      <c r="B79" t="s">
        <v>37</v>
      </c>
      <c r="C79">
        <v>4</v>
      </c>
      <c r="D79">
        <v>58.6</v>
      </c>
      <c r="E79">
        <v>234.4</v>
      </c>
      <c r="F79" s="1">
        <v>45660</v>
      </c>
      <c r="G79" s="1">
        <v>45662</v>
      </c>
      <c r="H79" t="s">
        <v>23</v>
      </c>
      <c r="I79" t="s">
        <v>51</v>
      </c>
      <c r="J79">
        <v>4</v>
      </c>
      <c r="K79" t="s">
        <v>19</v>
      </c>
      <c r="L79" t="s">
        <v>110</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x14ac:dyDescent="0.3">
      <c r="A80" t="s">
        <v>143</v>
      </c>
      <c r="B80" t="s">
        <v>46</v>
      </c>
      <c r="C80">
        <v>4</v>
      </c>
      <c r="D80">
        <v>54.8</v>
      </c>
      <c r="E80">
        <v>219.2</v>
      </c>
      <c r="F80" s="1">
        <v>45660</v>
      </c>
      <c r="G80" s="1">
        <v>45664</v>
      </c>
      <c r="H80" t="s">
        <v>27</v>
      </c>
      <c r="I80" t="s">
        <v>40</v>
      </c>
      <c r="J80">
        <v>3</v>
      </c>
      <c r="K80" t="s">
        <v>19</v>
      </c>
      <c r="L80" t="s">
        <v>82</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x14ac:dyDescent="0.3">
      <c r="A81" t="s">
        <v>144</v>
      </c>
      <c r="B81" t="s">
        <v>69</v>
      </c>
      <c r="C81">
        <v>3</v>
      </c>
      <c r="D81">
        <v>78.8</v>
      </c>
      <c r="E81">
        <v>236.39999999999998</v>
      </c>
      <c r="F81" s="1">
        <v>45660</v>
      </c>
      <c r="G81" s="1">
        <v>45666</v>
      </c>
      <c r="H81" t="s">
        <v>27</v>
      </c>
      <c r="I81" t="s">
        <v>70</v>
      </c>
      <c r="J81">
        <v>3</v>
      </c>
      <c r="K81" t="s">
        <v>19</v>
      </c>
      <c r="L81" t="s">
        <v>115</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x14ac:dyDescent="0.3">
      <c r="A82" t="s">
        <v>145</v>
      </c>
      <c r="B82" t="s">
        <v>146</v>
      </c>
      <c r="C82">
        <v>5</v>
      </c>
      <c r="D82">
        <v>36.799999999999997</v>
      </c>
      <c r="E82">
        <v>184</v>
      </c>
      <c r="F82" s="1">
        <v>45660</v>
      </c>
      <c r="G82" s="1">
        <v>45663</v>
      </c>
      <c r="H82" t="s">
        <v>23</v>
      </c>
      <c r="I82" t="s">
        <v>70</v>
      </c>
      <c r="J82">
        <v>3</v>
      </c>
      <c r="K82" t="s">
        <v>19</v>
      </c>
      <c r="L82" t="s">
        <v>147</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x14ac:dyDescent="0.3">
      <c r="A83" t="s">
        <v>148</v>
      </c>
      <c r="B83" t="s">
        <v>39</v>
      </c>
      <c r="C83">
        <v>6</v>
      </c>
      <c r="D83">
        <v>50.6</v>
      </c>
      <c r="E83">
        <v>303.60000000000002</v>
      </c>
      <c r="F83" s="1">
        <v>45660</v>
      </c>
      <c r="G83" s="1">
        <v>45662</v>
      </c>
      <c r="H83" t="s">
        <v>27</v>
      </c>
      <c r="I83" t="s">
        <v>51</v>
      </c>
      <c r="J83">
        <v>4</v>
      </c>
      <c r="K83" t="s">
        <v>19</v>
      </c>
      <c r="L83" t="s">
        <v>33</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x14ac:dyDescent="0.3">
      <c r="A84" t="s">
        <v>149</v>
      </c>
      <c r="B84" t="s">
        <v>123</v>
      </c>
      <c r="C84">
        <v>3</v>
      </c>
      <c r="D84">
        <v>36.799999999999997</v>
      </c>
      <c r="E84">
        <v>110.39999999999999</v>
      </c>
      <c r="F84" s="1">
        <v>45660</v>
      </c>
      <c r="G84" s="1">
        <v>45660</v>
      </c>
      <c r="H84" t="s">
        <v>23</v>
      </c>
      <c r="I84" t="s">
        <v>40</v>
      </c>
      <c r="J84">
        <v>3</v>
      </c>
      <c r="K84" t="s">
        <v>19</v>
      </c>
      <c r="L84" t="s">
        <v>33</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x14ac:dyDescent="0.3">
      <c r="A85" t="s">
        <v>150</v>
      </c>
      <c r="B85" t="s">
        <v>44</v>
      </c>
      <c r="C85">
        <v>9</v>
      </c>
      <c r="D85">
        <v>41.8</v>
      </c>
      <c r="E85">
        <v>376.2</v>
      </c>
      <c r="F85" s="1">
        <v>45661</v>
      </c>
      <c r="G85" s="1">
        <v>45667</v>
      </c>
      <c r="H85" t="s">
        <v>27</v>
      </c>
      <c r="I85" t="s">
        <v>51</v>
      </c>
      <c r="J85">
        <v>4</v>
      </c>
      <c r="K85" t="s">
        <v>19</v>
      </c>
      <c r="L85" t="s">
        <v>33</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x14ac:dyDescent="0.3">
      <c r="A86" t="s">
        <v>151</v>
      </c>
      <c r="B86" t="s">
        <v>146</v>
      </c>
      <c r="C86">
        <v>1</v>
      </c>
      <c r="D86">
        <v>77.3</v>
      </c>
      <c r="E86">
        <v>77.3</v>
      </c>
      <c r="F86" s="1">
        <v>45661</v>
      </c>
      <c r="G86" s="1">
        <v>45662</v>
      </c>
      <c r="H86" t="s">
        <v>23</v>
      </c>
      <c r="I86" t="s">
        <v>70</v>
      </c>
      <c r="J86">
        <v>2</v>
      </c>
      <c r="K86" t="s">
        <v>19</v>
      </c>
      <c r="L86" t="s">
        <v>33</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x14ac:dyDescent="0.3">
      <c r="A87" t="s">
        <v>152</v>
      </c>
      <c r="B87" t="s">
        <v>44</v>
      </c>
      <c r="C87">
        <v>4</v>
      </c>
      <c r="D87">
        <v>19.8</v>
      </c>
      <c r="E87">
        <v>79.2</v>
      </c>
      <c r="F87" s="1">
        <v>45661</v>
      </c>
      <c r="G87" s="1">
        <v>45667</v>
      </c>
      <c r="H87" t="s">
        <v>23</v>
      </c>
      <c r="I87" t="s">
        <v>35</v>
      </c>
      <c r="J87">
        <v>5</v>
      </c>
      <c r="K87" t="s">
        <v>19</v>
      </c>
      <c r="L87" t="s">
        <v>33</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x14ac:dyDescent="0.3">
      <c r="A88" t="s">
        <v>153</v>
      </c>
      <c r="B88" t="s">
        <v>76</v>
      </c>
      <c r="C88">
        <v>4</v>
      </c>
      <c r="D88">
        <v>15.5</v>
      </c>
      <c r="E88">
        <v>62</v>
      </c>
      <c r="F88" s="1">
        <v>45661</v>
      </c>
      <c r="G88" s="1">
        <v>45662</v>
      </c>
      <c r="H88" t="s">
        <v>27</v>
      </c>
      <c r="I88" t="s">
        <v>35</v>
      </c>
      <c r="J88">
        <v>5</v>
      </c>
      <c r="K88" t="s">
        <v>19</v>
      </c>
      <c r="L88" t="s">
        <v>33</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x14ac:dyDescent="0.3">
      <c r="A89" t="s">
        <v>154</v>
      </c>
      <c r="B89" t="s">
        <v>69</v>
      </c>
      <c r="C89">
        <v>1</v>
      </c>
      <c r="D89">
        <v>46.8</v>
      </c>
      <c r="E89">
        <v>46.8</v>
      </c>
      <c r="F89" s="1">
        <v>45661</v>
      </c>
      <c r="G89" s="1">
        <v>45665</v>
      </c>
      <c r="H89" t="s">
        <v>23</v>
      </c>
      <c r="I89" t="s">
        <v>18</v>
      </c>
      <c r="J89">
        <v>5</v>
      </c>
      <c r="K89" t="s">
        <v>19</v>
      </c>
      <c r="L89" t="s">
        <v>33</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x14ac:dyDescent="0.3">
      <c r="A90" t="s">
        <v>155</v>
      </c>
      <c r="B90" t="s">
        <v>46</v>
      </c>
      <c r="C90">
        <v>9</v>
      </c>
      <c r="D90">
        <v>28.6</v>
      </c>
      <c r="E90">
        <v>257.40000000000003</v>
      </c>
      <c r="F90" s="1">
        <v>45661</v>
      </c>
      <c r="G90" s="1">
        <v>45665</v>
      </c>
      <c r="H90" t="s">
        <v>23</v>
      </c>
      <c r="I90" t="s">
        <v>18</v>
      </c>
      <c r="J90">
        <v>5</v>
      </c>
      <c r="K90" t="s">
        <v>19</v>
      </c>
      <c r="L90" t="s">
        <v>33</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x14ac:dyDescent="0.3">
      <c r="A91" t="s">
        <v>156</v>
      </c>
      <c r="B91" t="s">
        <v>26</v>
      </c>
      <c r="C91">
        <v>1</v>
      </c>
      <c r="D91">
        <v>97.7</v>
      </c>
      <c r="E91">
        <v>97.7</v>
      </c>
      <c r="F91" s="1">
        <v>45661</v>
      </c>
      <c r="G91" s="1">
        <v>45664</v>
      </c>
      <c r="H91" t="s">
        <v>27</v>
      </c>
      <c r="I91" t="s">
        <v>35</v>
      </c>
      <c r="J91">
        <v>4</v>
      </c>
      <c r="K91" t="s">
        <v>19</v>
      </c>
      <c r="L91" t="s">
        <v>33</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x14ac:dyDescent="0.3">
      <c r="A92" t="s">
        <v>157</v>
      </c>
      <c r="B92" t="s">
        <v>46</v>
      </c>
      <c r="C92">
        <v>5</v>
      </c>
      <c r="D92">
        <v>54.7</v>
      </c>
      <c r="E92">
        <v>273.5</v>
      </c>
      <c r="F92" s="1">
        <v>45661</v>
      </c>
      <c r="G92" s="1">
        <v>45664</v>
      </c>
      <c r="H92" t="s">
        <v>17</v>
      </c>
      <c r="I92" t="s">
        <v>18</v>
      </c>
      <c r="J92">
        <v>5</v>
      </c>
      <c r="K92" t="s">
        <v>19</v>
      </c>
      <c r="L92" t="s">
        <v>158</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x14ac:dyDescent="0.3">
      <c r="A93" t="s">
        <v>159</v>
      </c>
      <c r="B93" t="s">
        <v>26</v>
      </c>
      <c r="C93">
        <v>6</v>
      </c>
      <c r="D93">
        <v>130.5</v>
      </c>
      <c r="E93">
        <v>783</v>
      </c>
      <c r="F93" s="1">
        <v>45661</v>
      </c>
      <c r="G93" s="1">
        <v>45663</v>
      </c>
      <c r="H93" t="s">
        <v>27</v>
      </c>
      <c r="I93" t="s">
        <v>18</v>
      </c>
      <c r="J93">
        <v>3</v>
      </c>
      <c r="K93" t="s">
        <v>19</v>
      </c>
      <c r="L93" t="s">
        <v>158</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x14ac:dyDescent="0.3">
      <c r="A94" t="s">
        <v>160</v>
      </c>
      <c r="B94" t="s">
        <v>67</v>
      </c>
      <c r="C94">
        <v>2</v>
      </c>
      <c r="D94">
        <v>50.4</v>
      </c>
      <c r="E94">
        <v>100.8</v>
      </c>
      <c r="F94" s="1">
        <v>45661</v>
      </c>
      <c r="G94" s="1">
        <v>45663</v>
      </c>
      <c r="H94" t="s">
        <v>23</v>
      </c>
      <c r="I94" t="s">
        <v>40</v>
      </c>
      <c r="J94">
        <v>5</v>
      </c>
      <c r="K94" t="s">
        <v>19</v>
      </c>
      <c r="L94" t="s">
        <v>55</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x14ac:dyDescent="0.3">
      <c r="A95" t="s">
        <v>161</v>
      </c>
      <c r="B95" t="s">
        <v>39</v>
      </c>
      <c r="C95">
        <v>13</v>
      </c>
      <c r="D95">
        <v>61.5</v>
      </c>
      <c r="E95">
        <v>799.5</v>
      </c>
      <c r="F95" s="1">
        <v>45661</v>
      </c>
      <c r="G95" s="1">
        <v>45662</v>
      </c>
      <c r="H95" t="s">
        <v>17</v>
      </c>
      <c r="I95" t="s">
        <v>51</v>
      </c>
      <c r="J95">
        <v>3</v>
      </c>
      <c r="K95" t="s">
        <v>19</v>
      </c>
      <c r="L95" t="s">
        <v>77</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x14ac:dyDescent="0.3">
      <c r="A96" t="s">
        <v>162</v>
      </c>
      <c r="B96" t="s">
        <v>46</v>
      </c>
      <c r="C96">
        <v>4</v>
      </c>
      <c r="D96">
        <v>30.1</v>
      </c>
      <c r="E96">
        <v>120.4</v>
      </c>
      <c r="F96" s="1">
        <v>45661</v>
      </c>
      <c r="G96" s="1">
        <v>45662</v>
      </c>
      <c r="H96" t="s">
        <v>27</v>
      </c>
      <c r="I96" t="s">
        <v>18</v>
      </c>
      <c r="J96">
        <v>5</v>
      </c>
      <c r="K96" t="s">
        <v>19</v>
      </c>
      <c r="L96" t="s">
        <v>115</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x14ac:dyDescent="0.3">
      <c r="A97" t="s">
        <v>163</v>
      </c>
      <c r="B97" t="s">
        <v>26</v>
      </c>
      <c r="C97">
        <v>5</v>
      </c>
      <c r="D97">
        <v>74.8</v>
      </c>
      <c r="E97">
        <v>374</v>
      </c>
      <c r="F97" s="1">
        <v>45661</v>
      </c>
      <c r="G97" s="1">
        <v>45662</v>
      </c>
      <c r="H97" t="s">
        <v>27</v>
      </c>
      <c r="I97" t="s">
        <v>35</v>
      </c>
      <c r="J97">
        <v>4</v>
      </c>
      <c r="K97" t="s">
        <v>19</v>
      </c>
      <c r="L97" t="s">
        <v>24</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x14ac:dyDescent="0.3">
      <c r="A98" t="s">
        <v>164</v>
      </c>
      <c r="B98" t="s">
        <v>128</v>
      </c>
      <c r="C98">
        <v>3</v>
      </c>
      <c r="D98">
        <v>64.900000000000006</v>
      </c>
      <c r="E98">
        <v>194.70000000000002</v>
      </c>
      <c r="F98" s="1">
        <v>45661</v>
      </c>
      <c r="G98" s="1">
        <v>45668</v>
      </c>
      <c r="H98" t="s">
        <v>23</v>
      </c>
      <c r="I98" t="s">
        <v>18</v>
      </c>
      <c r="J98">
        <v>4</v>
      </c>
      <c r="K98" t="s">
        <v>19</v>
      </c>
      <c r="L98" t="s">
        <v>28</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x14ac:dyDescent="0.3">
      <c r="A99" t="s">
        <v>165</v>
      </c>
      <c r="B99" t="s">
        <v>46</v>
      </c>
      <c r="C99">
        <v>2</v>
      </c>
      <c r="D99">
        <v>50.5</v>
      </c>
      <c r="E99">
        <v>101</v>
      </c>
      <c r="F99" s="1">
        <v>45661</v>
      </c>
      <c r="G99" s="1">
        <v>45663</v>
      </c>
      <c r="H99" t="s">
        <v>23</v>
      </c>
      <c r="I99" t="s">
        <v>35</v>
      </c>
      <c r="J99">
        <v>4</v>
      </c>
      <c r="K99" t="s">
        <v>19</v>
      </c>
      <c r="L99" t="s">
        <v>147</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x14ac:dyDescent="0.3">
      <c r="A100" t="s">
        <v>166</v>
      </c>
      <c r="B100" t="s">
        <v>67</v>
      </c>
      <c r="C100">
        <v>7</v>
      </c>
      <c r="D100">
        <v>63</v>
      </c>
      <c r="E100">
        <v>441</v>
      </c>
      <c r="F100" s="1">
        <v>45661</v>
      </c>
      <c r="G100" s="1">
        <v>45664</v>
      </c>
      <c r="H100" t="s">
        <v>23</v>
      </c>
      <c r="I100" t="s">
        <v>51</v>
      </c>
      <c r="J100">
        <v>5</v>
      </c>
      <c r="K100" t="s">
        <v>19</v>
      </c>
      <c r="L100" t="s">
        <v>33</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x14ac:dyDescent="0.3">
      <c r="A101" t="s">
        <v>167</v>
      </c>
      <c r="B101" t="s">
        <v>26</v>
      </c>
      <c r="C101">
        <v>3</v>
      </c>
      <c r="D101">
        <v>93.6</v>
      </c>
      <c r="E101">
        <v>280.79999999999995</v>
      </c>
      <c r="F101" s="1">
        <v>45661</v>
      </c>
      <c r="G101" s="1">
        <v>45674</v>
      </c>
      <c r="H101" t="s">
        <v>27</v>
      </c>
      <c r="I101" t="s">
        <v>18</v>
      </c>
      <c r="J101">
        <v>5</v>
      </c>
      <c r="K101" t="s">
        <v>19</v>
      </c>
      <c r="L101" t="s">
        <v>33</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x14ac:dyDescent="0.3">
      <c r="A102" t="s">
        <v>168</v>
      </c>
      <c r="B102" t="s">
        <v>37</v>
      </c>
      <c r="C102">
        <v>30</v>
      </c>
      <c r="D102">
        <v>41.4</v>
      </c>
      <c r="E102">
        <v>1242</v>
      </c>
      <c r="F102" s="1">
        <v>45661</v>
      </c>
      <c r="G102" s="1">
        <v>45665</v>
      </c>
      <c r="H102" t="s">
        <v>23</v>
      </c>
      <c r="I102" t="s">
        <v>40</v>
      </c>
      <c r="J102">
        <v>5</v>
      </c>
      <c r="K102" t="s">
        <v>19</v>
      </c>
      <c r="L102" t="s">
        <v>33</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x14ac:dyDescent="0.3">
      <c r="A103" t="s">
        <v>169</v>
      </c>
      <c r="B103" t="s">
        <v>26</v>
      </c>
      <c r="C103">
        <v>2</v>
      </c>
      <c r="D103">
        <v>160</v>
      </c>
      <c r="E103">
        <v>320</v>
      </c>
      <c r="F103" s="1">
        <v>45662</v>
      </c>
      <c r="G103" s="1">
        <v>45663</v>
      </c>
      <c r="H103" t="s">
        <v>23</v>
      </c>
      <c r="I103" t="s">
        <v>40</v>
      </c>
      <c r="J103">
        <v>5</v>
      </c>
      <c r="K103" t="s">
        <v>19</v>
      </c>
      <c r="L103" t="s">
        <v>52</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x14ac:dyDescent="0.3">
      <c r="A104" t="s">
        <v>170</v>
      </c>
      <c r="B104" t="s">
        <v>171</v>
      </c>
      <c r="C104">
        <v>11</v>
      </c>
      <c r="D104">
        <v>10.5</v>
      </c>
      <c r="E104">
        <v>115.5</v>
      </c>
      <c r="F104" s="1">
        <v>45662</v>
      </c>
      <c r="G104" s="1">
        <v>45665</v>
      </c>
      <c r="H104" t="s">
        <v>27</v>
      </c>
      <c r="I104" t="s">
        <v>70</v>
      </c>
      <c r="J104">
        <v>4</v>
      </c>
      <c r="K104" t="s">
        <v>19</v>
      </c>
      <c r="L104" t="s">
        <v>62</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x14ac:dyDescent="0.3">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x14ac:dyDescent="0.3">
      <c r="A106" t="s">
        <v>173</v>
      </c>
      <c r="B106" t="s">
        <v>44</v>
      </c>
      <c r="C106">
        <v>3</v>
      </c>
      <c r="D106">
        <v>18.5</v>
      </c>
      <c r="E106">
        <v>55.5</v>
      </c>
      <c r="F106" s="1">
        <v>45662</v>
      </c>
      <c r="G106" s="1">
        <v>45667</v>
      </c>
      <c r="H106" t="s">
        <v>27</v>
      </c>
      <c r="I106" t="s">
        <v>35</v>
      </c>
      <c r="J106">
        <v>5</v>
      </c>
      <c r="K106" t="s">
        <v>19</v>
      </c>
      <c r="L106" t="s">
        <v>77</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x14ac:dyDescent="0.3">
      <c r="A107" t="s">
        <v>174</v>
      </c>
      <c r="B107" t="s">
        <v>128</v>
      </c>
      <c r="C107">
        <v>3</v>
      </c>
      <c r="D107">
        <v>84.5</v>
      </c>
      <c r="E107">
        <v>253.5</v>
      </c>
      <c r="F107" s="1">
        <v>45662</v>
      </c>
      <c r="G107" s="1">
        <v>45664</v>
      </c>
      <c r="H107" t="s">
        <v>27</v>
      </c>
      <c r="I107" t="s">
        <v>70</v>
      </c>
      <c r="J107">
        <v>3</v>
      </c>
      <c r="K107" t="s">
        <v>19</v>
      </c>
      <c r="L107" t="s">
        <v>82</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x14ac:dyDescent="0.3">
      <c r="A108" t="s">
        <v>175</v>
      </c>
      <c r="B108" t="s">
        <v>123</v>
      </c>
      <c r="C108">
        <v>7</v>
      </c>
      <c r="D108">
        <v>31.2</v>
      </c>
      <c r="E108">
        <v>218.4</v>
      </c>
      <c r="F108" s="1">
        <v>45662</v>
      </c>
      <c r="G108" s="1">
        <v>45662</v>
      </c>
      <c r="H108" t="s">
        <v>27</v>
      </c>
      <c r="I108" t="s">
        <v>40</v>
      </c>
      <c r="J108">
        <v>5</v>
      </c>
      <c r="K108" t="s">
        <v>19</v>
      </c>
      <c r="L108" t="s">
        <v>33</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x14ac:dyDescent="0.3">
      <c r="A109" t="s">
        <v>176</v>
      </c>
      <c r="B109" t="s">
        <v>44</v>
      </c>
      <c r="C109">
        <v>18</v>
      </c>
      <c r="D109">
        <v>32.6</v>
      </c>
      <c r="E109">
        <v>586.80000000000007</v>
      </c>
      <c r="F109" s="1">
        <v>45662</v>
      </c>
      <c r="G109" s="1">
        <v>45663</v>
      </c>
      <c r="H109" t="s">
        <v>23</v>
      </c>
      <c r="I109" t="s">
        <v>35</v>
      </c>
      <c r="J109">
        <v>3</v>
      </c>
      <c r="K109" t="s">
        <v>19</v>
      </c>
      <c r="L109" t="s">
        <v>33</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x14ac:dyDescent="0.3">
      <c r="A110" t="s">
        <v>177</v>
      </c>
      <c r="B110" t="s">
        <v>54</v>
      </c>
      <c r="C110">
        <v>4</v>
      </c>
      <c r="D110">
        <v>45.4</v>
      </c>
      <c r="E110">
        <v>181.6</v>
      </c>
      <c r="F110" s="1">
        <v>45662</v>
      </c>
      <c r="G110" s="1">
        <v>45664</v>
      </c>
      <c r="H110" t="s">
        <v>23</v>
      </c>
      <c r="I110" t="s">
        <v>35</v>
      </c>
      <c r="J110">
        <v>4</v>
      </c>
      <c r="K110" t="s">
        <v>19</v>
      </c>
      <c r="L110" t="s">
        <v>33</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x14ac:dyDescent="0.3">
      <c r="A111" t="s">
        <v>178</v>
      </c>
      <c r="B111" t="s">
        <v>26</v>
      </c>
      <c r="C111">
        <v>12</v>
      </c>
      <c r="D111">
        <v>120</v>
      </c>
      <c r="E111">
        <v>1440</v>
      </c>
      <c r="F111" s="1">
        <v>45662</v>
      </c>
      <c r="G111" s="1">
        <v>45663</v>
      </c>
      <c r="H111" t="s">
        <v>27</v>
      </c>
      <c r="I111" t="s">
        <v>40</v>
      </c>
      <c r="J111">
        <v>2</v>
      </c>
      <c r="K111" t="s">
        <v>19</v>
      </c>
      <c r="L111" t="s">
        <v>33</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x14ac:dyDescent="0.3">
      <c r="A112" t="s">
        <v>179</v>
      </c>
      <c r="B112" t="s">
        <v>16</v>
      </c>
      <c r="C112">
        <v>4</v>
      </c>
      <c r="D112">
        <v>18.899999999999999</v>
      </c>
      <c r="E112">
        <v>75.599999999999994</v>
      </c>
      <c r="F112" s="1">
        <v>45662</v>
      </c>
      <c r="G112" s="1">
        <v>45664</v>
      </c>
      <c r="H112" t="s">
        <v>23</v>
      </c>
      <c r="I112" t="s">
        <v>18</v>
      </c>
      <c r="J112">
        <v>5</v>
      </c>
      <c r="K112" t="s">
        <v>19</v>
      </c>
      <c r="L112" t="s">
        <v>33</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x14ac:dyDescent="0.3">
      <c r="A113" t="s">
        <v>180</v>
      </c>
      <c r="B113" t="s">
        <v>32</v>
      </c>
      <c r="C113">
        <v>1</v>
      </c>
      <c r="D113">
        <v>32</v>
      </c>
      <c r="E113">
        <v>32</v>
      </c>
      <c r="F113" s="1">
        <v>45662</v>
      </c>
      <c r="G113" s="1">
        <v>45664</v>
      </c>
      <c r="H113" t="s">
        <v>27</v>
      </c>
      <c r="I113" t="s">
        <v>70</v>
      </c>
      <c r="J113">
        <v>4</v>
      </c>
      <c r="K113" t="s">
        <v>19</v>
      </c>
      <c r="L113" t="s">
        <v>33</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x14ac:dyDescent="0.3">
      <c r="A114" t="s">
        <v>181</v>
      </c>
      <c r="B114" t="s">
        <v>42</v>
      </c>
      <c r="C114">
        <v>2</v>
      </c>
      <c r="D114">
        <v>37.299999999999997</v>
      </c>
      <c r="E114">
        <v>74.599999999999994</v>
      </c>
      <c r="F114" s="1">
        <v>45662</v>
      </c>
      <c r="G114" s="1">
        <v>45663</v>
      </c>
      <c r="H114" t="s">
        <v>23</v>
      </c>
      <c r="I114" t="s">
        <v>40</v>
      </c>
      <c r="J114">
        <v>4</v>
      </c>
      <c r="K114" t="s">
        <v>19</v>
      </c>
      <c r="L114" t="s">
        <v>33</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x14ac:dyDescent="0.3">
      <c r="A115" t="s">
        <v>182</v>
      </c>
      <c r="B115" t="s">
        <v>146</v>
      </c>
      <c r="C115">
        <v>1</v>
      </c>
      <c r="D115">
        <v>119.8</v>
      </c>
      <c r="E115">
        <v>119.8</v>
      </c>
      <c r="F115" s="1">
        <v>45662</v>
      </c>
      <c r="G115" s="1">
        <v>45663</v>
      </c>
      <c r="H115" t="s">
        <v>23</v>
      </c>
      <c r="I115" t="s">
        <v>35</v>
      </c>
      <c r="J115">
        <v>3</v>
      </c>
      <c r="K115" t="s">
        <v>19</v>
      </c>
      <c r="L115" t="s">
        <v>33</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x14ac:dyDescent="0.3">
      <c r="A116" t="s">
        <v>183</v>
      </c>
      <c r="B116" t="s">
        <v>54</v>
      </c>
      <c r="C116">
        <v>2</v>
      </c>
      <c r="D116">
        <v>26.4</v>
      </c>
      <c r="E116">
        <v>52.8</v>
      </c>
      <c r="F116" s="1">
        <v>45662</v>
      </c>
      <c r="G116" s="1">
        <v>45665</v>
      </c>
      <c r="H116" t="s">
        <v>23</v>
      </c>
      <c r="I116" t="s">
        <v>40</v>
      </c>
      <c r="J116">
        <v>4</v>
      </c>
      <c r="K116" t="s">
        <v>19</v>
      </c>
      <c r="L116" t="s">
        <v>33</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x14ac:dyDescent="0.3">
      <c r="A117" t="s">
        <v>184</v>
      </c>
      <c r="B117" t="s">
        <v>39</v>
      </c>
      <c r="C117">
        <v>6</v>
      </c>
      <c r="D117">
        <v>76.5</v>
      </c>
      <c r="E117">
        <v>459</v>
      </c>
      <c r="F117" s="1">
        <v>45662</v>
      </c>
      <c r="G117" s="1">
        <v>45663</v>
      </c>
      <c r="H117" t="s">
        <v>27</v>
      </c>
      <c r="I117" t="s">
        <v>35</v>
      </c>
      <c r="J117">
        <v>3</v>
      </c>
      <c r="K117" t="s">
        <v>19</v>
      </c>
      <c r="L117" t="s">
        <v>33</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x14ac:dyDescent="0.3">
      <c r="A118" t="s">
        <v>185</v>
      </c>
      <c r="B118" t="s">
        <v>32</v>
      </c>
      <c r="C118">
        <v>10</v>
      </c>
      <c r="D118">
        <v>45.7</v>
      </c>
      <c r="E118">
        <v>457</v>
      </c>
      <c r="F118" s="1">
        <v>45662</v>
      </c>
      <c r="G118" s="1">
        <v>45663</v>
      </c>
      <c r="H118" t="s">
        <v>27</v>
      </c>
      <c r="I118" t="s">
        <v>40</v>
      </c>
      <c r="J118">
        <v>4</v>
      </c>
      <c r="K118" t="s">
        <v>19</v>
      </c>
      <c r="L118" t="s">
        <v>186</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x14ac:dyDescent="0.3">
      <c r="A119" t="s">
        <v>187</v>
      </c>
      <c r="B119" t="s">
        <v>22</v>
      </c>
      <c r="C119">
        <v>12</v>
      </c>
      <c r="D119">
        <v>92.6</v>
      </c>
      <c r="E119">
        <v>1111.1999999999998</v>
      </c>
      <c r="F119" s="1">
        <v>45662</v>
      </c>
      <c r="G119" s="1">
        <v>45664</v>
      </c>
      <c r="H119" t="s">
        <v>27</v>
      </c>
      <c r="I119" t="s">
        <v>40</v>
      </c>
      <c r="J119">
        <v>4</v>
      </c>
      <c r="K119" t="s">
        <v>19</v>
      </c>
      <c r="L119" t="s">
        <v>188</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x14ac:dyDescent="0.3">
      <c r="A120" t="s">
        <v>189</v>
      </c>
      <c r="B120" t="s">
        <v>39</v>
      </c>
      <c r="C120">
        <v>6</v>
      </c>
      <c r="D120">
        <v>60.1</v>
      </c>
      <c r="E120">
        <v>360.6</v>
      </c>
      <c r="F120" s="1">
        <v>45662</v>
      </c>
      <c r="G120" s="1">
        <v>45663</v>
      </c>
      <c r="H120" t="s">
        <v>23</v>
      </c>
      <c r="I120" t="s">
        <v>35</v>
      </c>
      <c r="J120">
        <v>4</v>
      </c>
      <c r="K120" t="s">
        <v>19</v>
      </c>
      <c r="L120" t="s">
        <v>158</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x14ac:dyDescent="0.3">
      <c r="A121" t="s">
        <v>190</v>
      </c>
      <c r="B121" t="s">
        <v>22</v>
      </c>
      <c r="C121">
        <v>3</v>
      </c>
      <c r="D121">
        <v>73</v>
      </c>
      <c r="E121">
        <v>219</v>
      </c>
      <c r="F121" s="1">
        <v>45662</v>
      </c>
      <c r="G121" s="1">
        <v>45663</v>
      </c>
      <c r="H121" t="s">
        <v>27</v>
      </c>
      <c r="I121" t="s">
        <v>51</v>
      </c>
      <c r="J121">
        <v>3</v>
      </c>
      <c r="K121" t="s">
        <v>19</v>
      </c>
      <c r="L121" t="s">
        <v>55</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x14ac:dyDescent="0.3">
      <c r="A122" t="s">
        <v>191</v>
      </c>
      <c r="B122" t="s">
        <v>39</v>
      </c>
      <c r="C122">
        <v>3</v>
      </c>
      <c r="D122">
        <v>44.3</v>
      </c>
      <c r="E122">
        <v>132.89999999999998</v>
      </c>
      <c r="F122" s="1">
        <v>45662</v>
      </c>
      <c r="G122" s="1">
        <v>45666</v>
      </c>
      <c r="H122" t="s">
        <v>17</v>
      </c>
      <c r="I122" t="s">
        <v>40</v>
      </c>
      <c r="J122">
        <v>5</v>
      </c>
      <c r="K122" t="s">
        <v>19</v>
      </c>
      <c r="L122" t="s">
        <v>55</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x14ac:dyDescent="0.3">
      <c r="A123" t="s">
        <v>192</v>
      </c>
      <c r="B123" t="s">
        <v>39</v>
      </c>
      <c r="C123">
        <v>3</v>
      </c>
      <c r="D123">
        <v>63.3</v>
      </c>
      <c r="E123">
        <v>189.89999999999998</v>
      </c>
      <c r="F123" s="1">
        <v>45662</v>
      </c>
      <c r="G123" s="1">
        <v>45663</v>
      </c>
      <c r="H123" t="s">
        <v>23</v>
      </c>
      <c r="I123" t="s">
        <v>40</v>
      </c>
      <c r="J123">
        <v>4</v>
      </c>
      <c r="K123" t="s">
        <v>19</v>
      </c>
      <c r="L123" t="s">
        <v>55</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x14ac:dyDescent="0.3">
      <c r="A124" t="s">
        <v>193</v>
      </c>
      <c r="B124" t="s">
        <v>69</v>
      </c>
      <c r="C124">
        <v>1</v>
      </c>
      <c r="D124">
        <v>66.8</v>
      </c>
      <c r="E124">
        <v>66.8</v>
      </c>
      <c r="F124" s="1">
        <v>45662</v>
      </c>
      <c r="G124" s="1">
        <v>45663</v>
      </c>
      <c r="H124" t="s">
        <v>27</v>
      </c>
      <c r="I124" t="s">
        <v>35</v>
      </c>
      <c r="J124">
        <v>4</v>
      </c>
      <c r="K124" t="s">
        <v>19</v>
      </c>
      <c r="L124" t="s">
        <v>55</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x14ac:dyDescent="0.3">
      <c r="A125" t="s">
        <v>194</v>
      </c>
      <c r="B125" t="s">
        <v>26</v>
      </c>
      <c r="C125">
        <v>2</v>
      </c>
      <c r="D125">
        <v>59.7</v>
      </c>
      <c r="E125">
        <v>119.4</v>
      </c>
      <c r="F125" s="1">
        <v>45662</v>
      </c>
      <c r="G125" s="1">
        <v>45663</v>
      </c>
      <c r="H125" t="s">
        <v>27</v>
      </c>
      <c r="I125" t="s">
        <v>18</v>
      </c>
      <c r="J125">
        <v>4</v>
      </c>
      <c r="K125" t="s">
        <v>19</v>
      </c>
      <c r="L125" t="s">
        <v>59</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x14ac:dyDescent="0.3">
      <c r="A126" t="s">
        <v>195</v>
      </c>
      <c r="B126" t="s">
        <v>22</v>
      </c>
      <c r="C126">
        <v>6</v>
      </c>
      <c r="D126">
        <v>92</v>
      </c>
      <c r="E126">
        <v>552</v>
      </c>
      <c r="F126" s="1">
        <v>45662</v>
      </c>
      <c r="G126" s="1">
        <v>45664</v>
      </c>
      <c r="H126" t="s">
        <v>23</v>
      </c>
      <c r="I126" t="s">
        <v>18</v>
      </c>
      <c r="J126">
        <v>2</v>
      </c>
      <c r="K126" t="s">
        <v>19</v>
      </c>
      <c r="L126" t="s">
        <v>59</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x14ac:dyDescent="0.3">
      <c r="A127" t="s">
        <v>196</v>
      </c>
      <c r="B127" t="s">
        <v>42</v>
      </c>
      <c r="C127">
        <v>2</v>
      </c>
      <c r="D127">
        <v>87.6</v>
      </c>
      <c r="E127">
        <v>175.2</v>
      </c>
      <c r="F127" s="1">
        <v>45662</v>
      </c>
      <c r="G127" s="1">
        <v>45664</v>
      </c>
      <c r="H127" t="s">
        <v>23</v>
      </c>
      <c r="I127" t="s">
        <v>35</v>
      </c>
      <c r="J127">
        <v>3</v>
      </c>
      <c r="K127" t="s">
        <v>19</v>
      </c>
      <c r="L127" t="s">
        <v>62</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x14ac:dyDescent="0.3">
      <c r="A128" t="s">
        <v>197</v>
      </c>
      <c r="B128" t="s">
        <v>39</v>
      </c>
      <c r="C128">
        <v>3</v>
      </c>
      <c r="D128">
        <v>84.5</v>
      </c>
      <c r="E128">
        <v>253.5</v>
      </c>
      <c r="F128" s="1">
        <v>45662</v>
      </c>
      <c r="G128" s="1">
        <v>45663</v>
      </c>
      <c r="H128" t="s">
        <v>27</v>
      </c>
      <c r="I128" t="s">
        <v>35</v>
      </c>
      <c r="J128">
        <v>3</v>
      </c>
      <c r="K128" t="s">
        <v>19</v>
      </c>
      <c r="L128" t="s">
        <v>62</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x14ac:dyDescent="0.3">
      <c r="A129" t="s">
        <v>198</v>
      </c>
      <c r="B129" t="s">
        <v>22</v>
      </c>
      <c r="C129">
        <v>2</v>
      </c>
      <c r="D129">
        <v>116.3</v>
      </c>
      <c r="E129">
        <v>232.6</v>
      </c>
      <c r="F129" s="1">
        <v>45663</v>
      </c>
      <c r="G129" s="1">
        <v>45665</v>
      </c>
      <c r="H129" t="s">
        <v>23</v>
      </c>
      <c r="I129" t="s">
        <v>40</v>
      </c>
      <c r="J129">
        <v>5</v>
      </c>
      <c r="K129" t="s">
        <v>19</v>
      </c>
      <c r="L129" t="s">
        <v>62</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x14ac:dyDescent="0.3">
      <c r="A130" t="s">
        <v>199</v>
      </c>
      <c r="B130" t="s">
        <v>39</v>
      </c>
      <c r="C130">
        <v>5</v>
      </c>
      <c r="D130">
        <v>52.7</v>
      </c>
      <c r="E130">
        <v>263.5</v>
      </c>
      <c r="F130" s="1">
        <v>45663</v>
      </c>
      <c r="G130" s="1">
        <v>45667</v>
      </c>
      <c r="H130" t="s">
        <v>23</v>
      </c>
      <c r="I130" t="s">
        <v>18</v>
      </c>
      <c r="J130">
        <v>4</v>
      </c>
      <c r="K130" t="s">
        <v>19</v>
      </c>
      <c r="L130" t="s">
        <v>62</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x14ac:dyDescent="0.3">
      <c r="A131" t="s">
        <v>200</v>
      </c>
      <c r="B131" t="s">
        <v>128</v>
      </c>
      <c r="C131">
        <v>3</v>
      </c>
      <c r="D131">
        <v>34.200000000000003</v>
      </c>
      <c r="E131">
        <v>102.60000000000001</v>
      </c>
      <c r="F131" s="1">
        <v>45663</v>
      </c>
      <c r="G131" s="1">
        <v>45664</v>
      </c>
      <c r="H131" t="s">
        <v>23</v>
      </c>
      <c r="I131" t="s">
        <v>18</v>
      </c>
      <c r="J131">
        <v>5</v>
      </c>
      <c r="K131" t="s">
        <v>19</v>
      </c>
      <c r="L131" t="s">
        <v>201</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x14ac:dyDescent="0.3">
      <c r="A132" t="s">
        <v>202</v>
      </c>
      <c r="B132" t="s">
        <v>46</v>
      </c>
      <c r="C132">
        <v>1</v>
      </c>
      <c r="D132">
        <v>23.3</v>
      </c>
      <c r="E132">
        <v>23.3</v>
      </c>
      <c r="F132" s="1">
        <v>45663</v>
      </c>
      <c r="G132" s="1">
        <v>45672</v>
      </c>
      <c r="H132" t="s">
        <v>89</v>
      </c>
      <c r="I132" t="s">
        <v>40</v>
      </c>
      <c r="J132">
        <v>5</v>
      </c>
      <c r="K132" t="s">
        <v>19</v>
      </c>
      <c r="L132" t="s">
        <v>72</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x14ac:dyDescent="0.3">
      <c r="A133" t="s">
        <v>203</v>
      </c>
      <c r="B133" t="s">
        <v>16</v>
      </c>
      <c r="C133">
        <v>26</v>
      </c>
      <c r="D133">
        <v>25.9</v>
      </c>
      <c r="E133">
        <v>673.4</v>
      </c>
      <c r="F133" s="1">
        <v>45663</v>
      </c>
      <c r="G133" s="1">
        <v>45666</v>
      </c>
      <c r="H133" t="s">
        <v>27</v>
      </c>
      <c r="I133" t="s">
        <v>70</v>
      </c>
      <c r="J133">
        <v>3</v>
      </c>
      <c r="K133" t="s">
        <v>19</v>
      </c>
      <c r="L133" t="s">
        <v>72</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x14ac:dyDescent="0.3">
      <c r="A134" t="s">
        <v>204</v>
      </c>
      <c r="B134" t="s">
        <v>39</v>
      </c>
      <c r="C134">
        <v>29</v>
      </c>
      <c r="D134">
        <v>54.9</v>
      </c>
      <c r="E134">
        <v>1592.1</v>
      </c>
      <c r="F134" s="1">
        <v>45663</v>
      </c>
      <c r="G134" s="1">
        <v>45664</v>
      </c>
      <c r="H134" t="s">
        <v>23</v>
      </c>
      <c r="I134" t="s">
        <v>35</v>
      </c>
      <c r="J134">
        <v>5</v>
      </c>
      <c r="K134" t="s">
        <v>19</v>
      </c>
      <c r="L134" t="s">
        <v>72</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x14ac:dyDescent="0.3">
      <c r="A135" t="s">
        <v>205</v>
      </c>
      <c r="B135" t="s">
        <v>37</v>
      </c>
      <c r="C135">
        <v>3</v>
      </c>
      <c r="D135">
        <v>75.8</v>
      </c>
      <c r="E135">
        <v>227.39999999999998</v>
      </c>
      <c r="F135" s="1">
        <v>45663</v>
      </c>
      <c r="G135" s="1">
        <v>45668</v>
      </c>
      <c r="H135" t="s">
        <v>89</v>
      </c>
      <c r="I135" t="s">
        <v>35</v>
      </c>
      <c r="J135">
        <v>4</v>
      </c>
      <c r="K135" t="s">
        <v>19</v>
      </c>
      <c r="L135" t="s">
        <v>108</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x14ac:dyDescent="0.3">
      <c r="A136" t="s">
        <v>206</v>
      </c>
      <c r="B136" t="s">
        <v>22</v>
      </c>
      <c r="C136">
        <v>9</v>
      </c>
      <c r="D136">
        <v>44.9</v>
      </c>
      <c r="E136">
        <v>404.09999999999997</v>
      </c>
      <c r="F136" s="1">
        <v>45663</v>
      </c>
      <c r="G136" s="1">
        <v>45666</v>
      </c>
      <c r="H136" t="s">
        <v>27</v>
      </c>
      <c r="I136" t="s">
        <v>40</v>
      </c>
      <c r="J136">
        <v>5</v>
      </c>
      <c r="K136" t="s">
        <v>19</v>
      </c>
      <c r="L136" t="s">
        <v>28</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x14ac:dyDescent="0.3">
      <c r="A137" t="s">
        <v>207</v>
      </c>
      <c r="B137" t="s">
        <v>67</v>
      </c>
      <c r="C137">
        <v>2</v>
      </c>
      <c r="D137">
        <v>48.8</v>
      </c>
      <c r="E137">
        <v>97.6</v>
      </c>
      <c r="F137" s="1">
        <v>45663</v>
      </c>
      <c r="G137" s="1">
        <v>45665</v>
      </c>
      <c r="H137" t="s">
        <v>27</v>
      </c>
      <c r="I137" t="s">
        <v>51</v>
      </c>
      <c r="J137">
        <v>4</v>
      </c>
      <c r="K137" t="s">
        <v>19</v>
      </c>
      <c r="L137" t="s">
        <v>208</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x14ac:dyDescent="0.3">
      <c r="A138" t="s">
        <v>209</v>
      </c>
      <c r="B138" t="s">
        <v>123</v>
      </c>
      <c r="C138">
        <v>1</v>
      </c>
      <c r="D138">
        <v>20.3</v>
      </c>
      <c r="E138">
        <v>20.3</v>
      </c>
      <c r="F138" s="1">
        <v>45663</v>
      </c>
      <c r="G138" s="1">
        <v>45664</v>
      </c>
      <c r="H138" t="s">
        <v>27</v>
      </c>
      <c r="I138" t="s">
        <v>18</v>
      </c>
      <c r="J138">
        <v>5</v>
      </c>
      <c r="K138" t="s">
        <v>19</v>
      </c>
      <c r="L138" t="s">
        <v>147</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x14ac:dyDescent="0.3">
      <c r="A139" t="s">
        <v>210</v>
      </c>
      <c r="B139" t="s">
        <v>37</v>
      </c>
      <c r="C139">
        <v>7</v>
      </c>
      <c r="D139">
        <v>36.4</v>
      </c>
      <c r="E139">
        <v>254.79999999999998</v>
      </c>
      <c r="F139" s="1">
        <v>45663</v>
      </c>
      <c r="G139" s="1">
        <v>45666</v>
      </c>
      <c r="H139" t="s">
        <v>27</v>
      </c>
      <c r="I139" t="s">
        <v>18</v>
      </c>
      <c r="J139">
        <v>3</v>
      </c>
      <c r="K139" t="s">
        <v>19</v>
      </c>
      <c r="L139" t="s">
        <v>33</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x14ac:dyDescent="0.3">
      <c r="A140" t="s">
        <v>211</v>
      </c>
      <c r="B140" t="s">
        <v>16</v>
      </c>
      <c r="C140">
        <v>1</v>
      </c>
      <c r="D140">
        <v>19</v>
      </c>
      <c r="E140">
        <v>19</v>
      </c>
      <c r="F140" s="1">
        <v>45663</v>
      </c>
      <c r="G140" s="1">
        <v>45668</v>
      </c>
      <c r="H140" t="s">
        <v>27</v>
      </c>
      <c r="I140" t="s">
        <v>35</v>
      </c>
      <c r="J140">
        <v>5</v>
      </c>
      <c r="K140" t="s">
        <v>19</v>
      </c>
      <c r="L140" t="s">
        <v>33</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x14ac:dyDescent="0.3">
      <c r="A141" t="s">
        <v>212</v>
      </c>
      <c r="B141" t="s">
        <v>44</v>
      </c>
      <c r="C141">
        <v>1</v>
      </c>
      <c r="D141">
        <v>17.8</v>
      </c>
      <c r="E141">
        <v>17.8</v>
      </c>
      <c r="F141" s="1">
        <v>45663</v>
      </c>
      <c r="G141" s="1">
        <v>45663</v>
      </c>
      <c r="H141" t="s">
        <v>23</v>
      </c>
      <c r="I141" t="s">
        <v>18</v>
      </c>
      <c r="J141">
        <v>4</v>
      </c>
      <c r="K141" t="s">
        <v>19</v>
      </c>
      <c r="L141" t="s">
        <v>33</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x14ac:dyDescent="0.3">
      <c r="A142" t="s">
        <v>213</v>
      </c>
      <c r="B142" t="s">
        <v>26</v>
      </c>
      <c r="C142">
        <v>6</v>
      </c>
      <c r="D142">
        <v>139.6</v>
      </c>
      <c r="E142">
        <v>837.59999999999991</v>
      </c>
      <c r="F142" s="1">
        <v>45663</v>
      </c>
      <c r="G142" s="1">
        <v>45666</v>
      </c>
      <c r="H142" t="s">
        <v>23</v>
      </c>
      <c r="I142" t="s">
        <v>18</v>
      </c>
      <c r="J142">
        <v>4</v>
      </c>
      <c r="K142" t="s">
        <v>19</v>
      </c>
      <c r="L142" t="s">
        <v>33</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x14ac:dyDescent="0.3">
      <c r="A143" t="s">
        <v>214</v>
      </c>
      <c r="B143" t="s">
        <v>46</v>
      </c>
      <c r="C143">
        <v>1</v>
      </c>
      <c r="D143">
        <v>31.7</v>
      </c>
      <c r="E143">
        <v>31.7</v>
      </c>
      <c r="F143" s="1">
        <v>45663</v>
      </c>
      <c r="G143" s="1">
        <v>45663</v>
      </c>
      <c r="H143" t="s">
        <v>17</v>
      </c>
      <c r="I143" t="s">
        <v>18</v>
      </c>
      <c r="J143">
        <v>4</v>
      </c>
      <c r="K143" t="s">
        <v>19</v>
      </c>
      <c r="L143" t="s">
        <v>33</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x14ac:dyDescent="0.3">
      <c r="A144" t="s">
        <v>215</v>
      </c>
      <c r="B144" t="s">
        <v>44</v>
      </c>
      <c r="C144">
        <v>8</v>
      </c>
      <c r="D144">
        <v>26.3</v>
      </c>
      <c r="E144">
        <v>210.4</v>
      </c>
      <c r="F144" s="1">
        <v>45663</v>
      </c>
      <c r="G144" s="1">
        <v>45666</v>
      </c>
      <c r="H144" t="s">
        <v>27</v>
      </c>
      <c r="I144" t="s">
        <v>70</v>
      </c>
      <c r="J144">
        <v>2</v>
      </c>
      <c r="K144" t="s">
        <v>19</v>
      </c>
      <c r="L144" t="s">
        <v>33</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x14ac:dyDescent="0.3">
      <c r="A145" t="s">
        <v>216</v>
      </c>
      <c r="B145" t="s">
        <v>32</v>
      </c>
      <c r="C145">
        <v>2</v>
      </c>
      <c r="D145">
        <v>47.8</v>
      </c>
      <c r="E145">
        <v>95.6</v>
      </c>
      <c r="F145" s="1">
        <v>45663</v>
      </c>
      <c r="G145" s="1">
        <v>45664</v>
      </c>
      <c r="H145" t="s">
        <v>17</v>
      </c>
      <c r="I145" t="s">
        <v>18</v>
      </c>
      <c r="J145">
        <v>4</v>
      </c>
      <c r="K145" t="s">
        <v>19</v>
      </c>
      <c r="L145" t="s">
        <v>33</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x14ac:dyDescent="0.3">
      <c r="A146" t="s">
        <v>217</v>
      </c>
      <c r="B146" t="s">
        <v>46</v>
      </c>
      <c r="C146">
        <v>3</v>
      </c>
      <c r="D146">
        <v>69.400000000000006</v>
      </c>
      <c r="E146">
        <v>208.20000000000002</v>
      </c>
      <c r="F146" s="1">
        <v>45663</v>
      </c>
      <c r="G146" s="1">
        <v>45667</v>
      </c>
      <c r="H146" t="s">
        <v>27</v>
      </c>
      <c r="I146" t="s">
        <v>18</v>
      </c>
      <c r="J146">
        <v>4</v>
      </c>
      <c r="K146" t="s">
        <v>19</v>
      </c>
      <c r="L146" t="s">
        <v>33</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x14ac:dyDescent="0.3">
      <c r="A147" t="s">
        <v>218</v>
      </c>
      <c r="B147" t="s">
        <v>146</v>
      </c>
      <c r="C147">
        <v>12</v>
      </c>
      <c r="D147">
        <v>25.8</v>
      </c>
      <c r="E147">
        <v>309.60000000000002</v>
      </c>
      <c r="F147" s="1">
        <v>45663</v>
      </c>
      <c r="G147" s="1">
        <v>45664</v>
      </c>
      <c r="H147" t="s">
        <v>23</v>
      </c>
      <c r="I147" t="s">
        <v>70</v>
      </c>
      <c r="J147">
        <v>2</v>
      </c>
      <c r="K147" t="s">
        <v>19</v>
      </c>
      <c r="L147" t="s">
        <v>33</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x14ac:dyDescent="0.3">
      <c r="A148" t="s">
        <v>219</v>
      </c>
      <c r="B148" t="s">
        <v>16</v>
      </c>
      <c r="C148">
        <v>4</v>
      </c>
      <c r="D148">
        <v>26.4</v>
      </c>
      <c r="E148">
        <v>105.6</v>
      </c>
      <c r="F148" s="1">
        <v>45663</v>
      </c>
      <c r="G148" s="1">
        <v>45664</v>
      </c>
      <c r="H148" t="s">
        <v>23</v>
      </c>
      <c r="I148" t="s">
        <v>35</v>
      </c>
      <c r="J148">
        <v>5</v>
      </c>
      <c r="K148" t="s">
        <v>19</v>
      </c>
      <c r="L148" t="s">
        <v>33</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x14ac:dyDescent="0.3">
      <c r="A149" t="s">
        <v>220</v>
      </c>
      <c r="B149" t="s">
        <v>44</v>
      </c>
      <c r="C149">
        <v>4</v>
      </c>
      <c r="D149">
        <v>15.7</v>
      </c>
      <c r="E149">
        <v>62.8</v>
      </c>
      <c r="F149" s="1">
        <v>45663</v>
      </c>
      <c r="G149" s="1">
        <v>45664</v>
      </c>
      <c r="H149" t="s">
        <v>23</v>
      </c>
      <c r="I149" t="s">
        <v>40</v>
      </c>
      <c r="J149">
        <v>4</v>
      </c>
      <c r="K149" t="s">
        <v>19</v>
      </c>
      <c r="L149" t="s">
        <v>33</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x14ac:dyDescent="0.3">
      <c r="A150" t="s">
        <v>221</v>
      </c>
      <c r="B150" t="s">
        <v>44</v>
      </c>
      <c r="C150">
        <v>1</v>
      </c>
      <c r="D150">
        <v>39.700000000000003</v>
      </c>
      <c r="E150">
        <v>39.700000000000003</v>
      </c>
      <c r="F150" s="1">
        <v>45663</v>
      </c>
      <c r="G150" s="1">
        <v>45667</v>
      </c>
      <c r="H150" t="s">
        <v>23</v>
      </c>
      <c r="I150" t="s">
        <v>18</v>
      </c>
      <c r="J150">
        <v>4</v>
      </c>
      <c r="K150" t="s">
        <v>19</v>
      </c>
      <c r="L150" t="s">
        <v>33</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x14ac:dyDescent="0.3">
      <c r="A151" t="s">
        <v>222</v>
      </c>
      <c r="B151" t="s">
        <v>54</v>
      </c>
      <c r="C151">
        <v>4</v>
      </c>
      <c r="D151">
        <v>31.1</v>
      </c>
      <c r="E151">
        <v>124.4</v>
      </c>
      <c r="F151" s="1">
        <v>45663</v>
      </c>
      <c r="G151" s="1">
        <v>45665</v>
      </c>
      <c r="H151" t="s">
        <v>27</v>
      </c>
      <c r="I151" t="s">
        <v>40</v>
      </c>
      <c r="J151">
        <v>3</v>
      </c>
      <c r="K151" t="s">
        <v>19</v>
      </c>
      <c r="L151" t="s">
        <v>33</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x14ac:dyDescent="0.3">
      <c r="A152" t="s">
        <v>223</v>
      </c>
      <c r="B152" t="s">
        <v>76</v>
      </c>
      <c r="C152">
        <v>15</v>
      </c>
      <c r="D152">
        <v>23.4</v>
      </c>
      <c r="E152">
        <v>351</v>
      </c>
      <c r="F152" s="1">
        <v>45663</v>
      </c>
      <c r="G152" s="1">
        <v>45672</v>
      </c>
      <c r="H152" t="s">
        <v>23</v>
      </c>
      <c r="I152" t="s">
        <v>18</v>
      </c>
      <c r="J152">
        <v>4</v>
      </c>
      <c r="K152" t="s">
        <v>19</v>
      </c>
      <c r="L152" t="s">
        <v>33</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x14ac:dyDescent="0.3">
      <c r="A153" t="s">
        <v>224</v>
      </c>
      <c r="B153" t="s">
        <v>22</v>
      </c>
      <c r="C153">
        <v>4</v>
      </c>
      <c r="D153">
        <v>57.1</v>
      </c>
      <c r="E153">
        <v>228.4</v>
      </c>
      <c r="F153" s="1">
        <v>45664</v>
      </c>
      <c r="G153" s="1">
        <v>45665</v>
      </c>
      <c r="H153" t="s">
        <v>23</v>
      </c>
      <c r="I153" t="s">
        <v>40</v>
      </c>
      <c r="J153">
        <v>4</v>
      </c>
      <c r="K153" t="s">
        <v>19</v>
      </c>
      <c r="L153" t="s">
        <v>188</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x14ac:dyDescent="0.3">
      <c r="A154" t="s">
        <v>225</v>
      </c>
      <c r="B154" t="s">
        <v>26</v>
      </c>
      <c r="C154">
        <v>5</v>
      </c>
      <c r="D154">
        <v>89.9</v>
      </c>
      <c r="E154">
        <v>449.5</v>
      </c>
      <c r="F154" s="1">
        <v>45664</v>
      </c>
      <c r="G154" s="1">
        <v>45664</v>
      </c>
      <c r="H154" t="s">
        <v>27</v>
      </c>
      <c r="I154" t="s">
        <v>18</v>
      </c>
      <c r="J154">
        <v>1</v>
      </c>
      <c r="K154" t="s">
        <v>19</v>
      </c>
      <c r="L154" t="s">
        <v>158</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x14ac:dyDescent="0.3">
      <c r="A155" t="s">
        <v>226</v>
      </c>
      <c r="B155" t="s">
        <v>54</v>
      </c>
      <c r="C155">
        <v>7</v>
      </c>
      <c r="D155">
        <v>48.1</v>
      </c>
      <c r="E155">
        <v>336.7</v>
      </c>
      <c r="F155" s="1">
        <v>45664</v>
      </c>
      <c r="G155" s="1">
        <v>45666</v>
      </c>
      <c r="H155" t="s">
        <v>27</v>
      </c>
      <c r="I155" t="s">
        <v>35</v>
      </c>
      <c r="J155">
        <v>5</v>
      </c>
      <c r="K155" t="s">
        <v>19</v>
      </c>
      <c r="L155" t="s">
        <v>55</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x14ac:dyDescent="0.3">
      <c r="A156" t="s">
        <v>227</v>
      </c>
      <c r="B156" t="s">
        <v>44</v>
      </c>
      <c r="C156">
        <v>2</v>
      </c>
      <c r="D156">
        <v>29.3</v>
      </c>
      <c r="E156">
        <v>58.6</v>
      </c>
      <c r="F156" s="1">
        <v>45664</v>
      </c>
      <c r="G156" s="1">
        <v>45664</v>
      </c>
      <c r="H156" t="s">
        <v>27</v>
      </c>
      <c r="I156" t="s">
        <v>35</v>
      </c>
      <c r="J156">
        <v>3</v>
      </c>
      <c r="K156" t="s">
        <v>19</v>
      </c>
      <c r="L156" t="s">
        <v>55</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x14ac:dyDescent="0.3">
      <c r="A157" t="s">
        <v>228</v>
      </c>
      <c r="B157" t="s">
        <v>44</v>
      </c>
      <c r="C157">
        <v>4</v>
      </c>
      <c r="D157">
        <v>28.8</v>
      </c>
      <c r="E157">
        <v>115.2</v>
      </c>
      <c r="F157" s="1">
        <v>45664</v>
      </c>
      <c r="G157" s="1">
        <v>45665</v>
      </c>
      <c r="H157" t="s">
        <v>27</v>
      </c>
      <c r="I157" t="s">
        <v>18</v>
      </c>
      <c r="J157">
        <v>2</v>
      </c>
      <c r="K157" t="s">
        <v>19</v>
      </c>
      <c r="L157" t="s">
        <v>55</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x14ac:dyDescent="0.3">
      <c r="A158" t="s">
        <v>229</v>
      </c>
      <c r="B158" t="s">
        <v>54</v>
      </c>
      <c r="C158">
        <v>5</v>
      </c>
      <c r="D158">
        <v>40.5</v>
      </c>
      <c r="E158">
        <v>202.5</v>
      </c>
      <c r="F158" s="1">
        <v>45664</v>
      </c>
      <c r="G158" s="1">
        <v>45668</v>
      </c>
      <c r="H158" t="s">
        <v>27</v>
      </c>
      <c r="I158" t="s">
        <v>51</v>
      </c>
      <c r="J158">
        <v>4</v>
      </c>
      <c r="K158" t="s">
        <v>19</v>
      </c>
      <c r="L158" t="s">
        <v>55</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x14ac:dyDescent="0.3">
      <c r="A159" t="s">
        <v>230</v>
      </c>
      <c r="B159" t="s">
        <v>146</v>
      </c>
      <c r="C159">
        <v>14</v>
      </c>
      <c r="D159">
        <v>65.099999999999994</v>
      </c>
      <c r="E159">
        <v>911.39999999999986</v>
      </c>
      <c r="F159" s="1">
        <v>45664</v>
      </c>
      <c r="G159" s="1">
        <v>45665</v>
      </c>
      <c r="H159" t="s">
        <v>27</v>
      </c>
      <c r="I159" t="s">
        <v>70</v>
      </c>
      <c r="J159">
        <v>4</v>
      </c>
      <c r="K159" t="s">
        <v>19</v>
      </c>
      <c r="L159" t="s">
        <v>59</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x14ac:dyDescent="0.3">
      <c r="A160" t="s">
        <v>231</v>
      </c>
      <c r="B160" t="s">
        <v>44</v>
      </c>
      <c r="C160">
        <v>4</v>
      </c>
      <c r="D160">
        <v>40.299999999999997</v>
      </c>
      <c r="E160">
        <v>161.19999999999999</v>
      </c>
      <c r="F160" s="1">
        <v>45664</v>
      </c>
      <c r="G160" s="1">
        <v>45669</v>
      </c>
      <c r="H160" t="s">
        <v>27</v>
      </c>
      <c r="I160" t="s">
        <v>40</v>
      </c>
      <c r="J160">
        <v>4</v>
      </c>
      <c r="K160" t="s">
        <v>19</v>
      </c>
      <c r="L160" t="s">
        <v>59</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x14ac:dyDescent="0.3">
      <c r="A161" t="s">
        <v>232</v>
      </c>
      <c r="B161" t="s">
        <v>39</v>
      </c>
      <c r="C161">
        <v>5</v>
      </c>
      <c r="D161">
        <v>51.8</v>
      </c>
      <c r="E161">
        <v>259</v>
      </c>
      <c r="F161" s="1">
        <v>45664</v>
      </c>
      <c r="G161" s="1">
        <v>45665</v>
      </c>
      <c r="H161" t="s">
        <v>23</v>
      </c>
      <c r="I161" t="s">
        <v>40</v>
      </c>
      <c r="J161">
        <v>5</v>
      </c>
      <c r="K161" t="s">
        <v>19</v>
      </c>
      <c r="L161" t="s">
        <v>62</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x14ac:dyDescent="0.3">
      <c r="A162" t="s">
        <v>233</v>
      </c>
      <c r="B162" t="s">
        <v>39</v>
      </c>
      <c r="C162">
        <v>3</v>
      </c>
      <c r="D162">
        <v>61.3</v>
      </c>
      <c r="E162">
        <v>183.89999999999998</v>
      </c>
      <c r="F162" s="1">
        <v>45664</v>
      </c>
      <c r="G162" s="1">
        <v>45665</v>
      </c>
      <c r="H162" t="s">
        <v>27</v>
      </c>
      <c r="I162" t="s">
        <v>51</v>
      </c>
      <c r="J162">
        <v>4</v>
      </c>
      <c r="K162" t="s">
        <v>19</v>
      </c>
      <c r="L162" t="s">
        <v>62</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x14ac:dyDescent="0.3">
      <c r="A163" t="s">
        <v>234</v>
      </c>
      <c r="B163" t="s">
        <v>26</v>
      </c>
      <c r="C163">
        <v>4</v>
      </c>
      <c r="D163">
        <v>122.5</v>
      </c>
      <c r="E163">
        <v>490</v>
      </c>
      <c r="F163" s="1">
        <v>45664</v>
      </c>
      <c r="G163" s="1">
        <v>45665</v>
      </c>
      <c r="H163" t="s">
        <v>23</v>
      </c>
      <c r="I163" t="s">
        <v>18</v>
      </c>
      <c r="J163">
        <v>4</v>
      </c>
      <c r="K163" t="s">
        <v>19</v>
      </c>
      <c r="L163" t="s">
        <v>62</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x14ac:dyDescent="0.3">
      <c r="A164" t="s">
        <v>235</v>
      </c>
      <c r="B164" t="s">
        <v>16</v>
      </c>
      <c r="C164">
        <v>9</v>
      </c>
      <c r="D164">
        <v>12.5</v>
      </c>
      <c r="E164">
        <v>112.5</v>
      </c>
      <c r="F164" s="1">
        <v>45664</v>
      </c>
      <c r="G164" s="1">
        <v>45665</v>
      </c>
      <c r="H164" t="s">
        <v>17</v>
      </c>
      <c r="I164" t="s">
        <v>35</v>
      </c>
      <c r="J164">
        <v>5</v>
      </c>
      <c r="K164" t="s">
        <v>19</v>
      </c>
      <c r="L164" t="s">
        <v>62</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x14ac:dyDescent="0.3">
      <c r="A165" t="s">
        <v>236</v>
      </c>
      <c r="B165" t="s">
        <v>123</v>
      </c>
      <c r="C165">
        <v>8</v>
      </c>
      <c r="D165">
        <v>37.5</v>
      </c>
      <c r="E165">
        <v>300</v>
      </c>
      <c r="F165" s="1">
        <v>45664</v>
      </c>
      <c r="G165" s="1">
        <v>45665</v>
      </c>
      <c r="H165" t="s">
        <v>27</v>
      </c>
      <c r="I165" t="s">
        <v>18</v>
      </c>
      <c r="J165">
        <v>4</v>
      </c>
      <c r="K165" t="s">
        <v>19</v>
      </c>
      <c r="L165" t="s">
        <v>72</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x14ac:dyDescent="0.3">
      <c r="A166" t="s">
        <v>237</v>
      </c>
      <c r="B166" t="s">
        <v>39</v>
      </c>
      <c r="C166">
        <v>3</v>
      </c>
      <c r="D166">
        <v>40</v>
      </c>
      <c r="E166">
        <v>120</v>
      </c>
      <c r="F166" s="1">
        <v>45664</v>
      </c>
      <c r="G166" s="1">
        <v>45667</v>
      </c>
      <c r="H166" t="s">
        <v>23</v>
      </c>
      <c r="I166" t="s">
        <v>18</v>
      </c>
      <c r="J166">
        <v>2</v>
      </c>
      <c r="K166" t="s">
        <v>19</v>
      </c>
      <c r="L166" t="s">
        <v>77</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x14ac:dyDescent="0.3">
      <c r="A167" t="s">
        <v>238</v>
      </c>
      <c r="B167" t="s">
        <v>135</v>
      </c>
      <c r="C167">
        <v>8</v>
      </c>
      <c r="D167">
        <v>38.5</v>
      </c>
      <c r="E167">
        <v>308</v>
      </c>
      <c r="F167" s="1">
        <v>45664</v>
      </c>
      <c r="G167" s="1">
        <v>45669</v>
      </c>
      <c r="H167" t="s">
        <v>27</v>
      </c>
      <c r="I167" t="s">
        <v>40</v>
      </c>
      <c r="J167">
        <v>3</v>
      </c>
      <c r="K167" t="s">
        <v>19</v>
      </c>
      <c r="L167" t="s">
        <v>77</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x14ac:dyDescent="0.3">
      <c r="A168" t="s">
        <v>239</v>
      </c>
      <c r="B168" t="s">
        <v>26</v>
      </c>
      <c r="C168">
        <v>2</v>
      </c>
      <c r="D168">
        <v>86.4</v>
      </c>
      <c r="E168">
        <v>172.8</v>
      </c>
      <c r="F168" s="1">
        <v>45664</v>
      </c>
      <c r="G168" s="1">
        <v>45666</v>
      </c>
      <c r="H168" t="s">
        <v>27</v>
      </c>
      <c r="I168" t="s">
        <v>18</v>
      </c>
      <c r="J168">
        <v>4</v>
      </c>
      <c r="K168" t="s">
        <v>19</v>
      </c>
      <c r="L168" t="s">
        <v>108</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x14ac:dyDescent="0.3">
      <c r="A169" t="s">
        <v>240</v>
      </c>
      <c r="B169" t="s">
        <v>54</v>
      </c>
      <c r="C169">
        <v>1</v>
      </c>
      <c r="D169">
        <v>50.7</v>
      </c>
      <c r="E169">
        <v>50.7</v>
      </c>
      <c r="F169" s="1">
        <v>45664</v>
      </c>
      <c r="G169" s="1">
        <v>45668</v>
      </c>
      <c r="H169" t="s">
        <v>27</v>
      </c>
      <c r="I169" t="s">
        <v>35</v>
      </c>
      <c r="J169">
        <v>4</v>
      </c>
      <c r="K169" t="s">
        <v>19</v>
      </c>
      <c r="L169" t="s">
        <v>108</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x14ac:dyDescent="0.3">
      <c r="A170" t="s">
        <v>241</v>
      </c>
      <c r="B170" t="s">
        <v>54</v>
      </c>
      <c r="C170">
        <v>2</v>
      </c>
      <c r="D170">
        <v>61</v>
      </c>
      <c r="E170">
        <v>122</v>
      </c>
      <c r="F170" s="1">
        <v>45664</v>
      </c>
      <c r="G170" s="1">
        <v>45675</v>
      </c>
      <c r="H170" t="s">
        <v>27</v>
      </c>
      <c r="I170" t="s">
        <v>70</v>
      </c>
      <c r="J170">
        <v>3</v>
      </c>
      <c r="K170" t="s">
        <v>19</v>
      </c>
      <c r="L170" t="s">
        <v>108</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x14ac:dyDescent="0.3">
      <c r="A171" t="s">
        <v>242</v>
      </c>
      <c r="B171" t="s">
        <v>32</v>
      </c>
      <c r="C171">
        <v>2</v>
      </c>
      <c r="D171">
        <v>19.899999999999999</v>
      </c>
      <c r="E171">
        <v>39.799999999999997</v>
      </c>
      <c r="F171" s="1">
        <v>45664</v>
      </c>
      <c r="G171" s="1">
        <v>45667</v>
      </c>
      <c r="H171" t="s">
        <v>27</v>
      </c>
      <c r="I171" t="s">
        <v>35</v>
      </c>
      <c r="J171">
        <v>4</v>
      </c>
      <c r="K171" t="s">
        <v>19</v>
      </c>
      <c r="L171" t="s">
        <v>243</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x14ac:dyDescent="0.3">
      <c r="A172" t="s">
        <v>244</v>
      </c>
      <c r="B172" t="s">
        <v>37</v>
      </c>
      <c r="C172">
        <v>1</v>
      </c>
      <c r="D172">
        <v>78.3</v>
      </c>
      <c r="E172">
        <v>78.3</v>
      </c>
      <c r="F172" s="1">
        <v>45664</v>
      </c>
      <c r="G172" s="1">
        <v>45664</v>
      </c>
      <c r="H172" t="s">
        <v>27</v>
      </c>
      <c r="I172" t="s">
        <v>18</v>
      </c>
      <c r="J172">
        <v>5</v>
      </c>
      <c r="K172" t="s">
        <v>19</v>
      </c>
      <c r="L172" t="s">
        <v>24</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x14ac:dyDescent="0.3">
      <c r="A173" t="s">
        <v>245</v>
      </c>
      <c r="B173" t="s">
        <v>16</v>
      </c>
      <c r="C173">
        <v>19</v>
      </c>
      <c r="D173">
        <v>10.4</v>
      </c>
      <c r="E173">
        <v>197.6</v>
      </c>
      <c r="F173" s="1">
        <v>45664</v>
      </c>
      <c r="G173" s="1">
        <v>45666</v>
      </c>
      <c r="H173" t="s">
        <v>23</v>
      </c>
      <c r="I173" t="s">
        <v>18</v>
      </c>
      <c r="J173">
        <v>5</v>
      </c>
      <c r="K173" t="s">
        <v>19</v>
      </c>
      <c r="L173" t="s">
        <v>28</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x14ac:dyDescent="0.3">
      <c r="A174" t="s">
        <v>246</v>
      </c>
      <c r="B174" t="s">
        <v>54</v>
      </c>
      <c r="C174">
        <v>1</v>
      </c>
      <c r="D174">
        <v>36.1</v>
      </c>
      <c r="E174">
        <v>36.1</v>
      </c>
      <c r="F174" s="1">
        <v>45664</v>
      </c>
      <c r="G174" s="1">
        <v>45667</v>
      </c>
      <c r="H174" t="s">
        <v>23</v>
      </c>
      <c r="I174" t="s">
        <v>51</v>
      </c>
      <c r="J174">
        <v>5</v>
      </c>
      <c r="K174" t="s">
        <v>19</v>
      </c>
      <c r="L174" t="s">
        <v>33</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x14ac:dyDescent="0.3">
      <c r="A175" t="s">
        <v>247</v>
      </c>
      <c r="B175" t="s">
        <v>81</v>
      </c>
      <c r="C175">
        <v>2</v>
      </c>
      <c r="D175">
        <v>17.3</v>
      </c>
      <c r="E175">
        <v>34.6</v>
      </c>
      <c r="F175" s="1">
        <v>45664</v>
      </c>
      <c r="G175" s="1">
        <v>45666</v>
      </c>
      <c r="H175" t="s">
        <v>27</v>
      </c>
      <c r="I175" t="s">
        <v>35</v>
      </c>
      <c r="J175">
        <v>5</v>
      </c>
      <c r="K175" t="s">
        <v>19</v>
      </c>
      <c r="L175" t="s">
        <v>33</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x14ac:dyDescent="0.3">
      <c r="A176" t="s">
        <v>248</v>
      </c>
      <c r="B176" t="s">
        <v>54</v>
      </c>
      <c r="C176">
        <v>2</v>
      </c>
      <c r="D176">
        <v>30.5</v>
      </c>
      <c r="E176">
        <v>61</v>
      </c>
      <c r="F176" s="1">
        <v>45664</v>
      </c>
      <c r="G176" s="1">
        <v>45665</v>
      </c>
      <c r="H176" t="s">
        <v>27</v>
      </c>
      <c r="I176" t="s">
        <v>35</v>
      </c>
      <c r="J176">
        <v>5</v>
      </c>
      <c r="K176" t="s">
        <v>19</v>
      </c>
      <c r="L176" t="s">
        <v>33</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x14ac:dyDescent="0.3">
      <c r="A177" t="s">
        <v>249</v>
      </c>
      <c r="B177" t="s">
        <v>146</v>
      </c>
      <c r="C177">
        <v>62</v>
      </c>
      <c r="D177">
        <v>70.099999999999994</v>
      </c>
      <c r="E177">
        <v>4346.2</v>
      </c>
      <c r="F177" s="1">
        <v>45664</v>
      </c>
      <c r="G177" s="1">
        <v>45664</v>
      </c>
      <c r="H177" t="s">
        <v>27</v>
      </c>
      <c r="I177" t="s">
        <v>40</v>
      </c>
      <c r="J177">
        <v>4</v>
      </c>
      <c r="K177" t="s">
        <v>19</v>
      </c>
      <c r="L177" t="s">
        <v>33</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x14ac:dyDescent="0.3">
      <c r="A178" t="s">
        <v>250</v>
      </c>
      <c r="B178" t="s">
        <v>30</v>
      </c>
      <c r="C178">
        <v>1</v>
      </c>
      <c r="D178">
        <v>76.099999999999994</v>
      </c>
      <c r="E178">
        <v>76.099999999999994</v>
      </c>
      <c r="F178" s="1">
        <v>45664</v>
      </c>
      <c r="G178" s="1">
        <v>45664</v>
      </c>
      <c r="H178" t="s">
        <v>27</v>
      </c>
      <c r="I178" t="s">
        <v>40</v>
      </c>
      <c r="J178">
        <v>3</v>
      </c>
      <c r="K178" t="s">
        <v>19</v>
      </c>
      <c r="L178" t="s">
        <v>33</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x14ac:dyDescent="0.3">
      <c r="A179" t="s">
        <v>251</v>
      </c>
      <c r="B179" t="s">
        <v>123</v>
      </c>
      <c r="C179">
        <v>13</v>
      </c>
      <c r="D179">
        <v>34.200000000000003</v>
      </c>
      <c r="E179">
        <v>444.6</v>
      </c>
      <c r="F179" s="1">
        <v>45664</v>
      </c>
      <c r="G179" s="1">
        <v>45665</v>
      </c>
      <c r="H179" t="s">
        <v>23</v>
      </c>
      <c r="I179" t="s">
        <v>18</v>
      </c>
      <c r="J179">
        <v>4</v>
      </c>
      <c r="K179" t="s">
        <v>19</v>
      </c>
      <c r="L179" t="s">
        <v>33</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x14ac:dyDescent="0.3">
      <c r="A180" t="s">
        <v>252</v>
      </c>
      <c r="B180" t="s">
        <v>44</v>
      </c>
      <c r="C180">
        <v>5</v>
      </c>
      <c r="D180">
        <v>30.3</v>
      </c>
      <c r="E180">
        <v>151.5</v>
      </c>
      <c r="F180" s="1">
        <v>45664</v>
      </c>
      <c r="G180" s="1">
        <v>45669</v>
      </c>
      <c r="H180" t="s">
        <v>27</v>
      </c>
      <c r="I180" t="s">
        <v>70</v>
      </c>
      <c r="J180">
        <v>4</v>
      </c>
      <c r="K180" t="s">
        <v>19</v>
      </c>
      <c r="L180" t="s">
        <v>33</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x14ac:dyDescent="0.3">
      <c r="A181" t="s">
        <v>253</v>
      </c>
      <c r="B181" t="s">
        <v>39</v>
      </c>
      <c r="C181">
        <v>5</v>
      </c>
      <c r="D181">
        <v>52.5</v>
      </c>
      <c r="E181">
        <v>262.5</v>
      </c>
      <c r="F181" s="1">
        <v>45664</v>
      </c>
      <c r="G181" s="1">
        <v>45668</v>
      </c>
      <c r="H181" t="s">
        <v>17</v>
      </c>
      <c r="I181" t="s">
        <v>51</v>
      </c>
      <c r="J181">
        <v>4</v>
      </c>
      <c r="K181" t="s">
        <v>19</v>
      </c>
      <c r="L181" t="s">
        <v>33</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x14ac:dyDescent="0.3">
      <c r="A182" t="s">
        <v>254</v>
      </c>
      <c r="B182" t="s">
        <v>46</v>
      </c>
      <c r="C182">
        <v>11</v>
      </c>
      <c r="D182">
        <v>28.7</v>
      </c>
      <c r="E182">
        <v>315.7</v>
      </c>
      <c r="F182" s="1">
        <v>45664</v>
      </c>
      <c r="G182" s="1">
        <v>45665</v>
      </c>
      <c r="H182" t="s">
        <v>27</v>
      </c>
      <c r="I182" t="s">
        <v>40</v>
      </c>
      <c r="J182">
        <v>4</v>
      </c>
      <c r="K182" t="s">
        <v>19</v>
      </c>
      <c r="L182" t="s">
        <v>33</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x14ac:dyDescent="0.3">
      <c r="A183" t="s">
        <v>255</v>
      </c>
      <c r="B183" t="s">
        <v>42</v>
      </c>
      <c r="C183">
        <v>7</v>
      </c>
      <c r="D183">
        <v>52</v>
      </c>
      <c r="E183">
        <v>364</v>
      </c>
      <c r="F183" s="1">
        <v>45664</v>
      </c>
      <c r="G183" s="1">
        <v>45665</v>
      </c>
      <c r="H183" t="s">
        <v>23</v>
      </c>
      <c r="I183" t="s">
        <v>35</v>
      </c>
      <c r="J183">
        <v>2</v>
      </c>
      <c r="K183" t="s">
        <v>19</v>
      </c>
      <c r="L183" t="s">
        <v>33</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x14ac:dyDescent="0.3">
      <c r="A184" t="s">
        <v>256</v>
      </c>
      <c r="B184" t="s">
        <v>16</v>
      </c>
      <c r="C184">
        <v>1</v>
      </c>
      <c r="D184">
        <v>13.3</v>
      </c>
      <c r="E184">
        <v>13.3</v>
      </c>
      <c r="F184" s="1">
        <v>45665</v>
      </c>
      <c r="G184" s="1">
        <v>45669</v>
      </c>
      <c r="H184" t="s">
        <v>27</v>
      </c>
      <c r="I184" t="s">
        <v>40</v>
      </c>
      <c r="J184">
        <v>3</v>
      </c>
      <c r="K184" t="s">
        <v>19</v>
      </c>
      <c r="L184" t="s">
        <v>33</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x14ac:dyDescent="0.3">
      <c r="A185" t="s">
        <v>257</v>
      </c>
      <c r="B185" t="s">
        <v>16</v>
      </c>
      <c r="C185">
        <v>3</v>
      </c>
      <c r="D185">
        <v>15.7</v>
      </c>
      <c r="E185">
        <v>47.099999999999994</v>
      </c>
      <c r="F185" s="1">
        <v>45665</v>
      </c>
      <c r="G185" s="1">
        <v>45666</v>
      </c>
      <c r="H185" t="s">
        <v>27</v>
      </c>
      <c r="I185" t="s">
        <v>35</v>
      </c>
      <c r="J185">
        <v>4</v>
      </c>
      <c r="K185" t="s">
        <v>19</v>
      </c>
      <c r="L185" t="s">
        <v>258</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x14ac:dyDescent="0.3">
      <c r="A186" t="s">
        <v>259</v>
      </c>
      <c r="B186" t="s">
        <v>44</v>
      </c>
      <c r="C186">
        <v>2</v>
      </c>
      <c r="D186">
        <v>25.6</v>
      </c>
      <c r="E186">
        <v>51.2</v>
      </c>
      <c r="F186" s="1">
        <v>45665</v>
      </c>
      <c r="G186" s="1">
        <v>45666</v>
      </c>
      <c r="H186" t="s">
        <v>23</v>
      </c>
      <c r="I186" t="s">
        <v>18</v>
      </c>
      <c r="J186">
        <v>5</v>
      </c>
      <c r="K186" t="s">
        <v>19</v>
      </c>
      <c r="L186" t="s">
        <v>158</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x14ac:dyDescent="0.3">
      <c r="A187" t="s">
        <v>260</v>
      </c>
      <c r="B187" t="s">
        <v>44</v>
      </c>
      <c r="C187">
        <v>1</v>
      </c>
      <c r="D187">
        <v>43.4</v>
      </c>
      <c r="E187">
        <v>43.4</v>
      </c>
      <c r="F187" s="1">
        <v>45665</v>
      </c>
      <c r="G187" s="1">
        <v>45670</v>
      </c>
      <c r="H187" t="s">
        <v>23</v>
      </c>
      <c r="I187" t="s">
        <v>18</v>
      </c>
      <c r="J187">
        <v>4</v>
      </c>
      <c r="K187" t="s">
        <v>19</v>
      </c>
      <c r="L187" t="s">
        <v>55</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x14ac:dyDescent="0.3">
      <c r="A188" t="s">
        <v>261</v>
      </c>
      <c r="B188" t="s">
        <v>67</v>
      </c>
      <c r="C188">
        <v>9</v>
      </c>
      <c r="D188">
        <v>33.4</v>
      </c>
      <c r="E188">
        <v>300.59999999999997</v>
      </c>
      <c r="F188" s="1">
        <v>45665</v>
      </c>
      <c r="G188" s="1">
        <v>45665</v>
      </c>
      <c r="H188" t="s">
        <v>27</v>
      </c>
      <c r="I188" t="s">
        <v>18</v>
      </c>
      <c r="J188">
        <v>4</v>
      </c>
      <c r="K188" t="s">
        <v>19</v>
      </c>
      <c r="L188" t="s">
        <v>62</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x14ac:dyDescent="0.3">
      <c r="A189" t="s">
        <v>262</v>
      </c>
      <c r="B189" t="s">
        <v>44</v>
      </c>
      <c r="C189">
        <v>19</v>
      </c>
      <c r="D189">
        <v>55</v>
      </c>
      <c r="E189">
        <v>1045</v>
      </c>
      <c r="F189" s="1">
        <v>45665</v>
      </c>
      <c r="G189" s="1">
        <v>45666</v>
      </c>
      <c r="H189" t="s">
        <v>27</v>
      </c>
      <c r="I189" t="s">
        <v>35</v>
      </c>
      <c r="J189">
        <v>5</v>
      </c>
      <c r="K189" t="s">
        <v>19</v>
      </c>
      <c r="L189" t="s">
        <v>62</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x14ac:dyDescent="0.3">
      <c r="A190" t="s">
        <v>263</v>
      </c>
      <c r="B190" t="s">
        <v>44</v>
      </c>
      <c r="C190">
        <v>3</v>
      </c>
      <c r="D190">
        <v>23.6</v>
      </c>
      <c r="E190">
        <v>70.800000000000011</v>
      </c>
      <c r="F190" s="1">
        <v>45665</v>
      </c>
      <c r="G190" s="1">
        <v>45666</v>
      </c>
      <c r="H190" t="s">
        <v>23</v>
      </c>
      <c r="I190" t="s">
        <v>18</v>
      </c>
      <c r="J190">
        <v>5</v>
      </c>
      <c r="K190" t="s">
        <v>19</v>
      </c>
      <c r="L190" t="s">
        <v>62</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x14ac:dyDescent="0.3">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x14ac:dyDescent="0.3">
      <c r="A192" t="s">
        <v>265</v>
      </c>
      <c r="B192" t="s">
        <v>39</v>
      </c>
      <c r="C192">
        <v>2</v>
      </c>
      <c r="D192">
        <v>51.8</v>
      </c>
      <c r="E192">
        <v>103.6</v>
      </c>
      <c r="F192" s="1">
        <v>45665</v>
      </c>
      <c r="G192" s="1">
        <v>45669</v>
      </c>
      <c r="H192" t="s">
        <v>17</v>
      </c>
      <c r="I192" t="s">
        <v>18</v>
      </c>
      <c r="J192">
        <v>5</v>
      </c>
      <c r="K192" t="s">
        <v>19</v>
      </c>
      <c r="L192" t="s">
        <v>74</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x14ac:dyDescent="0.3">
      <c r="A193" t="s">
        <v>266</v>
      </c>
      <c r="B193" t="s">
        <v>54</v>
      </c>
      <c r="C193">
        <v>5</v>
      </c>
      <c r="D193">
        <v>34.5</v>
      </c>
      <c r="E193">
        <v>172.5</v>
      </c>
      <c r="F193" s="1">
        <v>45665</v>
      </c>
      <c r="G193" s="1">
        <v>45667</v>
      </c>
      <c r="H193" t="s">
        <v>17</v>
      </c>
      <c r="I193" t="s">
        <v>40</v>
      </c>
      <c r="J193">
        <v>5</v>
      </c>
      <c r="K193" t="s">
        <v>19</v>
      </c>
      <c r="L193" t="s">
        <v>77</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x14ac:dyDescent="0.3">
      <c r="A194" t="s">
        <v>267</v>
      </c>
      <c r="B194" t="s">
        <v>39</v>
      </c>
      <c r="C194">
        <v>2</v>
      </c>
      <c r="D194">
        <v>51.8</v>
      </c>
      <c r="E194">
        <v>103.6</v>
      </c>
      <c r="F194" s="1">
        <v>45665</v>
      </c>
      <c r="G194" s="1">
        <v>45667</v>
      </c>
      <c r="H194" t="s">
        <v>23</v>
      </c>
      <c r="I194" t="s">
        <v>35</v>
      </c>
      <c r="J194">
        <v>5</v>
      </c>
      <c r="K194" t="s">
        <v>19</v>
      </c>
      <c r="L194" t="s">
        <v>268</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x14ac:dyDescent="0.3">
      <c r="A195" t="s">
        <v>269</v>
      </c>
      <c r="B195" t="s">
        <v>146</v>
      </c>
      <c r="C195">
        <v>43</v>
      </c>
      <c r="D195">
        <v>131.5</v>
      </c>
      <c r="E195">
        <v>5654.5</v>
      </c>
      <c r="F195" s="1">
        <v>45665</v>
      </c>
      <c r="G195" s="1">
        <v>45666</v>
      </c>
      <c r="H195" t="s">
        <v>27</v>
      </c>
      <c r="I195" t="s">
        <v>18</v>
      </c>
      <c r="J195">
        <v>5</v>
      </c>
      <c r="K195" t="s">
        <v>19</v>
      </c>
      <c r="L195" t="s">
        <v>108</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x14ac:dyDescent="0.3">
      <c r="A196" t="s">
        <v>270</v>
      </c>
      <c r="B196" t="s">
        <v>44</v>
      </c>
      <c r="C196">
        <v>7</v>
      </c>
      <c r="D196">
        <v>47.8</v>
      </c>
      <c r="E196">
        <v>334.59999999999997</v>
      </c>
      <c r="F196" s="1">
        <v>45665</v>
      </c>
      <c r="G196" s="1">
        <v>45665</v>
      </c>
      <c r="H196" t="s">
        <v>27</v>
      </c>
      <c r="I196" t="s">
        <v>18</v>
      </c>
      <c r="J196">
        <v>4</v>
      </c>
      <c r="K196" t="s">
        <v>19</v>
      </c>
      <c r="L196" t="s">
        <v>110</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x14ac:dyDescent="0.3">
      <c r="A197" t="s">
        <v>271</v>
      </c>
      <c r="B197" t="s">
        <v>16</v>
      </c>
      <c r="C197">
        <v>2</v>
      </c>
      <c r="D197">
        <v>10.199999999999999</v>
      </c>
      <c r="E197">
        <v>20.399999999999999</v>
      </c>
      <c r="F197" s="1">
        <v>45665</v>
      </c>
      <c r="G197" s="1">
        <v>45667</v>
      </c>
      <c r="H197" t="s">
        <v>27</v>
      </c>
      <c r="I197" t="s">
        <v>18</v>
      </c>
      <c r="J197">
        <v>4</v>
      </c>
      <c r="K197" t="s">
        <v>19</v>
      </c>
      <c r="L197" t="s">
        <v>110</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x14ac:dyDescent="0.3">
      <c r="A198" t="s">
        <v>272</v>
      </c>
      <c r="B198" t="s">
        <v>44</v>
      </c>
      <c r="C198">
        <v>8</v>
      </c>
      <c r="D198">
        <v>41</v>
      </c>
      <c r="E198">
        <v>328</v>
      </c>
      <c r="F198" s="1">
        <v>45665</v>
      </c>
      <c r="G198" s="1">
        <v>45665</v>
      </c>
      <c r="H198" t="s">
        <v>27</v>
      </c>
      <c r="I198" t="s">
        <v>35</v>
      </c>
      <c r="J198">
        <v>5</v>
      </c>
      <c r="K198" t="s">
        <v>19</v>
      </c>
      <c r="L198" t="s">
        <v>110</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x14ac:dyDescent="0.3">
      <c r="A199" t="s">
        <v>273</v>
      </c>
      <c r="B199" t="s">
        <v>54</v>
      </c>
      <c r="C199">
        <v>7</v>
      </c>
      <c r="D199">
        <v>50.8</v>
      </c>
      <c r="E199">
        <v>355.59999999999997</v>
      </c>
      <c r="F199" s="1">
        <v>45665</v>
      </c>
      <c r="G199" s="1">
        <v>45668</v>
      </c>
      <c r="H199" t="s">
        <v>27</v>
      </c>
      <c r="I199" t="s">
        <v>35</v>
      </c>
      <c r="J199">
        <v>4</v>
      </c>
      <c r="K199" t="s">
        <v>19</v>
      </c>
      <c r="L199" t="s">
        <v>115</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x14ac:dyDescent="0.3">
      <c r="A200" t="s">
        <v>274</v>
      </c>
      <c r="B200" t="s">
        <v>146</v>
      </c>
      <c r="C200">
        <v>3</v>
      </c>
      <c r="D200">
        <v>39.6</v>
      </c>
      <c r="E200">
        <v>118.80000000000001</v>
      </c>
      <c r="F200" s="1">
        <v>45665</v>
      </c>
      <c r="G200" s="1">
        <v>45666</v>
      </c>
      <c r="H200" t="s">
        <v>23</v>
      </c>
      <c r="I200" t="s">
        <v>40</v>
      </c>
      <c r="J200">
        <v>5</v>
      </c>
      <c r="K200" t="s">
        <v>19</v>
      </c>
      <c r="L200" t="s">
        <v>24</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x14ac:dyDescent="0.3">
      <c r="A201" t="s">
        <v>275</v>
      </c>
      <c r="B201" t="s">
        <v>37</v>
      </c>
      <c r="C201">
        <v>2</v>
      </c>
      <c r="D201">
        <v>69.5</v>
      </c>
      <c r="E201">
        <v>139</v>
      </c>
      <c r="F201" s="1">
        <v>45665</v>
      </c>
      <c r="G201" s="1">
        <v>45667</v>
      </c>
      <c r="H201" t="s">
        <v>23</v>
      </c>
      <c r="I201" t="s">
        <v>18</v>
      </c>
      <c r="J201">
        <v>5</v>
      </c>
      <c r="K201" t="s">
        <v>19</v>
      </c>
      <c r="L201" t="s">
        <v>28</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x14ac:dyDescent="0.3">
      <c r="A202" t="s">
        <v>276</v>
      </c>
      <c r="B202" t="s">
        <v>44</v>
      </c>
      <c r="C202">
        <v>8</v>
      </c>
      <c r="D202">
        <v>32.6</v>
      </c>
      <c r="E202">
        <v>260.8</v>
      </c>
      <c r="F202" s="1">
        <v>45665</v>
      </c>
      <c r="G202" s="1">
        <v>45668</v>
      </c>
      <c r="H202" t="s">
        <v>23</v>
      </c>
      <c r="I202" t="s">
        <v>35</v>
      </c>
      <c r="J202">
        <v>4</v>
      </c>
      <c r="K202" t="s">
        <v>19</v>
      </c>
      <c r="L202" t="s">
        <v>33</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x14ac:dyDescent="0.3">
      <c r="A203" t="s">
        <v>277</v>
      </c>
      <c r="B203" t="s">
        <v>42</v>
      </c>
      <c r="C203">
        <v>2</v>
      </c>
      <c r="D203">
        <v>49.1</v>
      </c>
      <c r="E203">
        <v>98.2</v>
      </c>
      <c r="F203" s="1">
        <v>45665</v>
      </c>
      <c r="G203" s="1">
        <v>45673</v>
      </c>
      <c r="H203" t="s">
        <v>23</v>
      </c>
      <c r="I203" t="s">
        <v>51</v>
      </c>
      <c r="J203">
        <v>5</v>
      </c>
      <c r="K203" t="s">
        <v>19</v>
      </c>
      <c r="L203" t="s">
        <v>33</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x14ac:dyDescent="0.3">
      <c r="A204" t="s">
        <v>278</v>
      </c>
      <c r="B204" t="s">
        <v>39</v>
      </c>
      <c r="C204">
        <v>2</v>
      </c>
      <c r="D204">
        <v>49.4</v>
      </c>
      <c r="E204">
        <v>98.8</v>
      </c>
      <c r="F204" s="1">
        <v>45666</v>
      </c>
      <c r="G204" s="1">
        <v>45667</v>
      </c>
      <c r="H204" t="s">
        <v>27</v>
      </c>
      <c r="I204" t="s">
        <v>40</v>
      </c>
      <c r="J204">
        <v>4</v>
      </c>
      <c r="K204" t="s">
        <v>19</v>
      </c>
      <c r="L204" t="s">
        <v>33</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x14ac:dyDescent="0.3">
      <c r="A205" t="s">
        <v>279</v>
      </c>
      <c r="B205" t="s">
        <v>42</v>
      </c>
      <c r="C205">
        <v>7</v>
      </c>
      <c r="D205">
        <v>65.099999999999994</v>
      </c>
      <c r="E205">
        <v>455.69999999999993</v>
      </c>
      <c r="F205" s="1">
        <v>45666</v>
      </c>
      <c r="G205" s="1">
        <v>45669</v>
      </c>
      <c r="H205" t="s">
        <v>27</v>
      </c>
      <c r="I205" t="s">
        <v>40</v>
      </c>
      <c r="J205">
        <v>5</v>
      </c>
      <c r="K205" t="s">
        <v>19</v>
      </c>
      <c r="L205" t="s">
        <v>33</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x14ac:dyDescent="0.3">
      <c r="A206" t="s">
        <v>280</v>
      </c>
      <c r="B206" t="s">
        <v>30</v>
      </c>
      <c r="C206">
        <v>2</v>
      </c>
      <c r="D206">
        <v>52.1</v>
      </c>
      <c r="E206">
        <v>104.2</v>
      </c>
      <c r="F206" s="1">
        <v>45666</v>
      </c>
      <c r="G206" s="1">
        <v>45670</v>
      </c>
      <c r="H206" t="s">
        <v>27</v>
      </c>
      <c r="I206" t="s">
        <v>40</v>
      </c>
      <c r="J206">
        <v>4</v>
      </c>
      <c r="K206" t="s">
        <v>19</v>
      </c>
      <c r="L206" t="s">
        <v>33</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x14ac:dyDescent="0.3">
      <c r="A207" t="s">
        <v>281</v>
      </c>
      <c r="B207" t="s">
        <v>26</v>
      </c>
      <c r="C207">
        <v>4</v>
      </c>
      <c r="D207">
        <v>129.19999999999999</v>
      </c>
      <c r="E207">
        <v>516.79999999999995</v>
      </c>
      <c r="F207" s="1">
        <v>45666</v>
      </c>
      <c r="G207" s="1">
        <v>45667</v>
      </c>
      <c r="H207" t="s">
        <v>27</v>
      </c>
      <c r="I207" t="s">
        <v>35</v>
      </c>
      <c r="J207">
        <v>4</v>
      </c>
      <c r="K207" t="s">
        <v>19</v>
      </c>
      <c r="L207" t="s">
        <v>33</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x14ac:dyDescent="0.3">
      <c r="A208" t="s">
        <v>282</v>
      </c>
      <c r="B208" t="s">
        <v>22</v>
      </c>
      <c r="C208">
        <v>19</v>
      </c>
      <c r="D208">
        <v>81.8</v>
      </c>
      <c r="E208">
        <v>1554.2</v>
      </c>
      <c r="F208" s="1">
        <v>45666</v>
      </c>
      <c r="G208" s="1">
        <v>45666</v>
      </c>
      <c r="H208" t="s">
        <v>27</v>
      </c>
      <c r="I208" t="s">
        <v>35</v>
      </c>
      <c r="J208">
        <v>3</v>
      </c>
      <c r="K208" t="s">
        <v>19</v>
      </c>
      <c r="L208" t="s">
        <v>33</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x14ac:dyDescent="0.3">
      <c r="A209" t="s">
        <v>283</v>
      </c>
      <c r="B209" t="s">
        <v>135</v>
      </c>
      <c r="C209">
        <v>1</v>
      </c>
      <c r="D209">
        <v>24.9</v>
      </c>
      <c r="E209">
        <v>24.9</v>
      </c>
      <c r="F209" s="1">
        <v>45666</v>
      </c>
      <c r="G209" s="1">
        <v>45670</v>
      </c>
      <c r="H209" t="s">
        <v>27</v>
      </c>
      <c r="I209" t="s">
        <v>35</v>
      </c>
      <c r="J209">
        <v>4</v>
      </c>
      <c r="K209" t="s">
        <v>19</v>
      </c>
      <c r="L209" t="s">
        <v>33</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x14ac:dyDescent="0.3">
      <c r="A210" t="s">
        <v>284</v>
      </c>
      <c r="B210" t="s">
        <v>16</v>
      </c>
      <c r="C210">
        <v>3</v>
      </c>
      <c r="D210">
        <v>49.4</v>
      </c>
      <c r="E210">
        <v>148.19999999999999</v>
      </c>
      <c r="F210" s="1">
        <v>45666</v>
      </c>
      <c r="G210" s="1">
        <v>45669</v>
      </c>
      <c r="H210" t="s">
        <v>27</v>
      </c>
      <c r="I210" t="s">
        <v>70</v>
      </c>
      <c r="J210">
        <v>2</v>
      </c>
      <c r="K210" t="s">
        <v>19</v>
      </c>
      <c r="L210" t="s">
        <v>33</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x14ac:dyDescent="0.3">
      <c r="A211" t="s">
        <v>285</v>
      </c>
      <c r="B211" t="s">
        <v>44</v>
      </c>
      <c r="C211">
        <v>2</v>
      </c>
      <c r="D211">
        <v>22.7</v>
      </c>
      <c r="E211">
        <v>45.4</v>
      </c>
      <c r="F211" s="1">
        <v>45666</v>
      </c>
      <c r="G211" s="1">
        <v>45667</v>
      </c>
      <c r="H211" t="s">
        <v>23</v>
      </c>
      <c r="I211" t="s">
        <v>51</v>
      </c>
      <c r="J211">
        <v>5</v>
      </c>
      <c r="K211" t="s">
        <v>19</v>
      </c>
      <c r="L211" t="s">
        <v>33</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x14ac:dyDescent="0.3">
      <c r="A212" t="s">
        <v>286</v>
      </c>
      <c r="B212" t="s">
        <v>22</v>
      </c>
      <c r="C212">
        <v>1</v>
      </c>
      <c r="D212">
        <v>77.3</v>
      </c>
      <c r="E212">
        <v>77.3</v>
      </c>
      <c r="F212" s="1">
        <v>45666</v>
      </c>
      <c r="G212" s="1">
        <v>45666</v>
      </c>
      <c r="H212" t="s">
        <v>27</v>
      </c>
      <c r="I212" t="s">
        <v>18</v>
      </c>
      <c r="J212">
        <v>5</v>
      </c>
      <c r="K212" t="s">
        <v>19</v>
      </c>
      <c r="L212" t="s">
        <v>55</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x14ac:dyDescent="0.3">
      <c r="A213" t="s">
        <v>287</v>
      </c>
      <c r="B213" t="s">
        <v>22</v>
      </c>
      <c r="C213">
        <v>5</v>
      </c>
      <c r="D213">
        <v>109.1</v>
      </c>
      <c r="E213">
        <v>545.5</v>
      </c>
      <c r="F213" s="1">
        <v>45666</v>
      </c>
      <c r="G213" s="1">
        <v>45669</v>
      </c>
      <c r="H213" t="s">
        <v>27</v>
      </c>
      <c r="I213" t="s">
        <v>18</v>
      </c>
      <c r="J213">
        <v>4</v>
      </c>
      <c r="K213" t="s">
        <v>19</v>
      </c>
      <c r="L213" t="s">
        <v>55</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x14ac:dyDescent="0.3">
      <c r="A214" t="s">
        <v>288</v>
      </c>
      <c r="B214" t="s">
        <v>26</v>
      </c>
      <c r="C214">
        <v>4</v>
      </c>
      <c r="D214">
        <v>53.9</v>
      </c>
      <c r="E214">
        <v>215.6</v>
      </c>
      <c r="F214" s="1">
        <v>45666</v>
      </c>
      <c r="G214" s="1">
        <v>45667</v>
      </c>
      <c r="H214" t="s">
        <v>23</v>
      </c>
      <c r="I214" t="s">
        <v>18</v>
      </c>
      <c r="J214">
        <v>3</v>
      </c>
      <c r="K214" t="s">
        <v>19</v>
      </c>
      <c r="L214" t="s">
        <v>62</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x14ac:dyDescent="0.3">
      <c r="A215" t="s">
        <v>289</v>
      </c>
      <c r="B215" t="s">
        <v>46</v>
      </c>
      <c r="C215">
        <v>26</v>
      </c>
      <c r="D215">
        <v>21.2</v>
      </c>
      <c r="E215">
        <v>551.19999999999993</v>
      </c>
      <c r="F215" s="1">
        <v>45666</v>
      </c>
      <c r="G215" s="1">
        <v>45666</v>
      </c>
      <c r="H215" t="s">
        <v>27</v>
      </c>
      <c r="I215" t="s">
        <v>18</v>
      </c>
      <c r="J215">
        <v>4</v>
      </c>
      <c r="K215" t="s">
        <v>19</v>
      </c>
      <c r="L215" t="s">
        <v>72</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x14ac:dyDescent="0.3">
      <c r="A216" t="s">
        <v>290</v>
      </c>
      <c r="B216" t="s">
        <v>128</v>
      </c>
      <c r="C216">
        <v>4</v>
      </c>
      <c r="D216">
        <v>69</v>
      </c>
      <c r="E216">
        <v>276</v>
      </c>
      <c r="F216" s="1">
        <v>45666</v>
      </c>
      <c r="G216" s="1">
        <v>45668</v>
      </c>
      <c r="H216" t="s">
        <v>27</v>
      </c>
      <c r="I216" t="s">
        <v>35</v>
      </c>
      <c r="J216">
        <v>3</v>
      </c>
      <c r="K216" t="s">
        <v>19</v>
      </c>
      <c r="L216" t="s">
        <v>108</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x14ac:dyDescent="0.3">
      <c r="A217" t="s">
        <v>291</v>
      </c>
      <c r="B217" t="s">
        <v>39</v>
      </c>
      <c r="C217">
        <v>3</v>
      </c>
      <c r="D217">
        <v>46.2</v>
      </c>
      <c r="E217">
        <v>138.60000000000002</v>
      </c>
      <c r="F217" s="1">
        <v>45666</v>
      </c>
      <c r="G217" s="1">
        <v>45668</v>
      </c>
      <c r="H217" t="s">
        <v>27</v>
      </c>
      <c r="I217" t="s">
        <v>18</v>
      </c>
      <c r="J217">
        <v>5</v>
      </c>
      <c r="K217" t="s">
        <v>19</v>
      </c>
      <c r="L217" t="s">
        <v>292</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x14ac:dyDescent="0.3">
      <c r="A218" t="s">
        <v>293</v>
      </c>
      <c r="B218" t="s">
        <v>22</v>
      </c>
      <c r="C218">
        <v>5</v>
      </c>
      <c r="D218">
        <v>97.4</v>
      </c>
      <c r="E218">
        <v>487</v>
      </c>
      <c r="F218" s="1">
        <v>45666</v>
      </c>
      <c r="G218" s="1">
        <v>45670</v>
      </c>
      <c r="H218" t="s">
        <v>27</v>
      </c>
      <c r="I218" t="s">
        <v>70</v>
      </c>
      <c r="J218">
        <v>5</v>
      </c>
      <c r="K218" t="s">
        <v>19</v>
      </c>
      <c r="L218" t="s">
        <v>115</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x14ac:dyDescent="0.3">
      <c r="A219" t="s">
        <v>294</v>
      </c>
      <c r="B219" t="s">
        <v>44</v>
      </c>
      <c r="C219">
        <v>5</v>
      </c>
      <c r="D219">
        <v>21</v>
      </c>
      <c r="E219">
        <v>105</v>
      </c>
      <c r="F219" s="1">
        <v>45666</v>
      </c>
      <c r="G219" s="1">
        <v>45667</v>
      </c>
      <c r="H219" t="s">
        <v>23</v>
      </c>
      <c r="I219" t="s">
        <v>18</v>
      </c>
      <c r="J219">
        <v>3</v>
      </c>
      <c r="K219" t="s">
        <v>19</v>
      </c>
      <c r="L219" t="s">
        <v>115</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x14ac:dyDescent="0.3">
      <c r="A220" t="s">
        <v>295</v>
      </c>
      <c r="B220" t="s">
        <v>37</v>
      </c>
      <c r="C220">
        <v>2</v>
      </c>
      <c r="D220">
        <v>32.700000000000003</v>
      </c>
      <c r="E220">
        <v>65.400000000000006</v>
      </c>
      <c r="F220" s="1">
        <v>45667</v>
      </c>
      <c r="G220" s="1">
        <v>45670</v>
      </c>
      <c r="H220" t="s">
        <v>27</v>
      </c>
      <c r="I220" t="s">
        <v>35</v>
      </c>
      <c r="J220">
        <v>4</v>
      </c>
      <c r="K220" t="s">
        <v>19</v>
      </c>
      <c r="L220" t="s">
        <v>28</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x14ac:dyDescent="0.3">
      <c r="A221" t="s">
        <v>296</v>
      </c>
      <c r="B221" t="s">
        <v>39</v>
      </c>
      <c r="C221">
        <v>4</v>
      </c>
      <c r="D221">
        <v>48</v>
      </c>
      <c r="E221">
        <v>192</v>
      </c>
      <c r="F221" s="1">
        <v>45667</v>
      </c>
      <c r="G221" s="1">
        <v>45668</v>
      </c>
      <c r="H221" t="s">
        <v>23</v>
      </c>
      <c r="I221" t="s">
        <v>51</v>
      </c>
      <c r="J221">
        <v>4</v>
      </c>
      <c r="K221" t="s">
        <v>19</v>
      </c>
      <c r="L221" t="s">
        <v>33</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x14ac:dyDescent="0.3">
      <c r="A222" t="s">
        <v>297</v>
      </c>
      <c r="B222" t="s">
        <v>39</v>
      </c>
      <c r="C222">
        <v>3</v>
      </c>
      <c r="D222">
        <v>68.2</v>
      </c>
      <c r="E222">
        <v>204.60000000000002</v>
      </c>
      <c r="F222" s="1">
        <v>45667</v>
      </c>
      <c r="G222" s="1">
        <v>45671</v>
      </c>
      <c r="H222" t="s">
        <v>17</v>
      </c>
      <c r="I222" t="s">
        <v>18</v>
      </c>
      <c r="J222">
        <v>5</v>
      </c>
      <c r="K222" t="s">
        <v>19</v>
      </c>
      <c r="L222" t="s">
        <v>33</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x14ac:dyDescent="0.3">
      <c r="A223" t="s">
        <v>298</v>
      </c>
      <c r="B223" t="s">
        <v>37</v>
      </c>
      <c r="C223">
        <v>1</v>
      </c>
      <c r="D223">
        <v>45.4</v>
      </c>
      <c r="E223">
        <v>45.4</v>
      </c>
      <c r="F223" s="1">
        <v>45667</v>
      </c>
      <c r="G223" s="1">
        <v>45669</v>
      </c>
      <c r="H223" t="s">
        <v>23</v>
      </c>
      <c r="I223" t="s">
        <v>35</v>
      </c>
      <c r="J223">
        <v>4</v>
      </c>
      <c r="K223" t="s">
        <v>19</v>
      </c>
      <c r="L223" t="s">
        <v>33</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x14ac:dyDescent="0.3">
      <c r="A224" t="s">
        <v>299</v>
      </c>
      <c r="B224" t="s">
        <v>69</v>
      </c>
      <c r="C224">
        <v>2</v>
      </c>
      <c r="D224">
        <v>53.9</v>
      </c>
      <c r="E224">
        <v>107.8</v>
      </c>
      <c r="F224" s="1">
        <v>45667</v>
      </c>
      <c r="G224" s="1">
        <v>45668</v>
      </c>
      <c r="H224" t="s">
        <v>27</v>
      </c>
      <c r="I224" t="s">
        <v>40</v>
      </c>
      <c r="J224">
        <v>4</v>
      </c>
      <c r="K224" t="s">
        <v>19</v>
      </c>
      <c r="L224" t="s">
        <v>33</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x14ac:dyDescent="0.3">
      <c r="A225" t="s">
        <v>300</v>
      </c>
      <c r="B225" t="s">
        <v>26</v>
      </c>
      <c r="C225">
        <v>4</v>
      </c>
      <c r="D225">
        <v>62.1</v>
      </c>
      <c r="E225">
        <v>248.4</v>
      </c>
      <c r="F225" s="1">
        <v>45667</v>
      </c>
      <c r="G225" s="1">
        <v>45671</v>
      </c>
      <c r="H225" t="s">
        <v>27</v>
      </c>
      <c r="I225" t="s">
        <v>18</v>
      </c>
      <c r="J225">
        <v>4</v>
      </c>
      <c r="K225" t="s">
        <v>19</v>
      </c>
      <c r="L225" t="s">
        <v>49</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x14ac:dyDescent="0.3">
      <c r="A226" t="s">
        <v>301</v>
      </c>
      <c r="B226" t="s">
        <v>76</v>
      </c>
      <c r="C226">
        <v>7</v>
      </c>
      <c r="D226">
        <v>33.1</v>
      </c>
      <c r="E226">
        <v>231.70000000000002</v>
      </c>
      <c r="F226" s="1">
        <v>45667</v>
      </c>
      <c r="G226" s="1">
        <v>45672</v>
      </c>
      <c r="H226" t="s">
        <v>23</v>
      </c>
      <c r="I226" t="s">
        <v>35</v>
      </c>
      <c r="J226">
        <v>4</v>
      </c>
      <c r="K226" t="s">
        <v>19</v>
      </c>
      <c r="L226" t="s">
        <v>55</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x14ac:dyDescent="0.3">
      <c r="A227" t="s">
        <v>302</v>
      </c>
      <c r="B227" t="s">
        <v>146</v>
      </c>
      <c r="C227">
        <v>5</v>
      </c>
      <c r="D227">
        <v>35.200000000000003</v>
      </c>
      <c r="E227">
        <v>176</v>
      </c>
      <c r="F227" s="1">
        <v>45667</v>
      </c>
      <c r="G227" s="1">
        <v>45667</v>
      </c>
      <c r="H227" t="s">
        <v>27</v>
      </c>
      <c r="I227" t="s">
        <v>35</v>
      </c>
      <c r="J227">
        <v>4</v>
      </c>
      <c r="K227" t="s">
        <v>19</v>
      </c>
      <c r="L227" t="s">
        <v>55</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x14ac:dyDescent="0.3">
      <c r="A228" t="s">
        <v>303</v>
      </c>
      <c r="B228" t="s">
        <v>46</v>
      </c>
      <c r="C228">
        <v>3</v>
      </c>
      <c r="D228">
        <v>32.1</v>
      </c>
      <c r="E228">
        <v>96.300000000000011</v>
      </c>
      <c r="F228" s="1">
        <v>45667</v>
      </c>
      <c r="G228" s="1">
        <v>45672</v>
      </c>
      <c r="H228" t="s">
        <v>23</v>
      </c>
      <c r="I228" t="s">
        <v>51</v>
      </c>
      <c r="J228">
        <v>4</v>
      </c>
      <c r="K228" t="s">
        <v>19</v>
      </c>
      <c r="L228" t="s">
        <v>62</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x14ac:dyDescent="0.3">
      <c r="A229" t="s">
        <v>304</v>
      </c>
      <c r="B229" t="s">
        <v>67</v>
      </c>
      <c r="C229">
        <v>1</v>
      </c>
      <c r="D229">
        <v>38.1</v>
      </c>
      <c r="E229">
        <v>38.1</v>
      </c>
      <c r="F229" s="1">
        <v>45667</v>
      </c>
      <c r="G229" s="1">
        <v>45672</v>
      </c>
      <c r="H229" t="s">
        <v>27</v>
      </c>
      <c r="I229" t="s">
        <v>18</v>
      </c>
      <c r="J229">
        <v>5</v>
      </c>
      <c r="K229" t="s">
        <v>19</v>
      </c>
      <c r="L229" t="s">
        <v>62</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x14ac:dyDescent="0.3">
      <c r="A230" t="s">
        <v>305</v>
      </c>
      <c r="B230" t="s">
        <v>44</v>
      </c>
      <c r="C230">
        <v>1</v>
      </c>
      <c r="D230">
        <v>65.2</v>
      </c>
      <c r="E230">
        <v>65.2</v>
      </c>
      <c r="F230" s="1">
        <v>45667</v>
      </c>
      <c r="G230" s="1">
        <v>45672</v>
      </c>
      <c r="H230" t="s">
        <v>27</v>
      </c>
      <c r="I230" t="s">
        <v>51</v>
      </c>
      <c r="J230">
        <v>3</v>
      </c>
      <c r="K230" t="s">
        <v>19</v>
      </c>
      <c r="L230" t="s">
        <v>62</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x14ac:dyDescent="0.3">
      <c r="A231" t="s">
        <v>306</v>
      </c>
      <c r="B231" t="s">
        <v>54</v>
      </c>
      <c r="C231">
        <v>7</v>
      </c>
      <c r="D231">
        <v>55.2</v>
      </c>
      <c r="E231">
        <v>386.40000000000003</v>
      </c>
      <c r="F231" s="1">
        <v>45667</v>
      </c>
      <c r="G231" s="1">
        <v>45668</v>
      </c>
      <c r="H231" t="s">
        <v>23</v>
      </c>
      <c r="I231" t="s">
        <v>40</v>
      </c>
      <c r="J231">
        <v>4</v>
      </c>
      <c r="K231" t="s">
        <v>19</v>
      </c>
      <c r="L231" t="s">
        <v>77</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x14ac:dyDescent="0.3">
      <c r="A232" t="s">
        <v>307</v>
      </c>
      <c r="B232" t="s">
        <v>39</v>
      </c>
      <c r="C232">
        <v>1</v>
      </c>
      <c r="D232">
        <v>62</v>
      </c>
      <c r="E232">
        <v>62</v>
      </c>
      <c r="F232" s="1">
        <v>45667</v>
      </c>
      <c r="G232" s="1">
        <v>45671</v>
      </c>
      <c r="H232" t="s">
        <v>27</v>
      </c>
      <c r="I232" t="s">
        <v>18</v>
      </c>
      <c r="J232">
        <v>4</v>
      </c>
      <c r="K232" t="s">
        <v>19</v>
      </c>
      <c r="L232" t="s">
        <v>77</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x14ac:dyDescent="0.3">
      <c r="A233" t="s">
        <v>308</v>
      </c>
      <c r="B233" t="s">
        <v>42</v>
      </c>
      <c r="C233">
        <v>3</v>
      </c>
      <c r="D233">
        <v>45.9</v>
      </c>
      <c r="E233">
        <v>137.69999999999999</v>
      </c>
      <c r="F233" s="1">
        <v>45667</v>
      </c>
      <c r="G233" s="1">
        <v>45668</v>
      </c>
      <c r="H233" t="s">
        <v>27</v>
      </c>
      <c r="I233" t="s">
        <v>40</v>
      </c>
      <c r="J233">
        <v>4</v>
      </c>
      <c r="K233" t="s">
        <v>19</v>
      </c>
      <c r="L233" t="s">
        <v>309</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x14ac:dyDescent="0.3">
      <c r="A234" t="s">
        <v>310</v>
      </c>
      <c r="B234" t="s">
        <v>146</v>
      </c>
      <c r="C234">
        <v>3</v>
      </c>
      <c r="D234">
        <v>58.3</v>
      </c>
      <c r="E234">
        <v>174.89999999999998</v>
      </c>
      <c r="F234" s="1">
        <v>45667</v>
      </c>
      <c r="G234" s="1">
        <v>45667</v>
      </c>
      <c r="H234" t="s">
        <v>23</v>
      </c>
      <c r="I234" t="s">
        <v>35</v>
      </c>
      <c r="J234">
        <v>3</v>
      </c>
      <c r="K234" t="s">
        <v>19</v>
      </c>
      <c r="L234" t="s">
        <v>108</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x14ac:dyDescent="0.3">
      <c r="A235" t="s">
        <v>311</v>
      </c>
      <c r="B235" t="s">
        <v>44</v>
      </c>
      <c r="C235">
        <v>2</v>
      </c>
      <c r="D235">
        <v>22.3</v>
      </c>
      <c r="E235">
        <v>44.6</v>
      </c>
      <c r="F235" s="1">
        <v>45667</v>
      </c>
      <c r="G235" s="1">
        <v>45670</v>
      </c>
      <c r="H235" t="s">
        <v>27</v>
      </c>
      <c r="I235" t="s">
        <v>18</v>
      </c>
      <c r="J235">
        <v>5</v>
      </c>
      <c r="K235" t="s">
        <v>19</v>
      </c>
      <c r="L235" t="s">
        <v>113</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x14ac:dyDescent="0.3">
      <c r="A236" t="s">
        <v>312</v>
      </c>
      <c r="B236" t="s">
        <v>171</v>
      </c>
      <c r="C236">
        <v>5</v>
      </c>
      <c r="D236">
        <v>24</v>
      </c>
      <c r="E236">
        <v>120</v>
      </c>
      <c r="F236" s="1">
        <v>45667</v>
      </c>
      <c r="G236" s="1">
        <v>45668</v>
      </c>
      <c r="H236" t="s">
        <v>23</v>
      </c>
      <c r="I236" t="s">
        <v>70</v>
      </c>
      <c r="J236">
        <v>4</v>
      </c>
      <c r="K236" t="s">
        <v>19</v>
      </c>
      <c r="L236" t="s">
        <v>24</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x14ac:dyDescent="0.3">
      <c r="A237" t="s">
        <v>313</v>
      </c>
      <c r="B237" t="s">
        <v>16</v>
      </c>
      <c r="C237">
        <v>10</v>
      </c>
      <c r="D237">
        <v>21.3</v>
      </c>
      <c r="E237">
        <v>213</v>
      </c>
      <c r="F237" s="1">
        <v>45667</v>
      </c>
      <c r="G237" s="1">
        <v>45667</v>
      </c>
      <c r="H237" t="s">
        <v>27</v>
      </c>
      <c r="I237" t="s">
        <v>35</v>
      </c>
      <c r="J237">
        <v>5</v>
      </c>
      <c r="K237" t="s">
        <v>19</v>
      </c>
      <c r="L237" t="s">
        <v>147</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x14ac:dyDescent="0.3">
      <c r="A238" t="s">
        <v>314</v>
      </c>
      <c r="B238" t="s">
        <v>39</v>
      </c>
      <c r="C238">
        <v>41</v>
      </c>
      <c r="D238">
        <v>57.8</v>
      </c>
      <c r="E238">
        <v>2369.7999999999997</v>
      </c>
      <c r="F238" s="1">
        <v>45667</v>
      </c>
      <c r="G238" s="1">
        <v>45669</v>
      </c>
      <c r="H238" t="s">
        <v>27</v>
      </c>
      <c r="I238" t="s">
        <v>18</v>
      </c>
      <c r="J238">
        <v>5</v>
      </c>
      <c r="K238" t="s">
        <v>19</v>
      </c>
      <c r="L238" t="s">
        <v>33</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x14ac:dyDescent="0.3">
      <c r="A239" t="s">
        <v>315</v>
      </c>
      <c r="B239" t="s">
        <v>54</v>
      </c>
      <c r="C239">
        <v>3</v>
      </c>
      <c r="D239">
        <v>67.599999999999994</v>
      </c>
      <c r="E239">
        <v>202.79999999999998</v>
      </c>
      <c r="F239" s="1">
        <v>45667</v>
      </c>
      <c r="G239" s="1">
        <v>45668</v>
      </c>
      <c r="H239" t="s">
        <v>27</v>
      </c>
      <c r="I239" t="s">
        <v>18</v>
      </c>
      <c r="J239">
        <v>4</v>
      </c>
      <c r="K239" t="s">
        <v>19</v>
      </c>
      <c r="L239" t="s">
        <v>33</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x14ac:dyDescent="0.3">
      <c r="A240" t="s">
        <v>316</v>
      </c>
      <c r="B240" t="s">
        <v>39</v>
      </c>
      <c r="C240">
        <v>6</v>
      </c>
      <c r="D240">
        <v>66.7</v>
      </c>
      <c r="E240">
        <v>400.20000000000005</v>
      </c>
      <c r="F240" s="1">
        <v>45667</v>
      </c>
      <c r="G240" s="1">
        <v>45671</v>
      </c>
      <c r="H240" t="s">
        <v>23</v>
      </c>
      <c r="I240" t="s">
        <v>70</v>
      </c>
      <c r="J240">
        <v>3</v>
      </c>
      <c r="K240" t="s">
        <v>19</v>
      </c>
      <c r="L240" t="s">
        <v>33</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x14ac:dyDescent="0.3">
      <c r="A241" t="s">
        <v>317</v>
      </c>
      <c r="B241" t="s">
        <v>22</v>
      </c>
      <c r="C241">
        <v>4</v>
      </c>
      <c r="D241">
        <v>53.1</v>
      </c>
      <c r="E241">
        <v>212.4</v>
      </c>
      <c r="F241" s="1">
        <v>45667</v>
      </c>
      <c r="G241" s="1">
        <v>45669</v>
      </c>
      <c r="H241" t="s">
        <v>27</v>
      </c>
      <c r="I241" t="s">
        <v>35</v>
      </c>
      <c r="J241">
        <v>4</v>
      </c>
      <c r="K241" t="s">
        <v>19</v>
      </c>
      <c r="L241" t="s">
        <v>33</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x14ac:dyDescent="0.3">
      <c r="A242" t="s">
        <v>318</v>
      </c>
      <c r="B242" t="s">
        <v>69</v>
      </c>
      <c r="C242">
        <v>3</v>
      </c>
      <c r="D242">
        <v>57.4</v>
      </c>
      <c r="E242">
        <v>172.2</v>
      </c>
      <c r="F242" s="1">
        <v>45667</v>
      </c>
      <c r="G242" s="1">
        <v>45670</v>
      </c>
      <c r="H242" t="s">
        <v>27</v>
      </c>
      <c r="I242" t="s">
        <v>18</v>
      </c>
      <c r="J242">
        <v>5</v>
      </c>
      <c r="K242" t="s">
        <v>19</v>
      </c>
      <c r="L242" t="s">
        <v>258</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x14ac:dyDescent="0.3">
      <c r="A243" t="s">
        <v>319</v>
      </c>
      <c r="B243" t="s">
        <v>26</v>
      </c>
      <c r="C243">
        <v>5</v>
      </c>
      <c r="D243">
        <v>58.1</v>
      </c>
      <c r="E243">
        <v>290.5</v>
      </c>
      <c r="F243" s="1">
        <v>45667</v>
      </c>
      <c r="G243" s="1">
        <v>45667</v>
      </c>
      <c r="H243" t="s">
        <v>23</v>
      </c>
      <c r="I243" t="s">
        <v>40</v>
      </c>
      <c r="J243">
        <v>5</v>
      </c>
      <c r="K243" t="s">
        <v>19</v>
      </c>
      <c r="L243" t="s">
        <v>55</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x14ac:dyDescent="0.3">
      <c r="A244" t="s">
        <v>320</v>
      </c>
      <c r="B244" t="s">
        <v>37</v>
      </c>
      <c r="C244">
        <v>3</v>
      </c>
      <c r="D244">
        <v>31.8</v>
      </c>
      <c r="E244">
        <v>95.4</v>
      </c>
      <c r="F244" s="1">
        <v>45668</v>
      </c>
      <c r="G244" s="1">
        <v>45670</v>
      </c>
      <c r="H244" t="s">
        <v>23</v>
      </c>
      <c r="I244" t="s">
        <v>51</v>
      </c>
      <c r="J244">
        <v>4</v>
      </c>
      <c r="K244" t="s">
        <v>19</v>
      </c>
      <c r="L244" t="s">
        <v>55</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x14ac:dyDescent="0.3">
      <c r="A245" t="s">
        <v>321</v>
      </c>
      <c r="B245" t="s">
        <v>32</v>
      </c>
      <c r="C245">
        <v>3</v>
      </c>
      <c r="D245">
        <v>31.5</v>
      </c>
      <c r="E245">
        <v>94.5</v>
      </c>
      <c r="F245" s="1">
        <v>45668</v>
      </c>
      <c r="G245" s="1">
        <v>45671</v>
      </c>
      <c r="H245" t="s">
        <v>23</v>
      </c>
      <c r="I245" t="s">
        <v>18</v>
      </c>
      <c r="J245">
        <v>3</v>
      </c>
      <c r="K245" t="s">
        <v>19</v>
      </c>
      <c r="L245" t="s">
        <v>62</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x14ac:dyDescent="0.3">
      <c r="A246" t="s">
        <v>322</v>
      </c>
      <c r="B246" t="s">
        <v>39</v>
      </c>
      <c r="C246">
        <v>7</v>
      </c>
      <c r="D246">
        <v>55.9</v>
      </c>
      <c r="E246">
        <v>391.3</v>
      </c>
      <c r="F246" s="1">
        <v>45668</v>
      </c>
      <c r="G246" s="1">
        <v>45672</v>
      </c>
      <c r="H246" t="s">
        <v>27</v>
      </c>
      <c r="I246" t="s">
        <v>35</v>
      </c>
      <c r="J246">
        <v>5</v>
      </c>
      <c r="K246" t="s">
        <v>19</v>
      </c>
      <c r="L246" t="s">
        <v>62</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x14ac:dyDescent="0.3">
      <c r="A247" t="s">
        <v>323</v>
      </c>
      <c r="B247" t="s">
        <v>44</v>
      </c>
      <c r="C247">
        <v>2</v>
      </c>
      <c r="D247">
        <v>36.4</v>
      </c>
      <c r="E247">
        <v>72.8</v>
      </c>
      <c r="F247" s="1">
        <v>45668</v>
      </c>
      <c r="G247" s="1">
        <v>45669</v>
      </c>
      <c r="H247" t="s">
        <v>23</v>
      </c>
      <c r="I247" t="s">
        <v>35</v>
      </c>
      <c r="J247">
        <v>3</v>
      </c>
      <c r="K247" t="s">
        <v>19</v>
      </c>
      <c r="L247" t="s">
        <v>72</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x14ac:dyDescent="0.3">
      <c r="A248" t="s">
        <v>324</v>
      </c>
      <c r="B248" t="s">
        <v>22</v>
      </c>
      <c r="C248">
        <v>5</v>
      </c>
      <c r="D248">
        <v>47.3</v>
      </c>
      <c r="E248">
        <v>236.5</v>
      </c>
      <c r="F248" s="1">
        <v>45668</v>
      </c>
      <c r="G248" s="1">
        <v>45671</v>
      </c>
      <c r="H248" t="s">
        <v>23</v>
      </c>
      <c r="I248" t="s">
        <v>40</v>
      </c>
      <c r="J248">
        <v>4</v>
      </c>
      <c r="K248" t="s">
        <v>19</v>
      </c>
      <c r="L248" t="s">
        <v>74</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x14ac:dyDescent="0.3">
      <c r="A249" t="s">
        <v>325</v>
      </c>
      <c r="B249" t="s">
        <v>39</v>
      </c>
      <c r="C249">
        <v>3</v>
      </c>
      <c r="D249">
        <v>82.5</v>
      </c>
      <c r="E249">
        <v>247.5</v>
      </c>
      <c r="F249" s="1">
        <v>45668</v>
      </c>
      <c r="G249" s="1">
        <v>45669</v>
      </c>
      <c r="H249" t="s">
        <v>23</v>
      </c>
      <c r="I249" t="s">
        <v>18</v>
      </c>
      <c r="J249">
        <v>4</v>
      </c>
      <c r="K249" t="s">
        <v>19</v>
      </c>
      <c r="L249" t="s">
        <v>77</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x14ac:dyDescent="0.3">
      <c r="A250" t="s">
        <v>326</v>
      </c>
      <c r="B250" t="s">
        <v>16</v>
      </c>
      <c r="C250">
        <v>1</v>
      </c>
      <c r="D250">
        <v>14.3</v>
      </c>
      <c r="E250">
        <v>14.3</v>
      </c>
      <c r="F250" s="1">
        <v>45668</v>
      </c>
      <c r="G250" s="1">
        <v>45669</v>
      </c>
      <c r="H250" t="s">
        <v>27</v>
      </c>
      <c r="I250" t="s">
        <v>18</v>
      </c>
      <c r="J250">
        <v>4</v>
      </c>
      <c r="K250" t="s">
        <v>19</v>
      </c>
      <c r="L250" t="s">
        <v>115</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x14ac:dyDescent="0.3">
      <c r="A251" t="s">
        <v>327</v>
      </c>
      <c r="B251" t="s">
        <v>26</v>
      </c>
      <c r="C251">
        <v>6</v>
      </c>
      <c r="D251">
        <v>57.6</v>
      </c>
      <c r="E251">
        <v>345.6</v>
      </c>
      <c r="F251" s="1">
        <v>45668</v>
      </c>
      <c r="G251" s="1">
        <v>45682</v>
      </c>
      <c r="H251" t="s">
        <v>27</v>
      </c>
      <c r="I251" t="s">
        <v>18</v>
      </c>
      <c r="J251">
        <v>4</v>
      </c>
      <c r="K251" t="s">
        <v>19</v>
      </c>
      <c r="L251" t="s">
        <v>115</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x14ac:dyDescent="0.3">
      <c r="A252" t="s">
        <v>328</v>
      </c>
      <c r="B252" t="s">
        <v>26</v>
      </c>
      <c r="C252">
        <v>3</v>
      </c>
      <c r="D252">
        <v>142.4</v>
      </c>
      <c r="E252">
        <v>427.20000000000005</v>
      </c>
      <c r="F252" s="1">
        <v>45668</v>
      </c>
      <c r="G252" s="1">
        <v>45670</v>
      </c>
      <c r="H252" t="s">
        <v>23</v>
      </c>
      <c r="I252" t="s">
        <v>70</v>
      </c>
      <c r="J252">
        <v>3</v>
      </c>
      <c r="K252" t="s">
        <v>19</v>
      </c>
      <c r="L252" t="s">
        <v>115</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x14ac:dyDescent="0.3">
      <c r="A253" t="s">
        <v>329</v>
      </c>
      <c r="B253" t="s">
        <v>69</v>
      </c>
      <c r="C253">
        <v>1</v>
      </c>
      <c r="D253">
        <v>30.2</v>
      </c>
      <c r="E253">
        <v>30.2</v>
      </c>
      <c r="F253" s="1">
        <v>45668</v>
      </c>
      <c r="G253" s="1">
        <v>45672</v>
      </c>
      <c r="H253" t="s">
        <v>23</v>
      </c>
      <c r="I253" t="s">
        <v>35</v>
      </c>
      <c r="J253">
        <v>5</v>
      </c>
      <c r="K253" t="s">
        <v>19</v>
      </c>
      <c r="L253" t="s">
        <v>28</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x14ac:dyDescent="0.3">
      <c r="A254" t="s">
        <v>330</v>
      </c>
      <c r="B254" t="s">
        <v>146</v>
      </c>
      <c r="C254">
        <v>3</v>
      </c>
      <c r="D254">
        <v>65.3</v>
      </c>
      <c r="E254">
        <v>195.89999999999998</v>
      </c>
      <c r="F254" s="1">
        <v>45668</v>
      </c>
      <c r="G254" s="1">
        <v>45669</v>
      </c>
      <c r="H254" t="s">
        <v>89</v>
      </c>
      <c r="I254" t="s">
        <v>35</v>
      </c>
      <c r="J254">
        <v>4</v>
      </c>
      <c r="K254" t="s">
        <v>19</v>
      </c>
      <c r="L254" t="s">
        <v>331</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x14ac:dyDescent="0.3">
      <c r="A255" t="s">
        <v>332</v>
      </c>
      <c r="B255" t="s">
        <v>16</v>
      </c>
      <c r="C255">
        <v>2</v>
      </c>
      <c r="D255">
        <v>33.4</v>
      </c>
      <c r="E255">
        <v>66.8</v>
      </c>
      <c r="F255" s="1">
        <v>45668</v>
      </c>
      <c r="G255" s="1">
        <v>45669</v>
      </c>
      <c r="H255" t="s">
        <v>23</v>
      </c>
      <c r="I255" t="s">
        <v>35</v>
      </c>
      <c r="J255">
        <v>3</v>
      </c>
      <c r="K255" t="s">
        <v>19</v>
      </c>
      <c r="L255" t="s">
        <v>147</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x14ac:dyDescent="0.3">
      <c r="A256" t="s">
        <v>333</v>
      </c>
      <c r="B256" t="s">
        <v>42</v>
      </c>
      <c r="C256">
        <v>2</v>
      </c>
      <c r="D256">
        <v>45.1</v>
      </c>
      <c r="E256">
        <v>90.2</v>
      </c>
      <c r="F256" s="1">
        <v>45668</v>
      </c>
      <c r="G256" s="1">
        <v>45676</v>
      </c>
      <c r="H256" t="s">
        <v>23</v>
      </c>
      <c r="I256" t="s">
        <v>18</v>
      </c>
      <c r="J256">
        <v>4</v>
      </c>
      <c r="K256" t="s">
        <v>19</v>
      </c>
      <c r="L256" t="s">
        <v>334</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x14ac:dyDescent="0.3">
      <c r="A257" t="s">
        <v>335</v>
      </c>
      <c r="B257" t="s">
        <v>26</v>
      </c>
      <c r="C257">
        <v>7</v>
      </c>
      <c r="D257">
        <v>61.7</v>
      </c>
      <c r="E257">
        <v>431.90000000000003</v>
      </c>
      <c r="F257" s="1">
        <v>45668</v>
      </c>
      <c r="G257" s="1">
        <v>45670</v>
      </c>
      <c r="H257" t="s">
        <v>27</v>
      </c>
      <c r="I257" t="s">
        <v>70</v>
      </c>
      <c r="J257">
        <v>4</v>
      </c>
      <c r="K257" t="s">
        <v>19</v>
      </c>
      <c r="L257" t="s">
        <v>33</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x14ac:dyDescent="0.3">
      <c r="A258" t="s">
        <v>336</v>
      </c>
      <c r="B258" t="s">
        <v>46</v>
      </c>
      <c r="C258">
        <v>3</v>
      </c>
      <c r="D258">
        <v>45.1</v>
      </c>
      <c r="E258">
        <v>135.30000000000001</v>
      </c>
      <c r="F258" s="1">
        <v>45669</v>
      </c>
      <c r="G258" s="1">
        <v>45670</v>
      </c>
      <c r="H258" t="s">
        <v>23</v>
      </c>
      <c r="I258" t="s">
        <v>70</v>
      </c>
      <c r="J258">
        <v>3</v>
      </c>
      <c r="K258" t="s">
        <v>19</v>
      </c>
      <c r="L258" t="s">
        <v>33</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x14ac:dyDescent="0.3">
      <c r="A259" t="s">
        <v>337</v>
      </c>
      <c r="B259" t="s">
        <v>123</v>
      </c>
      <c r="C259">
        <v>5</v>
      </c>
      <c r="D259">
        <v>22.7</v>
      </c>
      <c r="E259">
        <v>113.5</v>
      </c>
      <c r="F259" s="1">
        <v>45669</v>
      </c>
      <c r="G259" s="1">
        <v>45674</v>
      </c>
      <c r="H259" t="s">
        <v>23</v>
      </c>
      <c r="I259" t="s">
        <v>18</v>
      </c>
      <c r="J259">
        <v>5</v>
      </c>
      <c r="K259" t="s">
        <v>19</v>
      </c>
      <c r="L259" t="s">
        <v>338</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x14ac:dyDescent="0.3">
      <c r="A260" t="s">
        <v>339</v>
      </c>
      <c r="B260" t="s">
        <v>44</v>
      </c>
      <c r="C260">
        <v>1</v>
      </c>
      <c r="D260">
        <v>17.600000000000001</v>
      </c>
      <c r="E260">
        <v>17.600000000000001</v>
      </c>
      <c r="F260" s="1">
        <v>45669</v>
      </c>
      <c r="G260" s="1">
        <v>45670</v>
      </c>
      <c r="H260" t="s">
        <v>27</v>
      </c>
      <c r="I260" t="s">
        <v>18</v>
      </c>
      <c r="J260">
        <v>5</v>
      </c>
      <c r="K260" t="s">
        <v>19</v>
      </c>
      <c r="L260" t="s">
        <v>158</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x14ac:dyDescent="0.3">
      <c r="A261" t="s">
        <v>340</v>
      </c>
      <c r="B261" t="s">
        <v>81</v>
      </c>
      <c r="C261">
        <v>2</v>
      </c>
      <c r="D261">
        <v>11.3</v>
      </c>
      <c r="E261">
        <v>22.6</v>
      </c>
      <c r="F261" s="1">
        <v>45669</v>
      </c>
      <c r="G261" s="1">
        <v>45672</v>
      </c>
      <c r="H261" t="s">
        <v>27</v>
      </c>
      <c r="I261" t="s">
        <v>51</v>
      </c>
      <c r="J261">
        <v>5</v>
      </c>
      <c r="K261" t="s">
        <v>19</v>
      </c>
      <c r="L261" t="s">
        <v>158</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x14ac:dyDescent="0.3">
      <c r="A262" t="s">
        <v>341</v>
      </c>
      <c r="B262" t="s">
        <v>39</v>
      </c>
      <c r="C262">
        <v>3</v>
      </c>
      <c r="D262">
        <v>53.4</v>
      </c>
      <c r="E262">
        <v>160.19999999999999</v>
      </c>
      <c r="F262" s="1">
        <v>45669</v>
      </c>
      <c r="G262" s="1">
        <v>45672</v>
      </c>
      <c r="H262" t="s">
        <v>23</v>
      </c>
      <c r="I262" t="s">
        <v>51</v>
      </c>
      <c r="J262">
        <v>5</v>
      </c>
      <c r="K262" t="s">
        <v>19</v>
      </c>
      <c r="L262" t="s">
        <v>342</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x14ac:dyDescent="0.3">
      <c r="A263" t="s">
        <v>343</v>
      </c>
      <c r="B263" t="s">
        <v>39</v>
      </c>
      <c r="C263">
        <v>11</v>
      </c>
      <c r="D263">
        <v>51.1</v>
      </c>
      <c r="E263">
        <v>562.1</v>
      </c>
      <c r="F263" s="1">
        <v>45669</v>
      </c>
      <c r="G263" s="1">
        <v>45671</v>
      </c>
      <c r="H263" t="s">
        <v>27</v>
      </c>
      <c r="I263" t="s">
        <v>40</v>
      </c>
      <c r="J263">
        <v>5</v>
      </c>
      <c r="K263" t="s">
        <v>19</v>
      </c>
      <c r="L263" t="s">
        <v>62</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x14ac:dyDescent="0.3">
      <c r="A264" t="s">
        <v>344</v>
      </c>
      <c r="B264" t="s">
        <v>44</v>
      </c>
      <c r="C264">
        <v>2</v>
      </c>
      <c r="D264">
        <v>27.5</v>
      </c>
      <c r="E264">
        <v>55</v>
      </c>
      <c r="F264" s="1">
        <v>45669</v>
      </c>
      <c r="G264" s="1">
        <v>45670</v>
      </c>
      <c r="H264" t="s">
        <v>23</v>
      </c>
      <c r="I264" t="s">
        <v>70</v>
      </c>
      <c r="J264">
        <v>3</v>
      </c>
      <c r="K264" t="s">
        <v>19</v>
      </c>
      <c r="L264" t="s">
        <v>62</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x14ac:dyDescent="0.3">
      <c r="A265" t="s">
        <v>345</v>
      </c>
      <c r="B265" t="s">
        <v>46</v>
      </c>
      <c r="C265">
        <v>1</v>
      </c>
      <c r="D265">
        <v>33.5</v>
      </c>
      <c r="E265">
        <v>33.5</v>
      </c>
      <c r="F265" s="1">
        <v>45669</v>
      </c>
      <c r="G265" s="1">
        <v>45671</v>
      </c>
      <c r="H265" t="s">
        <v>27</v>
      </c>
      <c r="I265" t="s">
        <v>18</v>
      </c>
      <c r="J265">
        <v>2</v>
      </c>
      <c r="K265" t="s">
        <v>19</v>
      </c>
      <c r="L265" t="s">
        <v>62</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x14ac:dyDescent="0.3">
      <c r="A266" t="s">
        <v>346</v>
      </c>
      <c r="B266" t="s">
        <v>32</v>
      </c>
      <c r="C266">
        <v>1</v>
      </c>
      <c r="D266">
        <v>59.5</v>
      </c>
      <c r="E266">
        <v>59.5</v>
      </c>
      <c r="F266" s="1">
        <v>45669</v>
      </c>
      <c r="G266" s="1">
        <v>45669</v>
      </c>
      <c r="H266" t="s">
        <v>23</v>
      </c>
      <c r="I266" t="s">
        <v>18</v>
      </c>
      <c r="J266">
        <v>5</v>
      </c>
      <c r="K266" t="s">
        <v>19</v>
      </c>
      <c r="L266" t="s">
        <v>108</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x14ac:dyDescent="0.3">
      <c r="A267" t="s">
        <v>347</v>
      </c>
      <c r="B267" t="s">
        <v>135</v>
      </c>
      <c r="C267">
        <v>4</v>
      </c>
      <c r="D267">
        <v>23.5</v>
      </c>
      <c r="E267">
        <v>94</v>
      </c>
      <c r="F267" s="1">
        <v>45669</v>
      </c>
      <c r="G267" s="1">
        <v>45670</v>
      </c>
      <c r="H267" t="s">
        <v>27</v>
      </c>
      <c r="I267" t="s">
        <v>51</v>
      </c>
      <c r="J267">
        <v>1</v>
      </c>
      <c r="K267" t="s">
        <v>19</v>
      </c>
      <c r="L267" t="s">
        <v>110</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x14ac:dyDescent="0.3">
      <c r="A268" t="s">
        <v>348</v>
      </c>
      <c r="B268" t="s">
        <v>39</v>
      </c>
      <c r="C268">
        <v>1</v>
      </c>
      <c r="D268">
        <v>49.7</v>
      </c>
      <c r="E268">
        <v>49.7</v>
      </c>
      <c r="F268" s="1">
        <v>45669</v>
      </c>
      <c r="G268" s="1">
        <v>45670</v>
      </c>
      <c r="H268" t="s">
        <v>17</v>
      </c>
      <c r="I268" t="s">
        <v>35</v>
      </c>
      <c r="J268">
        <v>5</v>
      </c>
      <c r="K268" t="s">
        <v>19</v>
      </c>
      <c r="L268" t="s">
        <v>113</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x14ac:dyDescent="0.3">
      <c r="A269" t="s">
        <v>349</v>
      </c>
      <c r="B269" t="s">
        <v>39</v>
      </c>
      <c r="C269">
        <v>4</v>
      </c>
      <c r="D269">
        <v>44.2</v>
      </c>
      <c r="E269">
        <v>176.8</v>
      </c>
      <c r="F269" s="1">
        <v>45669</v>
      </c>
      <c r="G269" s="1">
        <v>45672</v>
      </c>
      <c r="H269" t="s">
        <v>27</v>
      </c>
      <c r="I269" t="s">
        <v>18</v>
      </c>
      <c r="J269">
        <v>5</v>
      </c>
      <c r="K269" t="s">
        <v>19</v>
      </c>
      <c r="L269" t="s">
        <v>115</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x14ac:dyDescent="0.3">
      <c r="A270" t="s">
        <v>350</v>
      </c>
      <c r="B270" t="s">
        <v>44</v>
      </c>
      <c r="C270">
        <v>1</v>
      </c>
      <c r="D270">
        <v>22.1</v>
      </c>
      <c r="E270">
        <v>22.1</v>
      </c>
      <c r="F270" s="1">
        <v>45669</v>
      </c>
      <c r="G270" s="1">
        <v>45673</v>
      </c>
      <c r="H270" t="s">
        <v>27</v>
      </c>
      <c r="I270" t="s">
        <v>35</v>
      </c>
      <c r="J270">
        <v>3</v>
      </c>
      <c r="K270" t="s">
        <v>19</v>
      </c>
      <c r="L270" t="s">
        <v>331</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x14ac:dyDescent="0.3">
      <c r="A271" t="s">
        <v>351</v>
      </c>
      <c r="B271" t="s">
        <v>39</v>
      </c>
      <c r="C271">
        <v>3</v>
      </c>
      <c r="D271">
        <v>90.9</v>
      </c>
      <c r="E271">
        <v>272.70000000000005</v>
      </c>
      <c r="F271" s="1">
        <v>45669</v>
      </c>
      <c r="G271" s="1">
        <v>45670</v>
      </c>
      <c r="H271" t="s">
        <v>27</v>
      </c>
      <c r="I271" t="s">
        <v>40</v>
      </c>
      <c r="J271">
        <v>2</v>
      </c>
      <c r="K271" t="s">
        <v>19</v>
      </c>
      <c r="L271" t="s">
        <v>33</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x14ac:dyDescent="0.3">
      <c r="A272" t="s">
        <v>352</v>
      </c>
      <c r="B272" t="s">
        <v>44</v>
      </c>
      <c r="C272">
        <v>3</v>
      </c>
      <c r="D272">
        <v>44.5</v>
      </c>
      <c r="E272">
        <v>133.5</v>
      </c>
      <c r="F272" s="1">
        <v>45669</v>
      </c>
      <c r="G272" s="1">
        <v>45670</v>
      </c>
      <c r="H272" t="s">
        <v>27</v>
      </c>
      <c r="I272" t="s">
        <v>35</v>
      </c>
      <c r="J272">
        <v>4</v>
      </c>
      <c r="K272" t="s">
        <v>19</v>
      </c>
      <c r="L272" t="s">
        <v>33</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x14ac:dyDescent="0.3">
      <c r="A273" t="s">
        <v>353</v>
      </c>
      <c r="B273" t="s">
        <v>46</v>
      </c>
      <c r="C273">
        <v>6</v>
      </c>
      <c r="D273">
        <v>32.299999999999997</v>
      </c>
      <c r="E273">
        <v>193.79999999999998</v>
      </c>
      <c r="F273" s="1">
        <v>45669</v>
      </c>
      <c r="G273" s="1">
        <v>45673</v>
      </c>
      <c r="H273" t="s">
        <v>27</v>
      </c>
      <c r="I273" t="s">
        <v>18</v>
      </c>
      <c r="J273">
        <v>4</v>
      </c>
      <c r="K273" t="s">
        <v>19</v>
      </c>
      <c r="L273" t="s">
        <v>33</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x14ac:dyDescent="0.3">
      <c r="A274" t="s">
        <v>354</v>
      </c>
      <c r="B274" t="s">
        <v>135</v>
      </c>
      <c r="C274">
        <v>3</v>
      </c>
      <c r="D274">
        <v>87.5</v>
      </c>
      <c r="E274">
        <v>262.5</v>
      </c>
      <c r="F274" s="1">
        <v>45669</v>
      </c>
      <c r="G274" s="1">
        <v>45670</v>
      </c>
      <c r="H274" t="s">
        <v>27</v>
      </c>
      <c r="I274" t="s">
        <v>35</v>
      </c>
      <c r="J274">
        <v>3</v>
      </c>
      <c r="K274" t="s">
        <v>19</v>
      </c>
      <c r="L274" t="s">
        <v>33</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x14ac:dyDescent="0.3">
      <c r="A275" t="s">
        <v>355</v>
      </c>
      <c r="B275" t="s">
        <v>128</v>
      </c>
      <c r="C275">
        <v>5</v>
      </c>
      <c r="D275">
        <v>48.7</v>
      </c>
      <c r="E275">
        <v>243.5</v>
      </c>
      <c r="F275" s="1">
        <v>45669</v>
      </c>
      <c r="G275" s="1">
        <v>45670</v>
      </c>
      <c r="H275" t="s">
        <v>23</v>
      </c>
      <c r="I275" t="s">
        <v>40</v>
      </c>
      <c r="J275">
        <v>4</v>
      </c>
      <c r="K275" t="s">
        <v>19</v>
      </c>
      <c r="L275" t="s">
        <v>33</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x14ac:dyDescent="0.3">
      <c r="A276" t="s">
        <v>356</v>
      </c>
      <c r="B276" t="s">
        <v>16</v>
      </c>
      <c r="C276">
        <v>5</v>
      </c>
      <c r="D276">
        <v>22.5</v>
      </c>
      <c r="E276">
        <v>112.5</v>
      </c>
      <c r="F276" s="1">
        <v>45669</v>
      </c>
      <c r="G276" s="1">
        <v>45670</v>
      </c>
      <c r="H276" t="s">
        <v>23</v>
      </c>
      <c r="I276" t="s">
        <v>18</v>
      </c>
      <c r="J276">
        <v>4</v>
      </c>
      <c r="K276" t="s">
        <v>19</v>
      </c>
      <c r="L276" t="s">
        <v>33</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x14ac:dyDescent="0.3">
      <c r="A277" t="s">
        <v>357</v>
      </c>
      <c r="B277" t="s">
        <v>22</v>
      </c>
      <c r="C277">
        <v>8</v>
      </c>
      <c r="D277">
        <v>65.900000000000006</v>
      </c>
      <c r="E277">
        <v>527.20000000000005</v>
      </c>
      <c r="F277" s="1">
        <v>45669</v>
      </c>
      <c r="G277" s="1">
        <v>45672</v>
      </c>
      <c r="H277" t="s">
        <v>27</v>
      </c>
      <c r="I277" t="s">
        <v>35</v>
      </c>
      <c r="J277">
        <v>5</v>
      </c>
      <c r="K277" t="s">
        <v>19</v>
      </c>
      <c r="L277" t="s">
        <v>33</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x14ac:dyDescent="0.3">
      <c r="A278" t="s">
        <v>358</v>
      </c>
      <c r="B278" t="s">
        <v>39</v>
      </c>
      <c r="C278">
        <v>5</v>
      </c>
      <c r="D278">
        <v>41.9</v>
      </c>
      <c r="E278">
        <v>209.5</v>
      </c>
      <c r="F278" s="1">
        <v>45669</v>
      </c>
      <c r="G278" s="1">
        <v>45676</v>
      </c>
      <c r="H278" t="s">
        <v>17</v>
      </c>
      <c r="I278" t="s">
        <v>18</v>
      </c>
      <c r="J278">
        <v>4</v>
      </c>
      <c r="K278" t="s">
        <v>19</v>
      </c>
      <c r="L278" t="s">
        <v>33</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x14ac:dyDescent="0.3">
      <c r="A279" t="s">
        <v>359</v>
      </c>
      <c r="B279" t="s">
        <v>22</v>
      </c>
      <c r="C279">
        <v>5</v>
      </c>
      <c r="D279">
        <v>67.5</v>
      </c>
      <c r="E279">
        <v>337.5</v>
      </c>
      <c r="F279" s="1">
        <v>45669</v>
      </c>
      <c r="G279" s="1">
        <v>45670</v>
      </c>
      <c r="H279" t="s">
        <v>27</v>
      </c>
      <c r="I279" t="s">
        <v>18</v>
      </c>
      <c r="J279">
        <v>5</v>
      </c>
      <c r="K279" t="s">
        <v>19</v>
      </c>
      <c r="L279" t="s">
        <v>33</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x14ac:dyDescent="0.3">
      <c r="A280" t="s">
        <v>360</v>
      </c>
      <c r="B280" t="s">
        <v>46</v>
      </c>
      <c r="C280">
        <v>1</v>
      </c>
      <c r="D280">
        <v>60.4</v>
      </c>
      <c r="E280">
        <v>60.4</v>
      </c>
      <c r="F280" s="1">
        <v>45670</v>
      </c>
      <c r="G280" s="1">
        <v>45672</v>
      </c>
      <c r="H280" t="s">
        <v>27</v>
      </c>
      <c r="I280" t="s">
        <v>35</v>
      </c>
      <c r="J280">
        <v>3</v>
      </c>
      <c r="K280" t="s">
        <v>19</v>
      </c>
      <c r="L280" t="s">
        <v>33</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x14ac:dyDescent="0.3">
      <c r="A281" t="s">
        <v>361</v>
      </c>
      <c r="B281" t="s">
        <v>22</v>
      </c>
      <c r="C281">
        <v>7</v>
      </c>
      <c r="D281">
        <v>30.4</v>
      </c>
      <c r="E281">
        <v>212.79999999999998</v>
      </c>
      <c r="F281" s="1">
        <v>45670</v>
      </c>
      <c r="G281" s="1">
        <v>45673</v>
      </c>
      <c r="H281" t="s">
        <v>27</v>
      </c>
      <c r="I281" t="s">
        <v>70</v>
      </c>
      <c r="J281">
        <v>4</v>
      </c>
      <c r="K281" t="s">
        <v>19</v>
      </c>
      <c r="L281" t="s">
        <v>33</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x14ac:dyDescent="0.3">
      <c r="A282" t="s">
        <v>362</v>
      </c>
      <c r="B282" t="s">
        <v>81</v>
      </c>
      <c r="C282">
        <v>2</v>
      </c>
      <c r="D282">
        <v>24.5</v>
      </c>
      <c r="E282">
        <v>49</v>
      </c>
      <c r="F282" s="1">
        <v>45670</v>
      </c>
      <c r="G282" s="1">
        <v>45671</v>
      </c>
      <c r="H282" t="s">
        <v>23</v>
      </c>
      <c r="I282" t="s">
        <v>51</v>
      </c>
      <c r="J282">
        <v>5</v>
      </c>
      <c r="K282" t="s">
        <v>19</v>
      </c>
      <c r="L282" t="s">
        <v>33</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x14ac:dyDescent="0.3">
      <c r="A283" t="s">
        <v>363</v>
      </c>
      <c r="B283" t="s">
        <v>26</v>
      </c>
      <c r="C283">
        <v>3</v>
      </c>
      <c r="D283">
        <v>105.9</v>
      </c>
      <c r="E283">
        <v>317.70000000000005</v>
      </c>
      <c r="F283" s="1">
        <v>45670</v>
      </c>
      <c r="G283" s="1">
        <v>45675</v>
      </c>
      <c r="H283" t="s">
        <v>23</v>
      </c>
      <c r="I283" t="s">
        <v>18</v>
      </c>
      <c r="J283">
        <v>4</v>
      </c>
      <c r="K283" t="s">
        <v>19</v>
      </c>
      <c r="L283" t="s">
        <v>364</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x14ac:dyDescent="0.3">
      <c r="A284" t="s">
        <v>365</v>
      </c>
      <c r="B284" t="s">
        <v>54</v>
      </c>
      <c r="C284">
        <v>24</v>
      </c>
      <c r="D284">
        <v>25.9</v>
      </c>
      <c r="E284">
        <v>621.59999999999991</v>
      </c>
      <c r="F284" s="1">
        <v>45670</v>
      </c>
      <c r="G284" s="1">
        <v>45671</v>
      </c>
      <c r="H284" t="s">
        <v>27</v>
      </c>
      <c r="I284" t="s">
        <v>70</v>
      </c>
      <c r="J284">
        <v>4</v>
      </c>
      <c r="K284" t="s">
        <v>19</v>
      </c>
      <c r="L284" t="s">
        <v>158</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x14ac:dyDescent="0.3">
      <c r="A285" t="s">
        <v>366</v>
      </c>
      <c r="B285" t="s">
        <v>39</v>
      </c>
      <c r="C285">
        <v>3</v>
      </c>
      <c r="D285">
        <v>66.8</v>
      </c>
      <c r="E285">
        <v>200.39999999999998</v>
      </c>
      <c r="F285" s="1">
        <v>45670</v>
      </c>
      <c r="G285" s="1">
        <v>45670</v>
      </c>
      <c r="H285" t="s">
        <v>23</v>
      </c>
      <c r="I285" t="s">
        <v>18</v>
      </c>
      <c r="J285">
        <v>4</v>
      </c>
      <c r="K285" t="s">
        <v>19</v>
      </c>
      <c r="L285" t="s">
        <v>158</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x14ac:dyDescent="0.3">
      <c r="A286" t="s">
        <v>367</v>
      </c>
      <c r="B286" t="s">
        <v>39</v>
      </c>
      <c r="C286">
        <v>3</v>
      </c>
      <c r="D286">
        <v>112.3</v>
      </c>
      <c r="E286">
        <v>336.9</v>
      </c>
      <c r="F286" s="1">
        <v>45670</v>
      </c>
      <c r="G286" s="1">
        <v>45671</v>
      </c>
      <c r="H286" t="s">
        <v>23</v>
      </c>
      <c r="I286" t="s">
        <v>40</v>
      </c>
      <c r="J286">
        <v>2</v>
      </c>
      <c r="K286" t="s">
        <v>19</v>
      </c>
      <c r="L286" t="s">
        <v>55</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x14ac:dyDescent="0.3">
      <c r="A287" t="s">
        <v>368</v>
      </c>
      <c r="B287" t="s">
        <v>22</v>
      </c>
      <c r="C287">
        <v>6</v>
      </c>
      <c r="D287">
        <v>94.1</v>
      </c>
      <c r="E287">
        <v>564.59999999999991</v>
      </c>
      <c r="F287" s="1">
        <v>45670</v>
      </c>
      <c r="G287" s="1">
        <v>45671</v>
      </c>
      <c r="H287" t="s">
        <v>27</v>
      </c>
      <c r="I287" t="s">
        <v>18</v>
      </c>
      <c r="J287">
        <v>2</v>
      </c>
      <c r="K287" t="s">
        <v>19</v>
      </c>
      <c r="L287" t="s">
        <v>55</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x14ac:dyDescent="0.3">
      <c r="A288" t="s">
        <v>369</v>
      </c>
      <c r="B288" t="s">
        <v>37</v>
      </c>
      <c r="C288">
        <v>1</v>
      </c>
      <c r="D288">
        <v>40.700000000000003</v>
      </c>
      <c r="E288">
        <v>40.700000000000003</v>
      </c>
      <c r="F288" s="1">
        <v>45670</v>
      </c>
      <c r="G288" s="1">
        <v>45673</v>
      </c>
      <c r="H288" t="s">
        <v>27</v>
      </c>
      <c r="I288" t="s">
        <v>40</v>
      </c>
      <c r="J288">
        <v>4</v>
      </c>
      <c r="K288" t="s">
        <v>19</v>
      </c>
      <c r="L288" t="s">
        <v>55</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x14ac:dyDescent="0.3">
      <c r="A289" t="s">
        <v>370</v>
      </c>
      <c r="B289" t="s">
        <v>30</v>
      </c>
      <c r="C289">
        <v>2</v>
      </c>
      <c r="D289">
        <v>71.400000000000006</v>
      </c>
      <c r="E289">
        <v>142.80000000000001</v>
      </c>
      <c r="F289" s="1">
        <v>45670</v>
      </c>
      <c r="G289" s="1">
        <v>45671</v>
      </c>
      <c r="H289" t="s">
        <v>23</v>
      </c>
      <c r="I289" t="s">
        <v>18</v>
      </c>
      <c r="J289">
        <v>4</v>
      </c>
      <c r="K289" t="s">
        <v>19</v>
      </c>
      <c r="L289" t="s">
        <v>59</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x14ac:dyDescent="0.3">
      <c r="A290" t="s">
        <v>371</v>
      </c>
      <c r="B290" t="s">
        <v>16</v>
      </c>
      <c r="C290">
        <v>18</v>
      </c>
      <c r="D290">
        <v>15.6</v>
      </c>
      <c r="E290">
        <v>280.8</v>
      </c>
      <c r="F290" s="1">
        <v>45670</v>
      </c>
      <c r="G290" s="1">
        <v>45671</v>
      </c>
      <c r="H290" t="s">
        <v>23</v>
      </c>
      <c r="I290" t="s">
        <v>35</v>
      </c>
      <c r="J290">
        <v>1</v>
      </c>
      <c r="K290" t="s">
        <v>19</v>
      </c>
      <c r="L290" t="s">
        <v>62</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x14ac:dyDescent="0.3">
      <c r="A291" t="s">
        <v>372</v>
      </c>
      <c r="B291" t="s">
        <v>54</v>
      </c>
      <c r="C291">
        <v>4</v>
      </c>
      <c r="D291">
        <v>37.799999999999997</v>
      </c>
      <c r="E291">
        <v>151.19999999999999</v>
      </c>
      <c r="F291" s="1">
        <v>45670</v>
      </c>
      <c r="G291" s="1">
        <v>45671</v>
      </c>
      <c r="H291" t="s">
        <v>23</v>
      </c>
      <c r="I291" t="s">
        <v>40</v>
      </c>
      <c r="J291">
        <v>5</v>
      </c>
      <c r="K291" t="s">
        <v>19</v>
      </c>
      <c r="L291" t="s">
        <v>62</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x14ac:dyDescent="0.3">
      <c r="A292" t="s">
        <v>373</v>
      </c>
      <c r="B292" t="s">
        <v>32</v>
      </c>
      <c r="C292">
        <v>3</v>
      </c>
      <c r="D292">
        <v>28.1</v>
      </c>
      <c r="E292">
        <v>84.300000000000011</v>
      </c>
      <c r="F292" s="1">
        <v>45670</v>
      </c>
      <c r="G292" s="1">
        <v>45674</v>
      </c>
      <c r="H292" t="s">
        <v>23</v>
      </c>
      <c r="I292" t="s">
        <v>18</v>
      </c>
      <c r="J292">
        <v>4</v>
      </c>
      <c r="K292" t="s">
        <v>19</v>
      </c>
      <c r="L292" t="s">
        <v>62</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x14ac:dyDescent="0.3">
      <c r="A293" t="s">
        <v>374</v>
      </c>
      <c r="B293" t="s">
        <v>42</v>
      </c>
      <c r="C293">
        <v>6</v>
      </c>
      <c r="D293">
        <v>51.4</v>
      </c>
      <c r="E293">
        <v>308.39999999999998</v>
      </c>
      <c r="F293" s="1">
        <v>45670</v>
      </c>
      <c r="G293" s="1">
        <v>45674</v>
      </c>
      <c r="H293" t="s">
        <v>23</v>
      </c>
      <c r="I293" t="s">
        <v>18</v>
      </c>
      <c r="J293">
        <v>4</v>
      </c>
      <c r="K293" t="s">
        <v>19</v>
      </c>
      <c r="L293" t="s">
        <v>62</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x14ac:dyDescent="0.3">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x14ac:dyDescent="0.3">
      <c r="A295" t="s">
        <v>376</v>
      </c>
      <c r="B295" t="s">
        <v>22</v>
      </c>
      <c r="C295">
        <v>4</v>
      </c>
      <c r="D295">
        <v>63.8</v>
      </c>
      <c r="E295">
        <v>255.2</v>
      </c>
      <c r="F295" s="1">
        <v>45670</v>
      </c>
      <c r="G295" s="1">
        <v>45671</v>
      </c>
      <c r="H295" t="s">
        <v>23</v>
      </c>
      <c r="I295" t="s">
        <v>40</v>
      </c>
      <c r="J295">
        <v>4</v>
      </c>
      <c r="K295" t="s">
        <v>19</v>
      </c>
      <c r="L295" t="s">
        <v>377</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x14ac:dyDescent="0.3">
      <c r="A296" t="s">
        <v>378</v>
      </c>
      <c r="B296" t="s">
        <v>76</v>
      </c>
      <c r="C296">
        <v>2</v>
      </c>
      <c r="D296">
        <v>20.100000000000001</v>
      </c>
      <c r="E296">
        <v>40.200000000000003</v>
      </c>
      <c r="F296" s="1">
        <v>45670</v>
      </c>
      <c r="G296" s="1">
        <v>45672</v>
      </c>
      <c r="H296" t="s">
        <v>23</v>
      </c>
      <c r="I296" t="s">
        <v>18</v>
      </c>
      <c r="J296">
        <v>5</v>
      </c>
      <c r="K296" t="s">
        <v>19</v>
      </c>
      <c r="L296" t="s">
        <v>113</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x14ac:dyDescent="0.3">
      <c r="A297" t="s">
        <v>379</v>
      </c>
      <c r="B297" t="s">
        <v>67</v>
      </c>
      <c r="C297">
        <v>3</v>
      </c>
      <c r="D297">
        <v>50.4</v>
      </c>
      <c r="E297">
        <v>151.19999999999999</v>
      </c>
      <c r="F297" s="1">
        <v>45670</v>
      </c>
      <c r="G297" s="1">
        <v>45673</v>
      </c>
      <c r="H297" t="s">
        <v>27</v>
      </c>
      <c r="I297" t="s">
        <v>51</v>
      </c>
      <c r="J297">
        <v>4</v>
      </c>
      <c r="K297" t="s">
        <v>19</v>
      </c>
      <c r="L297" t="s">
        <v>82</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x14ac:dyDescent="0.3">
      <c r="A298" t="s">
        <v>380</v>
      </c>
      <c r="B298" t="s">
        <v>16</v>
      </c>
      <c r="C298">
        <v>1</v>
      </c>
      <c r="D298">
        <v>16.2</v>
      </c>
      <c r="E298">
        <v>16.2</v>
      </c>
      <c r="F298" s="1">
        <v>45670</v>
      </c>
      <c r="G298" s="1">
        <v>45683</v>
      </c>
      <c r="H298" t="s">
        <v>27</v>
      </c>
      <c r="I298" t="s">
        <v>35</v>
      </c>
      <c r="J298">
        <v>4</v>
      </c>
      <c r="K298" t="s">
        <v>19</v>
      </c>
      <c r="L298" t="s">
        <v>24</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x14ac:dyDescent="0.3">
      <c r="A299" t="s">
        <v>381</v>
      </c>
      <c r="B299" t="s">
        <v>39</v>
      </c>
      <c r="C299">
        <v>7</v>
      </c>
      <c r="D299">
        <v>80.900000000000006</v>
      </c>
      <c r="E299">
        <v>566.30000000000007</v>
      </c>
      <c r="F299" s="1">
        <v>45670</v>
      </c>
      <c r="G299" s="1">
        <v>45672</v>
      </c>
      <c r="H299" t="s">
        <v>23</v>
      </c>
      <c r="I299" t="s">
        <v>70</v>
      </c>
      <c r="J299">
        <v>2</v>
      </c>
      <c r="K299" t="s">
        <v>19</v>
      </c>
      <c r="L299" t="s">
        <v>28</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x14ac:dyDescent="0.3">
      <c r="A300" t="s">
        <v>382</v>
      </c>
      <c r="B300" t="s">
        <v>46</v>
      </c>
      <c r="C300">
        <v>6</v>
      </c>
      <c r="D300">
        <v>95.2</v>
      </c>
      <c r="E300">
        <v>571.20000000000005</v>
      </c>
      <c r="F300" s="1">
        <v>45670</v>
      </c>
      <c r="G300" s="1">
        <v>45672</v>
      </c>
      <c r="H300" t="s">
        <v>27</v>
      </c>
      <c r="I300" t="s">
        <v>18</v>
      </c>
      <c r="J300">
        <v>5</v>
      </c>
      <c r="K300" t="s">
        <v>19</v>
      </c>
      <c r="L300" t="s">
        <v>28</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x14ac:dyDescent="0.3">
      <c r="A301" t="s">
        <v>383</v>
      </c>
      <c r="B301" t="s">
        <v>37</v>
      </c>
      <c r="C301">
        <v>8</v>
      </c>
      <c r="D301">
        <v>70.400000000000006</v>
      </c>
      <c r="E301">
        <v>563.20000000000005</v>
      </c>
      <c r="F301" s="1">
        <v>45670</v>
      </c>
      <c r="G301" s="1">
        <v>45671</v>
      </c>
      <c r="H301" t="s">
        <v>23</v>
      </c>
      <c r="I301" t="s">
        <v>35</v>
      </c>
      <c r="J301">
        <v>3</v>
      </c>
      <c r="K301" t="s">
        <v>19</v>
      </c>
      <c r="L301" t="s">
        <v>33</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x14ac:dyDescent="0.3">
      <c r="A302" t="s">
        <v>384</v>
      </c>
      <c r="B302" t="s">
        <v>16</v>
      </c>
      <c r="C302">
        <v>5</v>
      </c>
      <c r="D302">
        <v>10.7</v>
      </c>
      <c r="E302">
        <v>53.5</v>
      </c>
      <c r="F302" s="1">
        <v>45670</v>
      </c>
      <c r="G302" s="1">
        <v>45674</v>
      </c>
      <c r="H302" t="s">
        <v>27</v>
      </c>
      <c r="I302" t="s">
        <v>40</v>
      </c>
      <c r="J302">
        <v>4</v>
      </c>
      <c r="K302" t="s">
        <v>19</v>
      </c>
      <c r="L302" t="s">
        <v>33</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x14ac:dyDescent="0.3">
      <c r="A303" t="s">
        <v>385</v>
      </c>
      <c r="B303" t="s">
        <v>44</v>
      </c>
      <c r="C303">
        <v>5</v>
      </c>
      <c r="D303">
        <v>19.600000000000001</v>
      </c>
      <c r="E303">
        <v>98</v>
      </c>
      <c r="F303" s="1">
        <v>45670</v>
      </c>
      <c r="G303" s="1">
        <v>45672</v>
      </c>
      <c r="H303" t="s">
        <v>27</v>
      </c>
      <c r="I303" t="s">
        <v>18</v>
      </c>
      <c r="J303">
        <v>1</v>
      </c>
      <c r="K303" t="s">
        <v>19</v>
      </c>
      <c r="L303" t="s">
        <v>33</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x14ac:dyDescent="0.3">
      <c r="A304" t="s">
        <v>386</v>
      </c>
      <c r="B304" t="s">
        <v>44</v>
      </c>
      <c r="C304">
        <v>11</v>
      </c>
      <c r="D304">
        <v>34.700000000000003</v>
      </c>
      <c r="E304">
        <v>381.70000000000005</v>
      </c>
      <c r="F304" s="1">
        <v>45670</v>
      </c>
      <c r="G304" s="1">
        <v>45672</v>
      </c>
      <c r="H304" t="s">
        <v>27</v>
      </c>
      <c r="I304" t="s">
        <v>18</v>
      </c>
      <c r="J304">
        <v>5</v>
      </c>
      <c r="K304" t="s">
        <v>19</v>
      </c>
      <c r="L304" t="s">
        <v>33</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x14ac:dyDescent="0.3">
      <c r="A305" t="s">
        <v>387</v>
      </c>
      <c r="B305" t="s">
        <v>54</v>
      </c>
      <c r="C305">
        <v>9</v>
      </c>
      <c r="D305">
        <v>34.1</v>
      </c>
      <c r="E305">
        <v>306.90000000000003</v>
      </c>
      <c r="F305" s="1">
        <v>45670</v>
      </c>
      <c r="G305" s="1">
        <v>45671</v>
      </c>
      <c r="H305" t="s">
        <v>27</v>
      </c>
      <c r="I305" t="s">
        <v>70</v>
      </c>
      <c r="J305">
        <v>3</v>
      </c>
      <c r="K305" t="s">
        <v>19</v>
      </c>
      <c r="L305" t="s">
        <v>33</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x14ac:dyDescent="0.3">
      <c r="A306" t="s">
        <v>388</v>
      </c>
      <c r="B306" t="s">
        <v>16</v>
      </c>
      <c r="C306">
        <v>49</v>
      </c>
      <c r="D306">
        <v>29.3</v>
      </c>
      <c r="E306">
        <v>1435.7</v>
      </c>
      <c r="F306" s="1">
        <v>45670</v>
      </c>
      <c r="G306" s="1">
        <v>45670</v>
      </c>
      <c r="H306" t="s">
        <v>23</v>
      </c>
      <c r="I306" t="s">
        <v>18</v>
      </c>
      <c r="J306">
        <v>3</v>
      </c>
      <c r="K306" t="s">
        <v>19</v>
      </c>
      <c r="L306" t="s">
        <v>33</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x14ac:dyDescent="0.3">
      <c r="A307" t="s">
        <v>389</v>
      </c>
      <c r="B307" t="s">
        <v>22</v>
      </c>
      <c r="C307">
        <v>1</v>
      </c>
      <c r="D307">
        <v>55.2</v>
      </c>
      <c r="E307">
        <v>55.2</v>
      </c>
      <c r="F307" s="1">
        <v>45670</v>
      </c>
      <c r="G307" s="1">
        <v>45671</v>
      </c>
      <c r="H307" t="s">
        <v>27</v>
      </c>
      <c r="I307" t="s">
        <v>18</v>
      </c>
      <c r="J307">
        <v>3</v>
      </c>
      <c r="K307" t="s">
        <v>19</v>
      </c>
      <c r="L307" t="s">
        <v>33</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x14ac:dyDescent="0.3">
      <c r="A308" t="s">
        <v>390</v>
      </c>
      <c r="B308" t="s">
        <v>146</v>
      </c>
      <c r="C308">
        <v>3</v>
      </c>
      <c r="D308">
        <v>26</v>
      </c>
      <c r="E308">
        <v>78</v>
      </c>
      <c r="F308" s="1">
        <v>45670</v>
      </c>
      <c r="G308" s="1">
        <v>45673</v>
      </c>
      <c r="H308" t="s">
        <v>27</v>
      </c>
      <c r="I308" t="s">
        <v>18</v>
      </c>
      <c r="J308">
        <v>5</v>
      </c>
      <c r="K308" t="s">
        <v>19</v>
      </c>
      <c r="L308" t="s">
        <v>33</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x14ac:dyDescent="0.3">
      <c r="A309" t="s">
        <v>391</v>
      </c>
      <c r="B309" t="s">
        <v>81</v>
      </c>
      <c r="C309">
        <v>2</v>
      </c>
      <c r="D309">
        <v>14.2</v>
      </c>
      <c r="E309">
        <v>28.4</v>
      </c>
      <c r="F309" s="1">
        <v>45670</v>
      </c>
      <c r="G309" s="1">
        <v>45675</v>
      </c>
      <c r="H309" t="s">
        <v>27</v>
      </c>
      <c r="I309" t="s">
        <v>51</v>
      </c>
      <c r="J309">
        <v>4</v>
      </c>
      <c r="K309" t="s">
        <v>19</v>
      </c>
      <c r="L309" t="s">
        <v>392</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x14ac:dyDescent="0.3">
      <c r="A310" t="s">
        <v>393</v>
      </c>
      <c r="B310" t="s">
        <v>44</v>
      </c>
      <c r="C310">
        <v>9</v>
      </c>
      <c r="D310">
        <v>22.7</v>
      </c>
      <c r="E310">
        <v>204.29999999999998</v>
      </c>
      <c r="F310" s="1">
        <v>45671</v>
      </c>
      <c r="G310" s="1">
        <v>45672</v>
      </c>
      <c r="H310" t="s">
        <v>23</v>
      </c>
      <c r="I310" t="s">
        <v>35</v>
      </c>
      <c r="J310">
        <v>4</v>
      </c>
      <c r="K310" t="s">
        <v>19</v>
      </c>
      <c r="L310" t="s">
        <v>55</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x14ac:dyDescent="0.3">
      <c r="A311" t="s">
        <v>394</v>
      </c>
      <c r="B311" t="s">
        <v>16</v>
      </c>
      <c r="C311">
        <v>15</v>
      </c>
      <c r="D311">
        <v>19.8</v>
      </c>
      <c r="E311">
        <v>297</v>
      </c>
      <c r="F311" s="1">
        <v>45671</v>
      </c>
      <c r="G311" s="1">
        <v>45671</v>
      </c>
      <c r="H311" t="s">
        <v>27</v>
      </c>
      <c r="I311" t="s">
        <v>18</v>
      </c>
      <c r="J311">
        <v>5</v>
      </c>
      <c r="K311" t="s">
        <v>19</v>
      </c>
      <c r="L311" t="s">
        <v>55</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x14ac:dyDescent="0.3">
      <c r="A312" t="s">
        <v>395</v>
      </c>
      <c r="B312" t="s">
        <v>16</v>
      </c>
      <c r="C312">
        <v>3</v>
      </c>
      <c r="D312">
        <v>31.7</v>
      </c>
      <c r="E312">
        <v>95.1</v>
      </c>
      <c r="F312" s="1">
        <v>45671</v>
      </c>
      <c r="G312" s="1">
        <v>45672</v>
      </c>
      <c r="H312" t="s">
        <v>23</v>
      </c>
      <c r="I312" t="s">
        <v>40</v>
      </c>
      <c r="J312">
        <v>4</v>
      </c>
      <c r="K312" t="s">
        <v>19</v>
      </c>
      <c r="L312" t="s">
        <v>55</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x14ac:dyDescent="0.3">
      <c r="A313" t="s">
        <v>396</v>
      </c>
      <c r="B313" t="s">
        <v>44</v>
      </c>
      <c r="C313">
        <v>4</v>
      </c>
      <c r="D313">
        <v>30.4</v>
      </c>
      <c r="E313">
        <v>121.6</v>
      </c>
      <c r="F313" s="1">
        <v>45671</v>
      </c>
      <c r="G313" s="1">
        <v>45675</v>
      </c>
      <c r="H313" t="s">
        <v>23</v>
      </c>
      <c r="I313" t="s">
        <v>18</v>
      </c>
      <c r="J313">
        <v>4</v>
      </c>
      <c r="K313" t="s">
        <v>19</v>
      </c>
      <c r="L313" t="s">
        <v>55</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x14ac:dyDescent="0.3">
      <c r="A314" t="s">
        <v>397</v>
      </c>
      <c r="B314" t="s">
        <v>16</v>
      </c>
      <c r="C314">
        <v>4</v>
      </c>
      <c r="D314">
        <v>25.6</v>
      </c>
      <c r="E314">
        <v>102.4</v>
      </c>
      <c r="F314" s="1">
        <v>45671</v>
      </c>
      <c r="G314" s="1">
        <v>45672</v>
      </c>
      <c r="H314" t="s">
        <v>23</v>
      </c>
      <c r="I314" t="s">
        <v>51</v>
      </c>
      <c r="J314">
        <v>4</v>
      </c>
      <c r="K314" t="s">
        <v>19</v>
      </c>
      <c r="L314" t="s">
        <v>62</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x14ac:dyDescent="0.3">
      <c r="A315" t="s">
        <v>398</v>
      </c>
      <c r="B315" t="s">
        <v>37</v>
      </c>
      <c r="C315">
        <v>2</v>
      </c>
      <c r="D315">
        <v>34.9</v>
      </c>
      <c r="E315">
        <v>69.8</v>
      </c>
      <c r="F315" s="1">
        <v>45671</v>
      </c>
      <c r="G315" s="1">
        <v>45672</v>
      </c>
      <c r="H315" t="s">
        <v>27</v>
      </c>
      <c r="I315" t="s">
        <v>40</v>
      </c>
      <c r="J315">
        <v>4</v>
      </c>
      <c r="K315" t="s">
        <v>19</v>
      </c>
      <c r="L315" t="s">
        <v>72</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x14ac:dyDescent="0.3">
      <c r="A316" t="s">
        <v>399</v>
      </c>
      <c r="B316" t="s">
        <v>42</v>
      </c>
      <c r="C316">
        <v>6</v>
      </c>
      <c r="D316">
        <v>42.7</v>
      </c>
      <c r="E316">
        <v>256.20000000000005</v>
      </c>
      <c r="F316" s="1">
        <v>45671</v>
      </c>
      <c r="G316" s="1">
        <v>45674</v>
      </c>
      <c r="H316" t="s">
        <v>23</v>
      </c>
      <c r="I316" t="s">
        <v>40</v>
      </c>
      <c r="J316">
        <v>3</v>
      </c>
      <c r="K316" t="s">
        <v>19</v>
      </c>
      <c r="L316" t="s">
        <v>77</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x14ac:dyDescent="0.3">
      <c r="A317" t="s">
        <v>400</v>
      </c>
      <c r="B317" t="s">
        <v>44</v>
      </c>
      <c r="C317">
        <v>1</v>
      </c>
      <c r="D317">
        <v>23.9</v>
      </c>
      <c r="E317">
        <v>23.9</v>
      </c>
      <c r="F317" s="1">
        <v>45671</v>
      </c>
      <c r="G317" s="1">
        <v>45673</v>
      </c>
      <c r="H317" t="s">
        <v>27</v>
      </c>
      <c r="I317" t="s">
        <v>51</v>
      </c>
      <c r="J317">
        <v>4</v>
      </c>
      <c r="K317" t="s">
        <v>19</v>
      </c>
      <c r="L317" t="s">
        <v>77</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x14ac:dyDescent="0.3">
      <c r="A318" t="s">
        <v>401</v>
      </c>
      <c r="B318" t="s">
        <v>39</v>
      </c>
      <c r="C318">
        <v>1</v>
      </c>
      <c r="D318">
        <v>124.3</v>
      </c>
      <c r="E318">
        <v>124.3</v>
      </c>
      <c r="F318" s="1">
        <v>45671</v>
      </c>
      <c r="G318" s="1">
        <v>45672</v>
      </c>
      <c r="H318" t="s">
        <v>17</v>
      </c>
      <c r="I318" t="s">
        <v>40</v>
      </c>
      <c r="J318">
        <v>3</v>
      </c>
      <c r="K318" t="s">
        <v>19</v>
      </c>
      <c r="L318" t="s">
        <v>115</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x14ac:dyDescent="0.3">
      <c r="A319" t="s">
        <v>402</v>
      </c>
      <c r="B319" t="s">
        <v>44</v>
      </c>
      <c r="C319">
        <v>6</v>
      </c>
      <c r="D319">
        <v>35.9</v>
      </c>
      <c r="E319">
        <v>215.39999999999998</v>
      </c>
      <c r="F319" s="1">
        <v>45671</v>
      </c>
      <c r="G319" s="1">
        <v>45672</v>
      </c>
      <c r="H319" t="s">
        <v>27</v>
      </c>
      <c r="I319" t="s">
        <v>18</v>
      </c>
      <c r="J319">
        <v>3</v>
      </c>
      <c r="K319" t="s">
        <v>19</v>
      </c>
      <c r="L319" t="s">
        <v>24</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x14ac:dyDescent="0.3">
      <c r="A320" t="s">
        <v>403</v>
      </c>
      <c r="B320" t="s">
        <v>26</v>
      </c>
      <c r="C320">
        <v>2</v>
      </c>
      <c r="D320">
        <v>69.099999999999994</v>
      </c>
      <c r="E320">
        <v>138.19999999999999</v>
      </c>
      <c r="F320" s="1">
        <v>45671</v>
      </c>
      <c r="G320" s="1">
        <v>45674</v>
      </c>
      <c r="H320" t="s">
        <v>27</v>
      </c>
      <c r="I320" t="s">
        <v>18</v>
      </c>
      <c r="J320">
        <v>5</v>
      </c>
      <c r="K320" t="s">
        <v>19</v>
      </c>
      <c r="L320" t="s">
        <v>147</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x14ac:dyDescent="0.3">
      <c r="A321" t="s">
        <v>404</v>
      </c>
      <c r="B321" t="s">
        <v>42</v>
      </c>
      <c r="C321">
        <v>1</v>
      </c>
      <c r="D321">
        <v>58.4</v>
      </c>
      <c r="E321">
        <v>58.4</v>
      </c>
      <c r="F321" s="1">
        <v>45671</v>
      </c>
      <c r="G321" s="1">
        <v>45675</v>
      </c>
      <c r="H321" t="s">
        <v>23</v>
      </c>
      <c r="I321" t="s">
        <v>18</v>
      </c>
      <c r="J321">
        <v>4</v>
      </c>
      <c r="K321" t="s">
        <v>19</v>
      </c>
      <c r="L321" t="s">
        <v>147</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x14ac:dyDescent="0.3">
      <c r="A322" t="s">
        <v>405</v>
      </c>
      <c r="B322" t="s">
        <v>37</v>
      </c>
      <c r="C322">
        <v>1</v>
      </c>
      <c r="D322">
        <v>65.2</v>
      </c>
      <c r="E322">
        <v>65.2</v>
      </c>
      <c r="F322" s="1">
        <v>45671</v>
      </c>
      <c r="G322" s="1">
        <v>45673</v>
      </c>
      <c r="H322" t="s">
        <v>89</v>
      </c>
      <c r="I322" t="s">
        <v>70</v>
      </c>
      <c r="J322">
        <v>2</v>
      </c>
      <c r="K322" t="s">
        <v>19</v>
      </c>
      <c r="L322" t="s">
        <v>33</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x14ac:dyDescent="0.3">
      <c r="A323" t="s">
        <v>406</v>
      </c>
      <c r="B323" t="s">
        <v>44</v>
      </c>
      <c r="C323">
        <v>17</v>
      </c>
      <c r="D323">
        <v>32.700000000000003</v>
      </c>
      <c r="E323">
        <v>555.90000000000009</v>
      </c>
      <c r="F323" s="1">
        <v>45671</v>
      </c>
      <c r="G323" s="1">
        <v>45678</v>
      </c>
      <c r="H323" t="s">
        <v>17</v>
      </c>
      <c r="I323" t="s">
        <v>70</v>
      </c>
      <c r="J323">
        <v>4</v>
      </c>
      <c r="K323" t="s">
        <v>19</v>
      </c>
      <c r="L323" t="s">
        <v>33</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x14ac:dyDescent="0.3">
      <c r="A324" t="s">
        <v>407</v>
      </c>
      <c r="B324" t="s">
        <v>54</v>
      </c>
      <c r="C324">
        <v>7</v>
      </c>
      <c r="D324">
        <v>24.4</v>
      </c>
      <c r="E324">
        <v>170.79999999999998</v>
      </c>
      <c r="F324" s="1">
        <v>45671</v>
      </c>
      <c r="G324" s="1">
        <v>45672</v>
      </c>
      <c r="H324" t="s">
        <v>27</v>
      </c>
      <c r="I324" t="s">
        <v>18</v>
      </c>
      <c r="J324">
        <v>4</v>
      </c>
      <c r="K324" t="s">
        <v>19</v>
      </c>
      <c r="L324" t="s">
        <v>33</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x14ac:dyDescent="0.3">
      <c r="A325" t="s">
        <v>408</v>
      </c>
      <c r="B325" t="s">
        <v>81</v>
      </c>
      <c r="C325">
        <v>2</v>
      </c>
      <c r="D325">
        <v>50.4</v>
      </c>
      <c r="E325">
        <v>100.8</v>
      </c>
      <c r="F325" s="1">
        <v>45671</v>
      </c>
      <c r="G325" s="1">
        <v>45677</v>
      </c>
      <c r="H325" t="s">
        <v>23</v>
      </c>
      <c r="I325" t="s">
        <v>18</v>
      </c>
      <c r="J325">
        <v>3</v>
      </c>
      <c r="K325" t="s">
        <v>19</v>
      </c>
      <c r="L325" t="s">
        <v>33</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x14ac:dyDescent="0.3">
      <c r="A326" t="s">
        <v>409</v>
      </c>
      <c r="B326" t="s">
        <v>22</v>
      </c>
      <c r="C326">
        <v>2</v>
      </c>
      <c r="D326">
        <v>100</v>
      </c>
      <c r="E326">
        <v>200</v>
      </c>
      <c r="F326" s="1">
        <v>45671</v>
      </c>
      <c r="G326" s="1">
        <v>45672</v>
      </c>
      <c r="H326" t="s">
        <v>27</v>
      </c>
      <c r="I326" t="s">
        <v>18</v>
      </c>
      <c r="J326">
        <v>4</v>
      </c>
      <c r="K326" t="s">
        <v>19</v>
      </c>
      <c r="L326" t="s">
        <v>33</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x14ac:dyDescent="0.3">
      <c r="A327" t="s">
        <v>410</v>
      </c>
      <c r="B327" t="s">
        <v>54</v>
      </c>
      <c r="C327">
        <v>3</v>
      </c>
      <c r="D327">
        <v>43</v>
      </c>
      <c r="E327">
        <v>129</v>
      </c>
      <c r="F327" s="1">
        <v>45672</v>
      </c>
      <c r="G327" s="1">
        <v>45672</v>
      </c>
      <c r="H327" t="s">
        <v>27</v>
      </c>
      <c r="I327" t="s">
        <v>40</v>
      </c>
      <c r="J327">
        <v>3</v>
      </c>
      <c r="K327" t="s">
        <v>19</v>
      </c>
      <c r="L327" t="s">
        <v>33</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x14ac:dyDescent="0.3">
      <c r="A328" t="s">
        <v>411</v>
      </c>
      <c r="B328" t="s">
        <v>22</v>
      </c>
      <c r="C328">
        <v>5</v>
      </c>
      <c r="D328">
        <v>64.400000000000006</v>
      </c>
      <c r="E328">
        <v>322</v>
      </c>
      <c r="F328" s="1">
        <v>45672</v>
      </c>
      <c r="G328" s="1">
        <v>45674</v>
      </c>
      <c r="H328" t="s">
        <v>23</v>
      </c>
      <c r="I328" t="s">
        <v>40</v>
      </c>
      <c r="J328">
        <v>3</v>
      </c>
      <c r="K328" t="s">
        <v>19</v>
      </c>
      <c r="L328" t="s">
        <v>33</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x14ac:dyDescent="0.3">
      <c r="A329" t="s">
        <v>412</v>
      </c>
      <c r="B329" t="s">
        <v>146</v>
      </c>
      <c r="C329">
        <v>2</v>
      </c>
      <c r="D329">
        <v>57.4</v>
      </c>
      <c r="E329">
        <v>114.8</v>
      </c>
      <c r="F329" s="1">
        <v>45672</v>
      </c>
      <c r="G329" s="1">
        <v>45673</v>
      </c>
      <c r="H329" t="s">
        <v>23</v>
      </c>
      <c r="I329" t="s">
        <v>40</v>
      </c>
      <c r="J329">
        <v>3</v>
      </c>
      <c r="K329" t="s">
        <v>19</v>
      </c>
      <c r="L329" t="s">
        <v>33</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x14ac:dyDescent="0.3">
      <c r="A330" t="s">
        <v>413</v>
      </c>
      <c r="B330" t="s">
        <v>26</v>
      </c>
      <c r="C330">
        <v>3</v>
      </c>
      <c r="D330">
        <v>55.1</v>
      </c>
      <c r="E330">
        <v>165.3</v>
      </c>
      <c r="F330" s="1">
        <v>45672</v>
      </c>
      <c r="G330" s="1">
        <v>45675</v>
      </c>
      <c r="H330" t="s">
        <v>27</v>
      </c>
      <c r="I330" t="s">
        <v>35</v>
      </c>
      <c r="J330">
        <v>4</v>
      </c>
      <c r="K330" t="s">
        <v>19</v>
      </c>
      <c r="L330" t="s">
        <v>33</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x14ac:dyDescent="0.3">
      <c r="A331" t="s">
        <v>414</v>
      </c>
      <c r="B331" t="s">
        <v>42</v>
      </c>
      <c r="C331">
        <v>4</v>
      </c>
      <c r="D331">
        <v>45.4</v>
      </c>
      <c r="E331">
        <v>181.6</v>
      </c>
      <c r="F331" s="1">
        <v>45672</v>
      </c>
      <c r="G331" s="1">
        <v>45673</v>
      </c>
      <c r="H331" t="s">
        <v>27</v>
      </c>
      <c r="I331" t="s">
        <v>35</v>
      </c>
      <c r="J331">
        <v>4</v>
      </c>
      <c r="K331" t="s">
        <v>19</v>
      </c>
      <c r="L331" t="s">
        <v>33</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x14ac:dyDescent="0.3">
      <c r="A332" t="s">
        <v>415</v>
      </c>
      <c r="B332" t="s">
        <v>30</v>
      </c>
      <c r="C332">
        <v>3</v>
      </c>
      <c r="D332">
        <v>93.3</v>
      </c>
      <c r="E332">
        <v>279.89999999999998</v>
      </c>
      <c r="F332" s="1">
        <v>45672</v>
      </c>
      <c r="G332" s="1">
        <v>45673</v>
      </c>
      <c r="H332" t="s">
        <v>27</v>
      </c>
      <c r="I332" t="s">
        <v>18</v>
      </c>
      <c r="J332">
        <v>4</v>
      </c>
      <c r="K332" t="s">
        <v>19</v>
      </c>
      <c r="L332" t="s">
        <v>416</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x14ac:dyDescent="0.3">
      <c r="A333" t="s">
        <v>417</v>
      </c>
      <c r="B333" t="s">
        <v>26</v>
      </c>
      <c r="C333">
        <v>19</v>
      </c>
      <c r="D333">
        <v>158.19999999999999</v>
      </c>
      <c r="E333">
        <v>3005.7999999999997</v>
      </c>
      <c r="F333" s="1">
        <v>45672</v>
      </c>
      <c r="G333" s="1">
        <v>45673</v>
      </c>
      <c r="H333" t="s">
        <v>27</v>
      </c>
      <c r="I333" t="s">
        <v>35</v>
      </c>
      <c r="J333">
        <v>5</v>
      </c>
      <c r="K333" t="s">
        <v>19</v>
      </c>
      <c r="L333" t="s">
        <v>98</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x14ac:dyDescent="0.3">
      <c r="A334" t="s">
        <v>418</v>
      </c>
      <c r="B334" t="s">
        <v>26</v>
      </c>
      <c r="C334">
        <v>2</v>
      </c>
      <c r="D334">
        <v>74.900000000000006</v>
      </c>
      <c r="E334">
        <v>149.80000000000001</v>
      </c>
      <c r="F334" s="1">
        <v>45672</v>
      </c>
      <c r="G334" s="1">
        <v>45674</v>
      </c>
      <c r="H334" t="s">
        <v>23</v>
      </c>
      <c r="I334" t="s">
        <v>51</v>
      </c>
      <c r="J334">
        <v>4</v>
      </c>
      <c r="K334" t="s">
        <v>19</v>
      </c>
      <c r="L334" t="s">
        <v>55</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x14ac:dyDescent="0.3">
      <c r="A335" t="s">
        <v>419</v>
      </c>
      <c r="B335" t="s">
        <v>44</v>
      </c>
      <c r="C335">
        <v>7</v>
      </c>
      <c r="D335">
        <v>26</v>
      </c>
      <c r="E335">
        <v>182</v>
      </c>
      <c r="F335" s="1">
        <v>45672</v>
      </c>
      <c r="G335" s="1">
        <v>45675</v>
      </c>
      <c r="H335" t="s">
        <v>27</v>
      </c>
      <c r="I335" t="s">
        <v>35</v>
      </c>
      <c r="J335">
        <v>4</v>
      </c>
      <c r="K335" t="s">
        <v>19</v>
      </c>
      <c r="L335" t="s">
        <v>62</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x14ac:dyDescent="0.3">
      <c r="A336" t="s">
        <v>420</v>
      </c>
      <c r="B336" t="s">
        <v>46</v>
      </c>
      <c r="C336">
        <v>6</v>
      </c>
      <c r="D336">
        <v>37.5</v>
      </c>
      <c r="E336">
        <v>225</v>
      </c>
      <c r="F336" s="1">
        <v>45672</v>
      </c>
      <c r="G336" s="1">
        <v>45673</v>
      </c>
      <c r="H336" t="s">
        <v>27</v>
      </c>
      <c r="I336" t="s">
        <v>18</v>
      </c>
      <c r="J336">
        <v>3</v>
      </c>
      <c r="K336" t="s">
        <v>19</v>
      </c>
      <c r="L336" t="s">
        <v>62</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x14ac:dyDescent="0.3">
      <c r="A337" t="s">
        <v>421</v>
      </c>
      <c r="B337" t="s">
        <v>39</v>
      </c>
      <c r="C337">
        <v>2</v>
      </c>
      <c r="D337">
        <v>75.8</v>
      </c>
      <c r="E337">
        <v>151.6</v>
      </c>
      <c r="F337" s="1">
        <v>45672</v>
      </c>
      <c r="G337" s="1">
        <v>45678</v>
      </c>
      <c r="H337" t="s">
        <v>23</v>
      </c>
      <c r="I337" t="s">
        <v>18</v>
      </c>
      <c r="J337">
        <v>4</v>
      </c>
      <c r="K337" t="s">
        <v>19</v>
      </c>
      <c r="L337" t="s">
        <v>62</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x14ac:dyDescent="0.3">
      <c r="A338" t="s">
        <v>422</v>
      </c>
      <c r="B338" t="s">
        <v>42</v>
      </c>
      <c r="C338">
        <v>1</v>
      </c>
      <c r="D338">
        <v>48.5</v>
      </c>
      <c r="E338">
        <v>48.5</v>
      </c>
      <c r="F338" s="1">
        <v>45672</v>
      </c>
      <c r="G338" s="1">
        <v>45684</v>
      </c>
      <c r="H338" t="s">
        <v>17</v>
      </c>
      <c r="I338" t="s">
        <v>70</v>
      </c>
      <c r="J338">
        <v>5</v>
      </c>
      <c r="K338" t="s">
        <v>19</v>
      </c>
      <c r="L338" t="s">
        <v>62</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x14ac:dyDescent="0.3">
      <c r="A339" t="s">
        <v>423</v>
      </c>
      <c r="B339" t="s">
        <v>39</v>
      </c>
      <c r="C339">
        <v>3</v>
      </c>
      <c r="D339">
        <v>98.9</v>
      </c>
      <c r="E339">
        <v>296.70000000000005</v>
      </c>
      <c r="F339" s="1">
        <v>45672</v>
      </c>
      <c r="G339" s="1">
        <v>45674</v>
      </c>
      <c r="H339" t="s">
        <v>27</v>
      </c>
      <c r="I339" t="s">
        <v>70</v>
      </c>
      <c r="J339">
        <v>3</v>
      </c>
      <c r="K339" t="s">
        <v>19</v>
      </c>
      <c r="L339" t="s">
        <v>62</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x14ac:dyDescent="0.3">
      <c r="A340" t="s">
        <v>424</v>
      </c>
      <c r="B340" t="s">
        <v>22</v>
      </c>
      <c r="C340">
        <v>12</v>
      </c>
      <c r="D340">
        <v>50.9</v>
      </c>
      <c r="E340">
        <v>610.79999999999995</v>
      </c>
      <c r="F340" s="1">
        <v>45672</v>
      </c>
      <c r="G340" s="1">
        <v>45672</v>
      </c>
      <c r="H340" t="s">
        <v>23</v>
      </c>
      <c r="I340" t="s">
        <v>70</v>
      </c>
      <c r="J340">
        <v>4</v>
      </c>
      <c r="K340" t="s">
        <v>19</v>
      </c>
      <c r="L340" t="s">
        <v>62</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x14ac:dyDescent="0.3">
      <c r="A341" t="s">
        <v>425</v>
      </c>
      <c r="B341" t="s">
        <v>69</v>
      </c>
      <c r="C341">
        <v>6</v>
      </c>
      <c r="D341">
        <v>84.7</v>
      </c>
      <c r="E341">
        <v>508.20000000000005</v>
      </c>
      <c r="F341" s="1">
        <v>45672</v>
      </c>
      <c r="G341" s="1">
        <v>45672</v>
      </c>
      <c r="H341" t="s">
        <v>27</v>
      </c>
      <c r="I341" t="s">
        <v>40</v>
      </c>
      <c r="J341">
        <v>4</v>
      </c>
      <c r="K341" t="s">
        <v>19</v>
      </c>
      <c r="L341" t="s">
        <v>62</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x14ac:dyDescent="0.3">
      <c r="A342" t="s">
        <v>426</v>
      </c>
      <c r="B342" t="s">
        <v>44</v>
      </c>
      <c r="C342">
        <v>1</v>
      </c>
      <c r="D342">
        <v>20.7</v>
      </c>
      <c r="E342">
        <v>20.7</v>
      </c>
      <c r="F342" s="1">
        <v>45672</v>
      </c>
      <c r="G342" s="1">
        <v>45674</v>
      </c>
      <c r="H342" t="s">
        <v>27</v>
      </c>
      <c r="I342" t="s">
        <v>51</v>
      </c>
      <c r="J342">
        <v>5</v>
      </c>
      <c r="K342" t="s">
        <v>19</v>
      </c>
      <c r="L342" t="s">
        <v>62</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x14ac:dyDescent="0.3">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x14ac:dyDescent="0.3">
      <c r="A344" t="s">
        <v>428</v>
      </c>
      <c r="B344" t="s">
        <v>26</v>
      </c>
      <c r="C344">
        <v>2</v>
      </c>
      <c r="D344">
        <v>106.9</v>
      </c>
      <c r="E344">
        <v>213.8</v>
      </c>
      <c r="F344" s="1">
        <v>45672</v>
      </c>
      <c r="G344" s="1">
        <v>45674</v>
      </c>
      <c r="H344" t="s">
        <v>27</v>
      </c>
      <c r="I344" t="s">
        <v>18</v>
      </c>
      <c r="J344">
        <v>5</v>
      </c>
      <c r="K344" t="s">
        <v>19</v>
      </c>
      <c r="L344" t="s">
        <v>429</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x14ac:dyDescent="0.3">
      <c r="A345" t="s">
        <v>430</v>
      </c>
      <c r="B345" t="s">
        <v>30</v>
      </c>
      <c r="C345">
        <v>5</v>
      </c>
      <c r="D345">
        <v>45.2</v>
      </c>
      <c r="E345">
        <v>226</v>
      </c>
      <c r="F345" s="1">
        <v>45672</v>
      </c>
      <c r="G345" s="1">
        <v>45676</v>
      </c>
      <c r="H345" t="s">
        <v>27</v>
      </c>
      <c r="I345" t="s">
        <v>35</v>
      </c>
      <c r="J345">
        <v>4</v>
      </c>
      <c r="K345" t="s">
        <v>19</v>
      </c>
      <c r="L345" t="s">
        <v>115</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x14ac:dyDescent="0.3">
      <c r="A346" t="s">
        <v>431</v>
      </c>
      <c r="B346" t="s">
        <v>44</v>
      </c>
      <c r="C346">
        <v>13</v>
      </c>
      <c r="D346">
        <v>34.6</v>
      </c>
      <c r="E346">
        <v>449.8</v>
      </c>
      <c r="F346" s="1">
        <v>45672</v>
      </c>
      <c r="G346" s="1">
        <v>45672</v>
      </c>
      <c r="H346" t="s">
        <v>27</v>
      </c>
      <c r="I346" t="s">
        <v>35</v>
      </c>
      <c r="J346">
        <v>3</v>
      </c>
      <c r="K346" t="s">
        <v>19</v>
      </c>
      <c r="L346" t="s">
        <v>115</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x14ac:dyDescent="0.3">
      <c r="A347" t="s">
        <v>432</v>
      </c>
      <c r="B347" t="s">
        <v>123</v>
      </c>
      <c r="C347">
        <v>1</v>
      </c>
      <c r="D347">
        <v>43.8</v>
      </c>
      <c r="E347">
        <v>43.8</v>
      </c>
      <c r="F347" s="1">
        <v>45672</v>
      </c>
      <c r="G347" s="1">
        <v>45674</v>
      </c>
      <c r="H347" t="s">
        <v>17</v>
      </c>
      <c r="I347" t="s">
        <v>18</v>
      </c>
      <c r="J347">
        <v>5</v>
      </c>
      <c r="K347" t="s">
        <v>19</v>
      </c>
      <c r="L347" t="s">
        <v>115</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x14ac:dyDescent="0.3">
      <c r="A348" t="s">
        <v>433</v>
      </c>
      <c r="B348" t="s">
        <v>123</v>
      </c>
      <c r="C348">
        <v>1</v>
      </c>
      <c r="D348">
        <v>20.399999999999999</v>
      </c>
      <c r="E348">
        <v>20.399999999999999</v>
      </c>
      <c r="F348" s="1">
        <v>45672</v>
      </c>
      <c r="G348" s="1">
        <v>45674</v>
      </c>
      <c r="H348" t="s">
        <v>23</v>
      </c>
      <c r="I348" t="s">
        <v>70</v>
      </c>
      <c r="J348">
        <v>3</v>
      </c>
      <c r="K348" t="s">
        <v>19</v>
      </c>
      <c r="L348" t="s">
        <v>115</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x14ac:dyDescent="0.3">
      <c r="A349" t="s">
        <v>434</v>
      </c>
      <c r="B349" t="s">
        <v>22</v>
      </c>
      <c r="C349">
        <v>1</v>
      </c>
      <c r="D349">
        <v>36.700000000000003</v>
      </c>
      <c r="E349">
        <v>36.700000000000003</v>
      </c>
      <c r="F349" s="1">
        <v>45672</v>
      </c>
      <c r="G349" s="1">
        <v>45673</v>
      </c>
      <c r="H349" t="s">
        <v>23</v>
      </c>
      <c r="I349" t="s">
        <v>18</v>
      </c>
      <c r="J349">
        <v>3</v>
      </c>
      <c r="K349" t="s">
        <v>19</v>
      </c>
      <c r="L349" t="s">
        <v>24</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x14ac:dyDescent="0.3">
      <c r="A350" t="s">
        <v>435</v>
      </c>
      <c r="B350" t="s">
        <v>44</v>
      </c>
      <c r="C350">
        <v>3</v>
      </c>
      <c r="D350">
        <v>27.2</v>
      </c>
      <c r="E350">
        <v>81.599999999999994</v>
      </c>
      <c r="F350" s="1">
        <v>45672</v>
      </c>
      <c r="G350" s="1">
        <v>45676</v>
      </c>
      <c r="H350" t="s">
        <v>23</v>
      </c>
      <c r="I350" t="s">
        <v>18</v>
      </c>
      <c r="J350">
        <v>5</v>
      </c>
      <c r="K350" t="s">
        <v>19</v>
      </c>
      <c r="L350" t="s">
        <v>24</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x14ac:dyDescent="0.3">
      <c r="A351" t="s">
        <v>436</v>
      </c>
      <c r="B351" t="s">
        <v>39</v>
      </c>
      <c r="C351">
        <v>1</v>
      </c>
      <c r="D351">
        <v>58.2</v>
      </c>
      <c r="E351">
        <v>58.2</v>
      </c>
      <c r="F351" s="1">
        <v>45672</v>
      </c>
      <c r="G351" s="1">
        <v>45673</v>
      </c>
      <c r="H351" t="s">
        <v>27</v>
      </c>
      <c r="I351" t="s">
        <v>18</v>
      </c>
      <c r="J351">
        <v>5</v>
      </c>
      <c r="K351" t="s">
        <v>19</v>
      </c>
      <c r="L351" t="s">
        <v>437</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x14ac:dyDescent="0.3">
      <c r="A352" t="s">
        <v>438</v>
      </c>
      <c r="B352" t="s">
        <v>44</v>
      </c>
      <c r="C352">
        <v>3</v>
      </c>
      <c r="D352">
        <v>25.6</v>
      </c>
      <c r="E352">
        <v>76.800000000000011</v>
      </c>
      <c r="F352" s="1">
        <v>45672</v>
      </c>
      <c r="G352" s="1">
        <v>45673</v>
      </c>
      <c r="H352" t="s">
        <v>23</v>
      </c>
      <c r="I352" t="s">
        <v>70</v>
      </c>
      <c r="J352">
        <v>2</v>
      </c>
      <c r="K352" t="s">
        <v>19</v>
      </c>
      <c r="L352" t="s">
        <v>28</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x14ac:dyDescent="0.3">
      <c r="A353" t="s">
        <v>439</v>
      </c>
      <c r="B353" t="s">
        <v>54</v>
      </c>
      <c r="C353">
        <v>1</v>
      </c>
      <c r="D353">
        <v>21.2</v>
      </c>
      <c r="E353">
        <v>21.2</v>
      </c>
      <c r="F353" s="1">
        <v>45672</v>
      </c>
      <c r="G353" s="1">
        <v>45672</v>
      </c>
      <c r="H353" t="s">
        <v>27</v>
      </c>
      <c r="I353" t="s">
        <v>35</v>
      </c>
      <c r="J353">
        <v>5</v>
      </c>
      <c r="K353" t="s">
        <v>19</v>
      </c>
      <c r="L353" t="s">
        <v>33</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x14ac:dyDescent="0.3">
      <c r="A354" t="s">
        <v>440</v>
      </c>
      <c r="B354" t="s">
        <v>39</v>
      </c>
      <c r="C354">
        <v>2</v>
      </c>
      <c r="D354">
        <v>48.2</v>
      </c>
      <c r="E354">
        <v>96.4</v>
      </c>
      <c r="F354" s="1">
        <v>45672</v>
      </c>
      <c r="G354" s="1">
        <v>45680</v>
      </c>
      <c r="H354" t="s">
        <v>27</v>
      </c>
      <c r="I354" t="s">
        <v>18</v>
      </c>
      <c r="J354">
        <v>5</v>
      </c>
      <c r="K354" t="s">
        <v>19</v>
      </c>
      <c r="L354" t="s">
        <v>33</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x14ac:dyDescent="0.3">
      <c r="A355" t="s">
        <v>441</v>
      </c>
      <c r="B355" t="s">
        <v>22</v>
      </c>
      <c r="C355">
        <v>4</v>
      </c>
      <c r="D355">
        <v>83.4</v>
      </c>
      <c r="E355">
        <v>333.6</v>
      </c>
      <c r="F355" s="1">
        <v>45673</v>
      </c>
      <c r="G355" s="1">
        <v>45674</v>
      </c>
      <c r="H355" t="s">
        <v>23</v>
      </c>
      <c r="I355" t="s">
        <v>18</v>
      </c>
      <c r="J355">
        <v>4</v>
      </c>
      <c r="K355" t="s">
        <v>19</v>
      </c>
      <c r="L355" t="s">
        <v>33</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x14ac:dyDescent="0.3">
      <c r="A356" t="s">
        <v>442</v>
      </c>
      <c r="B356" t="s">
        <v>46</v>
      </c>
      <c r="C356">
        <v>3</v>
      </c>
      <c r="D356">
        <v>45.3</v>
      </c>
      <c r="E356">
        <v>135.89999999999998</v>
      </c>
      <c r="F356" s="1">
        <v>45673</v>
      </c>
      <c r="G356" s="1">
        <v>45679</v>
      </c>
      <c r="H356" t="s">
        <v>23</v>
      </c>
      <c r="I356" t="s">
        <v>40</v>
      </c>
      <c r="J356">
        <v>3</v>
      </c>
      <c r="K356" t="s">
        <v>19</v>
      </c>
      <c r="L356" t="s">
        <v>33</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x14ac:dyDescent="0.3">
      <c r="A357" t="s">
        <v>443</v>
      </c>
      <c r="B357" t="s">
        <v>135</v>
      </c>
      <c r="C357">
        <v>1</v>
      </c>
      <c r="D357">
        <v>42</v>
      </c>
      <c r="E357">
        <v>42</v>
      </c>
      <c r="F357" s="1">
        <v>45673</v>
      </c>
      <c r="G357" s="1">
        <v>45674</v>
      </c>
      <c r="H357" t="s">
        <v>17</v>
      </c>
      <c r="I357" t="s">
        <v>18</v>
      </c>
      <c r="J357">
        <v>4</v>
      </c>
      <c r="K357" t="s">
        <v>19</v>
      </c>
      <c r="L357" t="s">
        <v>33</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x14ac:dyDescent="0.3">
      <c r="A358" t="s">
        <v>444</v>
      </c>
      <c r="B358" t="s">
        <v>16</v>
      </c>
      <c r="C358">
        <v>9</v>
      </c>
      <c r="D358">
        <v>21.8</v>
      </c>
      <c r="E358">
        <v>196.20000000000002</v>
      </c>
      <c r="F358" s="1">
        <v>45673</v>
      </c>
      <c r="G358" s="1">
        <v>45675</v>
      </c>
      <c r="H358" t="s">
        <v>27</v>
      </c>
      <c r="I358" t="s">
        <v>35</v>
      </c>
      <c r="J358">
        <v>4</v>
      </c>
      <c r="K358" t="s">
        <v>19</v>
      </c>
      <c r="L358" t="s">
        <v>33</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x14ac:dyDescent="0.3">
      <c r="A359" t="s">
        <v>445</v>
      </c>
      <c r="B359" t="s">
        <v>44</v>
      </c>
      <c r="C359">
        <v>18</v>
      </c>
      <c r="D359">
        <v>21.4</v>
      </c>
      <c r="E359">
        <v>385.2</v>
      </c>
      <c r="F359" s="1">
        <v>45673</v>
      </c>
      <c r="G359" s="1">
        <v>45676</v>
      </c>
      <c r="H359" t="s">
        <v>27</v>
      </c>
      <c r="I359" t="s">
        <v>35</v>
      </c>
      <c r="J359">
        <v>5</v>
      </c>
      <c r="K359" t="s">
        <v>19</v>
      </c>
      <c r="L359" t="s">
        <v>33</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x14ac:dyDescent="0.3">
      <c r="A360" t="s">
        <v>446</v>
      </c>
      <c r="B360" t="s">
        <v>54</v>
      </c>
      <c r="C360">
        <v>3</v>
      </c>
      <c r="D360">
        <v>45</v>
      </c>
      <c r="E360">
        <v>135</v>
      </c>
      <c r="F360" s="1">
        <v>45673</v>
      </c>
      <c r="G360" s="1">
        <v>45673</v>
      </c>
      <c r="H360" t="s">
        <v>27</v>
      </c>
      <c r="I360" t="s">
        <v>35</v>
      </c>
      <c r="J360">
        <v>5</v>
      </c>
      <c r="K360" t="s">
        <v>19</v>
      </c>
      <c r="L360" t="s">
        <v>33</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x14ac:dyDescent="0.3">
      <c r="A361" t="s">
        <v>447</v>
      </c>
      <c r="B361" t="s">
        <v>81</v>
      </c>
      <c r="C361">
        <v>1</v>
      </c>
      <c r="D361">
        <v>39.6</v>
      </c>
      <c r="E361">
        <v>39.6</v>
      </c>
      <c r="F361" s="1">
        <v>45673</v>
      </c>
      <c r="G361" s="1">
        <v>45674</v>
      </c>
      <c r="H361" t="s">
        <v>23</v>
      </c>
      <c r="I361" t="s">
        <v>18</v>
      </c>
      <c r="J361">
        <v>5</v>
      </c>
      <c r="K361" t="s">
        <v>19</v>
      </c>
      <c r="L361" t="s">
        <v>33</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x14ac:dyDescent="0.3">
      <c r="A362" t="s">
        <v>448</v>
      </c>
      <c r="B362" t="s">
        <v>69</v>
      </c>
      <c r="C362">
        <v>3</v>
      </c>
      <c r="D362">
        <v>79.8</v>
      </c>
      <c r="E362">
        <v>239.39999999999998</v>
      </c>
      <c r="F362" s="1">
        <v>45673</v>
      </c>
      <c r="G362" s="1">
        <v>45679</v>
      </c>
      <c r="H362" t="s">
        <v>27</v>
      </c>
      <c r="I362" t="s">
        <v>35</v>
      </c>
      <c r="J362">
        <v>2</v>
      </c>
      <c r="K362" t="s">
        <v>19</v>
      </c>
      <c r="L362" t="s">
        <v>33</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x14ac:dyDescent="0.3">
      <c r="A363" t="s">
        <v>449</v>
      </c>
      <c r="B363" t="s">
        <v>22</v>
      </c>
      <c r="C363">
        <v>4</v>
      </c>
      <c r="D363">
        <v>63.6</v>
      </c>
      <c r="E363">
        <v>254.4</v>
      </c>
      <c r="F363" s="1">
        <v>45673</v>
      </c>
      <c r="G363" s="1">
        <v>45674</v>
      </c>
      <c r="H363" t="s">
        <v>89</v>
      </c>
      <c r="I363" t="s">
        <v>18</v>
      </c>
      <c r="J363">
        <v>5</v>
      </c>
      <c r="K363" t="s">
        <v>19</v>
      </c>
      <c r="L363" t="s">
        <v>186</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x14ac:dyDescent="0.3">
      <c r="A364" t="s">
        <v>450</v>
      </c>
      <c r="B364" t="s">
        <v>42</v>
      </c>
      <c r="C364">
        <v>10</v>
      </c>
      <c r="D364">
        <v>92.7</v>
      </c>
      <c r="E364">
        <v>927</v>
      </c>
      <c r="F364" s="1">
        <v>45673</v>
      </c>
      <c r="G364" s="1">
        <v>45677</v>
      </c>
      <c r="H364" t="s">
        <v>23</v>
      </c>
      <c r="I364" t="s">
        <v>35</v>
      </c>
      <c r="J364">
        <v>5</v>
      </c>
      <c r="K364" t="s">
        <v>19</v>
      </c>
      <c r="L364" t="s">
        <v>55</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x14ac:dyDescent="0.3">
      <c r="A365" t="s">
        <v>451</v>
      </c>
      <c r="B365" t="s">
        <v>22</v>
      </c>
      <c r="C365">
        <v>4</v>
      </c>
      <c r="D365">
        <v>48.4</v>
      </c>
      <c r="E365">
        <v>193.6</v>
      </c>
      <c r="F365" s="1">
        <v>45673</v>
      </c>
      <c r="G365" s="1">
        <v>45675</v>
      </c>
      <c r="H365" t="s">
        <v>27</v>
      </c>
      <c r="I365" t="s">
        <v>35</v>
      </c>
      <c r="J365">
        <v>5</v>
      </c>
      <c r="K365" t="s">
        <v>19</v>
      </c>
      <c r="L365" t="s">
        <v>55</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x14ac:dyDescent="0.3">
      <c r="A366" t="s">
        <v>452</v>
      </c>
      <c r="B366" t="s">
        <v>46</v>
      </c>
      <c r="C366">
        <v>8</v>
      </c>
      <c r="D366">
        <v>36</v>
      </c>
      <c r="E366">
        <v>288</v>
      </c>
      <c r="F366" s="1">
        <v>45673</v>
      </c>
      <c r="G366" s="1">
        <v>45676</v>
      </c>
      <c r="H366" t="s">
        <v>23</v>
      </c>
      <c r="I366" t="s">
        <v>40</v>
      </c>
      <c r="J366">
        <v>5</v>
      </c>
      <c r="K366" t="s">
        <v>19</v>
      </c>
      <c r="L366" t="s">
        <v>62</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x14ac:dyDescent="0.3">
      <c r="A367" t="s">
        <v>453</v>
      </c>
      <c r="B367" t="s">
        <v>44</v>
      </c>
      <c r="C367">
        <v>12</v>
      </c>
      <c r="D367">
        <v>27</v>
      </c>
      <c r="E367">
        <v>324</v>
      </c>
      <c r="F367" s="1">
        <v>45673</v>
      </c>
      <c r="G367" s="1">
        <v>45675</v>
      </c>
      <c r="H367" t="s">
        <v>27</v>
      </c>
      <c r="I367" t="s">
        <v>40</v>
      </c>
      <c r="J367">
        <v>3</v>
      </c>
      <c r="K367" t="s">
        <v>19</v>
      </c>
      <c r="L367" t="s">
        <v>62</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x14ac:dyDescent="0.3">
      <c r="A368" t="s">
        <v>454</v>
      </c>
      <c r="B368" t="s">
        <v>26</v>
      </c>
      <c r="C368">
        <v>8</v>
      </c>
      <c r="D368">
        <v>53.9</v>
      </c>
      <c r="E368">
        <v>431.2</v>
      </c>
      <c r="F368" s="1">
        <v>45673</v>
      </c>
      <c r="G368" s="1">
        <v>45674</v>
      </c>
      <c r="H368" t="s">
        <v>17</v>
      </c>
      <c r="I368" t="s">
        <v>18</v>
      </c>
      <c r="J368">
        <v>4</v>
      </c>
      <c r="K368" t="s">
        <v>19</v>
      </c>
      <c r="L368" t="s">
        <v>62</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x14ac:dyDescent="0.3">
      <c r="A369" t="s">
        <v>455</v>
      </c>
      <c r="B369" t="s">
        <v>30</v>
      </c>
      <c r="C369">
        <v>9</v>
      </c>
      <c r="D369">
        <v>48.4</v>
      </c>
      <c r="E369">
        <v>435.59999999999997</v>
      </c>
      <c r="F369" s="1">
        <v>45673</v>
      </c>
      <c r="G369" s="1">
        <v>45674</v>
      </c>
      <c r="H369" t="s">
        <v>27</v>
      </c>
      <c r="I369" t="s">
        <v>35</v>
      </c>
      <c r="J369">
        <v>4</v>
      </c>
      <c r="K369" t="s">
        <v>19</v>
      </c>
      <c r="L369" t="s">
        <v>72</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x14ac:dyDescent="0.3">
      <c r="A370" t="s">
        <v>456</v>
      </c>
      <c r="B370" t="s">
        <v>135</v>
      </c>
      <c r="C370">
        <v>2</v>
      </c>
      <c r="D370">
        <v>49.9</v>
      </c>
      <c r="E370">
        <v>99.8</v>
      </c>
      <c r="F370" s="1">
        <v>45673</v>
      </c>
      <c r="G370" s="1">
        <v>45678</v>
      </c>
      <c r="H370" t="s">
        <v>23</v>
      </c>
      <c r="I370" t="s">
        <v>70</v>
      </c>
      <c r="J370">
        <v>2</v>
      </c>
      <c r="K370" t="s">
        <v>19</v>
      </c>
      <c r="L370" t="s">
        <v>74</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x14ac:dyDescent="0.3">
      <c r="A371" t="s">
        <v>457</v>
      </c>
      <c r="B371" t="s">
        <v>22</v>
      </c>
      <c r="C371">
        <v>3</v>
      </c>
      <c r="D371">
        <v>51.7</v>
      </c>
      <c r="E371">
        <v>155.10000000000002</v>
      </c>
      <c r="F371" s="1">
        <v>45673</v>
      </c>
      <c r="G371" s="1">
        <v>45674</v>
      </c>
      <c r="H371" t="s">
        <v>27</v>
      </c>
      <c r="I371" t="s">
        <v>18</v>
      </c>
      <c r="J371">
        <v>5</v>
      </c>
      <c r="K371" t="s">
        <v>19</v>
      </c>
      <c r="L371" t="s">
        <v>77</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x14ac:dyDescent="0.3">
      <c r="A372" t="s">
        <v>458</v>
      </c>
      <c r="B372" t="s">
        <v>44</v>
      </c>
      <c r="C372">
        <v>3</v>
      </c>
      <c r="D372">
        <v>41.8</v>
      </c>
      <c r="E372">
        <v>125.39999999999999</v>
      </c>
      <c r="F372" s="1">
        <v>45673</v>
      </c>
      <c r="G372" s="1">
        <v>45675</v>
      </c>
      <c r="H372" t="s">
        <v>27</v>
      </c>
      <c r="I372" t="s">
        <v>40</v>
      </c>
      <c r="J372">
        <v>4</v>
      </c>
      <c r="K372" t="s">
        <v>19</v>
      </c>
      <c r="L372" t="s">
        <v>108</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x14ac:dyDescent="0.3">
      <c r="A373" t="s">
        <v>459</v>
      </c>
      <c r="B373" t="s">
        <v>32</v>
      </c>
      <c r="C373">
        <v>4</v>
      </c>
      <c r="D373">
        <v>36.200000000000003</v>
      </c>
      <c r="E373">
        <v>144.80000000000001</v>
      </c>
      <c r="F373" s="1">
        <v>45674</v>
      </c>
      <c r="G373" s="1">
        <v>45675</v>
      </c>
      <c r="H373" t="s">
        <v>23</v>
      </c>
      <c r="I373" t="s">
        <v>40</v>
      </c>
      <c r="J373">
        <v>5</v>
      </c>
      <c r="K373" t="s">
        <v>19</v>
      </c>
      <c r="L373" t="s">
        <v>115</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x14ac:dyDescent="0.3">
      <c r="A374" t="s">
        <v>460</v>
      </c>
      <c r="B374" t="s">
        <v>26</v>
      </c>
      <c r="C374">
        <v>1</v>
      </c>
      <c r="D374">
        <v>150.9</v>
      </c>
      <c r="E374">
        <v>150.9</v>
      </c>
      <c r="F374" s="1">
        <v>45674</v>
      </c>
      <c r="G374" s="1">
        <v>45684</v>
      </c>
      <c r="H374" t="s">
        <v>23</v>
      </c>
      <c r="I374" t="s">
        <v>18</v>
      </c>
      <c r="J374">
        <v>4</v>
      </c>
      <c r="K374" t="s">
        <v>19</v>
      </c>
      <c r="L374" t="s">
        <v>24</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x14ac:dyDescent="0.3">
      <c r="A375" t="s">
        <v>461</v>
      </c>
      <c r="B375" t="s">
        <v>146</v>
      </c>
      <c r="C375">
        <v>4</v>
      </c>
      <c r="D375">
        <v>77.599999999999994</v>
      </c>
      <c r="E375">
        <v>310.39999999999998</v>
      </c>
      <c r="F375" s="1">
        <v>45674</v>
      </c>
      <c r="G375" s="1">
        <v>45675</v>
      </c>
      <c r="H375" t="s">
        <v>17</v>
      </c>
      <c r="I375" t="s">
        <v>40</v>
      </c>
      <c r="J375">
        <v>4</v>
      </c>
      <c r="K375" t="s">
        <v>19</v>
      </c>
      <c r="L375" t="s">
        <v>33</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x14ac:dyDescent="0.3">
      <c r="A376" t="s">
        <v>462</v>
      </c>
      <c r="B376" t="s">
        <v>76</v>
      </c>
      <c r="C376">
        <v>5</v>
      </c>
      <c r="D376">
        <v>65.5</v>
      </c>
      <c r="E376">
        <v>327.5</v>
      </c>
      <c r="F376" s="1">
        <v>45674</v>
      </c>
      <c r="G376" s="1">
        <v>45674</v>
      </c>
      <c r="H376" t="s">
        <v>23</v>
      </c>
      <c r="I376" t="s">
        <v>35</v>
      </c>
      <c r="J376">
        <v>4</v>
      </c>
      <c r="K376" t="s">
        <v>19</v>
      </c>
      <c r="L376" t="s">
        <v>33</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x14ac:dyDescent="0.3">
      <c r="A377" t="s">
        <v>463</v>
      </c>
      <c r="B377" t="s">
        <v>39</v>
      </c>
      <c r="C377">
        <v>3</v>
      </c>
      <c r="D377">
        <v>90.1</v>
      </c>
      <c r="E377">
        <v>270.29999999999995</v>
      </c>
      <c r="F377" s="1">
        <v>45674</v>
      </c>
      <c r="G377" s="1">
        <v>45676</v>
      </c>
      <c r="H377" t="s">
        <v>27</v>
      </c>
      <c r="I377" t="s">
        <v>18</v>
      </c>
      <c r="J377">
        <v>4</v>
      </c>
      <c r="K377" t="s">
        <v>19</v>
      </c>
      <c r="L377" t="s">
        <v>33</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x14ac:dyDescent="0.3">
      <c r="A378" t="s">
        <v>464</v>
      </c>
      <c r="B378" t="s">
        <v>22</v>
      </c>
      <c r="C378">
        <v>2</v>
      </c>
      <c r="D378">
        <v>108.3</v>
      </c>
      <c r="E378">
        <v>216.6</v>
      </c>
      <c r="F378" s="1">
        <v>45674</v>
      </c>
      <c r="G378" s="1">
        <v>45677</v>
      </c>
      <c r="H378" t="s">
        <v>89</v>
      </c>
      <c r="I378" t="s">
        <v>70</v>
      </c>
      <c r="J378">
        <v>4</v>
      </c>
      <c r="K378" t="s">
        <v>19</v>
      </c>
      <c r="L378" t="s">
        <v>33</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x14ac:dyDescent="0.3">
      <c r="A379" t="s">
        <v>465</v>
      </c>
      <c r="B379" t="s">
        <v>37</v>
      </c>
      <c r="C379">
        <v>3</v>
      </c>
      <c r="D379">
        <v>59.9</v>
      </c>
      <c r="E379">
        <v>179.7</v>
      </c>
      <c r="F379" s="1">
        <v>45674</v>
      </c>
      <c r="G379" s="1">
        <v>45678</v>
      </c>
      <c r="H379" t="s">
        <v>27</v>
      </c>
      <c r="I379" t="s">
        <v>18</v>
      </c>
      <c r="J379">
        <v>4</v>
      </c>
      <c r="K379" t="s">
        <v>19</v>
      </c>
      <c r="L379" t="s">
        <v>33</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x14ac:dyDescent="0.3">
      <c r="A380" t="s">
        <v>466</v>
      </c>
      <c r="B380" t="s">
        <v>26</v>
      </c>
      <c r="C380">
        <v>17</v>
      </c>
      <c r="D380">
        <v>139</v>
      </c>
      <c r="E380">
        <v>2363</v>
      </c>
      <c r="F380" s="1">
        <v>45674</v>
      </c>
      <c r="G380" s="1">
        <v>45676</v>
      </c>
      <c r="H380" t="s">
        <v>27</v>
      </c>
      <c r="I380" t="s">
        <v>35</v>
      </c>
      <c r="J380">
        <v>2</v>
      </c>
      <c r="K380" t="s">
        <v>19</v>
      </c>
      <c r="L380" t="s">
        <v>33</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x14ac:dyDescent="0.3">
      <c r="A381" t="s">
        <v>467</v>
      </c>
      <c r="B381" t="s">
        <v>39</v>
      </c>
      <c r="C381">
        <v>3</v>
      </c>
      <c r="D381">
        <v>87.3</v>
      </c>
      <c r="E381">
        <v>261.89999999999998</v>
      </c>
      <c r="F381" s="1">
        <v>45674</v>
      </c>
      <c r="G381" s="1">
        <v>45675</v>
      </c>
      <c r="H381" t="s">
        <v>27</v>
      </c>
      <c r="I381" t="s">
        <v>18</v>
      </c>
      <c r="J381">
        <v>4</v>
      </c>
      <c r="K381" t="s">
        <v>19</v>
      </c>
      <c r="L381" t="s">
        <v>33</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x14ac:dyDescent="0.3">
      <c r="A382" t="s">
        <v>468</v>
      </c>
      <c r="B382" t="s">
        <v>67</v>
      </c>
      <c r="C382">
        <v>4</v>
      </c>
      <c r="D382">
        <v>42.3</v>
      </c>
      <c r="E382">
        <v>169.2</v>
      </c>
      <c r="F382" s="1">
        <v>45674</v>
      </c>
      <c r="G382" s="1">
        <v>45674</v>
      </c>
      <c r="H382" t="s">
        <v>23</v>
      </c>
      <c r="I382" t="s">
        <v>18</v>
      </c>
      <c r="J382">
        <v>4</v>
      </c>
      <c r="K382" t="s">
        <v>19</v>
      </c>
      <c r="L382" t="s">
        <v>33</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x14ac:dyDescent="0.3">
      <c r="A383" t="s">
        <v>469</v>
      </c>
      <c r="B383" t="s">
        <v>81</v>
      </c>
      <c r="C383">
        <v>8</v>
      </c>
      <c r="D383">
        <v>103.6</v>
      </c>
      <c r="E383">
        <v>828.8</v>
      </c>
      <c r="F383" s="1">
        <v>45674</v>
      </c>
      <c r="G383" s="1">
        <v>45675</v>
      </c>
      <c r="H383" t="s">
        <v>89</v>
      </c>
      <c r="I383" t="s">
        <v>18</v>
      </c>
      <c r="J383">
        <v>3</v>
      </c>
      <c r="K383" t="s">
        <v>19</v>
      </c>
      <c r="L383" t="s">
        <v>33</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x14ac:dyDescent="0.3">
      <c r="A384" t="s">
        <v>470</v>
      </c>
      <c r="B384" t="s">
        <v>39</v>
      </c>
      <c r="C384">
        <v>2</v>
      </c>
      <c r="D384">
        <v>90.9</v>
      </c>
      <c r="E384">
        <v>181.8</v>
      </c>
      <c r="F384" s="1">
        <v>45674</v>
      </c>
      <c r="G384" s="1">
        <v>45675</v>
      </c>
      <c r="H384" t="s">
        <v>23</v>
      </c>
      <c r="I384" t="s">
        <v>35</v>
      </c>
      <c r="J384">
        <v>4</v>
      </c>
      <c r="K384" t="s">
        <v>19</v>
      </c>
      <c r="L384" t="s">
        <v>55</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x14ac:dyDescent="0.3">
      <c r="A385" t="s">
        <v>471</v>
      </c>
      <c r="B385" t="s">
        <v>46</v>
      </c>
      <c r="C385">
        <v>16</v>
      </c>
      <c r="D385">
        <v>100.9</v>
      </c>
      <c r="E385">
        <v>1614.4</v>
      </c>
      <c r="F385" s="1">
        <v>45674</v>
      </c>
      <c r="G385" s="1">
        <v>45675</v>
      </c>
      <c r="H385" t="s">
        <v>27</v>
      </c>
      <c r="I385" t="s">
        <v>35</v>
      </c>
      <c r="J385">
        <v>4</v>
      </c>
      <c r="K385" t="s">
        <v>19</v>
      </c>
      <c r="L385" t="s">
        <v>55</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x14ac:dyDescent="0.3">
      <c r="A386" t="s">
        <v>472</v>
      </c>
      <c r="B386" t="s">
        <v>32</v>
      </c>
      <c r="C386">
        <v>5</v>
      </c>
      <c r="D386">
        <v>36</v>
      </c>
      <c r="E386">
        <v>180</v>
      </c>
      <c r="F386" s="1">
        <v>45674</v>
      </c>
      <c r="G386" s="1">
        <v>45676</v>
      </c>
      <c r="H386" t="s">
        <v>27</v>
      </c>
      <c r="I386" t="s">
        <v>35</v>
      </c>
      <c r="J386">
        <v>4</v>
      </c>
      <c r="K386" t="s">
        <v>19</v>
      </c>
      <c r="L386" t="s">
        <v>59</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x14ac:dyDescent="0.3">
      <c r="A387" t="s">
        <v>473</v>
      </c>
      <c r="B387" t="s">
        <v>39</v>
      </c>
      <c r="C387">
        <v>6</v>
      </c>
      <c r="D387">
        <v>83.3</v>
      </c>
      <c r="E387">
        <v>499.79999999999995</v>
      </c>
      <c r="F387" s="1">
        <v>45674</v>
      </c>
      <c r="G387" s="1">
        <v>45677</v>
      </c>
      <c r="H387" t="s">
        <v>17</v>
      </c>
      <c r="I387" t="s">
        <v>40</v>
      </c>
      <c r="J387">
        <v>4</v>
      </c>
      <c r="K387" t="s">
        <v>19</v>
      </c>
      <c r="L387" t="s">
        <v>59</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x14ac:dyDescent="0.3">
      <c r="A388" t="s">
        <v>474</v>
      </c>
      <c r="B388" t="s">
        <v>26</v>
      </c>
      <c r="C388">
        <v>17</v>
      </c>
      <c r="D388">
        <v>60.3</v>
      </c>
      <c r="E388">
        <v>1025.0999999999999</v>
      </c>
      <c r="F388" s="1">
        <v>45674</v>
      </c>
      <c r="G388" s="1">
        <v>45675</v>
      </c>
      <c r="H388" t="s">
        <v>23</v>
      </c>
      <c r="I388" t="s">
        <v>40</v>
      </c>
      <c r="J388">
        <v>3</v>
      </c>
      <c r="K388" t="s">
        <v>19</v>
      </c>
      <c r="L388" t="s">
        <v>59</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x14ac:dyDescent="0.3">
      <c r="A389" t="s">
        <v>475</v>
      </c>
      <c r="B389" t="s">
        <v>26</v>
      </c>
      <c r="C389">
        <v>6</v>
      </c>
      <c r="D389">
        <v>120.3</v>
      </c>
      <c r="E389">
        <v>721.8</v>
      </c>
      <c r="F389" s="1">
        <v>45674</v>
      </c>
      <c r="G389" s="1">
        <v>45675</v>
      </c>
      <c r="H389" t="s">
        <v>23</v>
      </c>
      <c r="I389" t="s">
        <v>40</v>
      </c>
      <c r="J389">
        <v>4</v>
      </c>
      <c r="K389" t="s">
        <v>19</v>
      </c>
      <c r="L389" t="s">
        <v>62</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x14ac:dyDescent="0.3">
      <c r="A390" t="s">
        <v>476</v>
      </c>
      <c r="B390" t="s">
        <v>32</v>
      </c>
      <c r="C390">
        <v>10</v>
      </c>
      <c r="D390">
        <v>34</v>
      </c>
      <c r="E390">
        <v>340</v>
      </c>
      <c r="F390" s="1">
        <v>45674</v>
      </c>
      <c r="G390" s="1">
        <v>45678</v>
      </c>
      <c r="H390" t="s">
        <v>27</v>
      </c>
      <c r="I390" t="s">
        <v>40</v>
      </c>
      <c r="J390">
        <v>4</v>
      </c>
      <c r="K390" t="s">
        <v>19</v>
      </c>
      <c r="L390" t="s">
        <v>62</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x14ac:dyDescent="0.3">
      <c r="A391" t="s">
        <v>477</v>
      </c>
      <c r="B391" t="s">
        <v>54</v>
      </c>
      <c r="C391">
        <v>5</v>
      </c>
      <c r="D391">
        <v>42.6</v>
      </c>
      <c r="E391">
        <v>213</v>
      </c>
      <c r="F391" s="1">
        <v>45674</v>
      </c>
      <c r="G391" s="1">
        <v>45677</v>
      </c>
      <c r="H391" t="s">
        <v>23</v>
      </c>
      <c r="I391" t="s">
        <v>35</v>
      </c>
      <c r="J391">
        <v>4</v>
      </c>
      <c r="K391" t="s">
        <v>19</v>
      </c>
      <c r="L391" t="s">
        <v>62</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x14ac:dyDescent="0.3">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x14ac:dyDescent="0.3">
      <c r="A393" t="s">
        <v>479</v>
      </c>
      <c r="B393" t="s">
        <v>26</v>
      </c>
      <c r="C393">
        <v>1</v>
      </c>
      <c r="D393">
        <v>74</v>
      </c>
      <c r="E393">
        <v>74</v>
      </c>
      <c r="F393" s="1">
        <v>45675</v>
      </c>
      <c r="G393" s="1">
        <v>45676</v>
      </c>
      <c r="H393" t="s">
        <v>23</v>
      </c>
      <c r="I393" t="s">
        <v>35</v>
      </c>
      <c r="J393">
        <v>4</v>
      </c>
      <c r="K393" t="s">
        <v>19</v>
      </c>
      <c r="L393" t="s">
        <v>77</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x14ac:dyDescent="0.3">
      <c r="A394" t="s">
        <v>480</v>
      </c>
      <c r="B394" t="s">
        <v>26</v>
      </c>
      <c r="C394">
        <v>5</v>
      </c>
      <c r="D394">
        <v>60.4</v>
      </c>
      <c r="E394">
        <v>302</v>
      </c>
      <c r="F394" s="1">
        <v>45675</v>
      </c>
      <c r="G394" s="1">
        <v>45678</v>
      </c>
      <c r="H394" t="s">
        <v>27</v>
      </c>
      <c r="I394" t="s">
        <v>35</v>
      </c>
      <c r="J394">
        <v>2</v>
      </c>
      <c r="K394" t="s">
        <v>19</v>
      </c>
      <c r="L394" t="s">
        <v>108</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x14ac:dyDescent="0.3">
      <c r="A395" t="s">
        <v>481</v>
      </c>
      <c r="B395" t="s">
        <v>69</v>
      </c>
      <c r="C395">
        <v>2</v>
      </c>
      <c r="D395">
        <v>69.3</v>
      </c>
      <c r="E395">
        <v>138.6</v>
      </c>
      <c r="F395" s="1">
        <v>45675</v>
      </c>
      <c r="G395" s="1">
        <v>45678</v>
      </c>
      <c r="H395" t="s">
        <v>23</v>
      </c>
      <c r="I395" t="s">
        <v>35</v>
      </c>
      <c r="J395">
        <v>3</v>
      </c>
      <c r="K395" t="s">
        <v>19</v>
      </c>
      <c r="L395" t="s">
        <v>82</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x14ac:dyDescent="0.3">
      <c r="A396" t="s">
        <v>482</v>
      </c>
      <c r="B396" t="s">
        <v>37</v>
      </c>
      <c r="C396">
        <v>5</v>
      </c>
      <c r="D396">
        <v>81</v>
      </c>
      <c r="E396">
        <v>405</v>
      </c>
      <c r="F396" s="1">
        <v>45675</v>
      </c>
      <c r="G396" s="1">
        <v>45681</v>
      </c>
      <c r="H396" t="s">
        <v>23</v>
      </c>
      <c r="I396" t="s">
        <v>51</v>
      </c>
      <c r="J396">
        <v>4</v>
      </c>
      <c r="K396" t="s">
        <v>19</v>
      </c>
      <c r="L396" t="s">
        <v>115</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x14ac:dyDescent="0.3">
      <c r="A397" t="s">
        <v>483</v>
      </c>
      <c r="B397" t="s">
        <v>123</v>
      </c>
      <c r="C397">
        <v>3</v>
      </c>
      <c r="D397">
        <v>41.5</v>
      </c>
      <c r="E397">
        <v>124.5</v>
      </c>
      <c r="F397" s="1">
        <v>45675</v>
      </c>
      <c r="G397" s="1">
        <v>45677</v>
      </c>
      <c r="H397" t="s">
        <v>89</v>
      </c>
      <c r="I397" t="s">
        <v>35</v>
      </c>
      <c r="J397">
        <v>4</v>
      </c>
      <c r="K397" t="s">
        <v>19</v>
      </c>
      <c r="L397" t="s">
        <v>115</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x14ac:dyDescent="0.3">
      <c r="A398" t="s">
        <v>484</v>
      </c>
      <c r="B398" t="s">
        <v>146</v>
      </c>
      <c r="C398">
        <v>2</v>
      </c>
      <c r="D398">
        <v>69.7</v>
      </c>
      <c r="E398">
        <v>139.4</v>
      </c>
      <c r="F398" s="1">
        <v>45675</v>
      </c>
      <c r="G398" s="1">
        <v>45680</v>
      </c>
      <c r="H398" t="s">
        <v>23</v>
      </c>
      <c r="I398" t="s">
        <v>35</v>
      </c>
      <c r="J398">
        <v>4</v>
      </c>
      <c r="K398" t="s">
        <v>19</v>
      </c>
      <c r="L398" t="s">
        <v>115</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x14ac:dyDescent="0.3">
      <c r="A399" t="s">
        <v>485</v>
      </c>
      <c r="B399" t="s">
        <v>26</v>
      </c>
      <c r="C399">
        <v>5</v>
      </c>
      <c r="D399">
        <v>83.6</v>
      </c>
      <c r="E399">
        <v>418</v>
      </c>
      <c r="F399" s="1">
        <v>45675</v>
      </c>
      <c r="G399" s="1">
        <v>45675</v>
      </c>
      <c r="H399" t="s">
        <v>27</v>
      </c>
      <c r="I399" t="s">
        <v>70</v>
      </c>
      <c r="J399">
        <v>4</v>
      </c>
      <c r="K399" t="s">
        <v>19</v>
      </c>
      <c r="L399" t="s">
        <v>24</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x14ac:dyDescent="0.3">
      <c r="A400" t="s">
        <v>486</v>
      </c>
      <c r="B400" t="s">
        <v>44</v>
      </c>
      <c r="C400">
        <v>7</v>
      </c>
      <c r="D400">
        <v>21.5</v>
      </c>
      <c r="E400">
        <v>150.5</v>
      </c>
      <c r="F400" s="1">
        <v>45675</v>
      </c>
      <c r="G400" s="1">
        <v>45677</v>
      </c>
      <c r="H400" t="s">
        <v>23</v>
      </c>
      <c r="I400" t="s">
        <v>35</v>
      </c>
      <c r="J400">
        <v>2</v>
      </c>
      <c r="K400" t="s">
        <v>19</v>
      </c>
      <c r="L400" t="s">
        <v>334</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x14ac:dyDescent="0.3">
      <c r="A401" t="s">
        <v>487</v>
      </c>
      <c r="B401" t="s">
        <v>44</v>
      </c>
      <c r="C401">
        <v>8</v>
      </c>
      <c r="D401">
        <v>28.6</v>
      </c>
      <c r="E401">
        <v>228.8</v>
      </c>
      <c r="F401" s="1">
        <v>45675</v>
      </c>
      <c r="G401" s="1">
        <v>45676</v>
      </c>
      <c r="H401" t="s">
        <v>23</v>
      </c>
      <c r="I401" t="s">
        <v>18</v>
      </c>
      <c r="J401">
        <v>4</v>
      </c>
      <c r="K401" t="s">
        <v>19</v>
      </c>
      <c r="L401" t="s">
        <v>33</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x14ac:dyDescent="0.3">
      <c r="A402" t="s">
        <v>488</v>
      </c>
      <c r="B402" t="s">
        <v>44</v>
      </c>
      <c r="C402">
        <v>6</v>
      </c>
      <c r="D402">
        <v>18.8</v>
      </c>
      <c r="E402">
        <v>112.80000000000001</v>
      </c>
      <c r="F402" s="1">
        <v>45675</v>
      </c>
      <c r="G402" s="1">
        <v>45678</v>
      </c>
      <c r="H402" t="s">
        <v>23</v>
      </c>
      <c r="I402" t="s">
        <v>51</v>
      </c>
      <c r="J402">
        <v>5</v>
      </c>
      <c r="K402" t="s">
        <v>19</v>
      </c>
      <c r="L402" t="s">
        <v>33</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x14ac:dyDescent="0.3">
      <c r="A403" t="s">
        <v>489</v>
      </c>
      <c r="B403" t="s">
        <v>54</v>
      </c>
      <c r="C403">
        <v>4</v>
      </c>
      <c r="D403">
        <v>35.1</v>
      </c>
      <c r="E403">
        <v>140.4</v>
      </c>
      <c r="F403" s="1">
        <v>45675</v>
      </c>
      <c r="G403" s="1">
        <v>45675</v>
      </c>
      <c r="H403" t="s">
        <v>27</v>
      </c>
      <c r="I403" t="s">
        <v>35</v>
      </c>
      <c r="J403">
        <v>3</v>
      </c>
      <c r="K403" t="s">
        <v>19</v>
      </c>
      <c r="L403" t="s">
        <v>33</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x14ac:dyDescent="0.3">
      <c r="A404" t="s">
        <v>490</v>
      </c>
      <c r="B404" t="s">
        <v>16</v>
      </c>
      <c r="C404">
        <v>2</v>
      </c>
      <c r="D404">
        <v>12.7</v>
      </c>
      <c r="E404">
        <v>25.4</v>
      </c>
      <c r="F404" s="1">
        <v>45675</v>
      </c>
      <c r="G404" s="1">
        <v>45677</v>
      </c>
      <c r="H404" t="s">
        <v>27</v>
      </c>
      <c r="I404" t="s">
        <v>35</v>
      </c>
      <c r="J404">
        <v>5</v>
      </c>
      <c r="K404" t="s">
        <v>19</v>
      </c>
      <c r="L404" t="s">
        <v>33</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x14ac:dyDescent="0.3">
      <c r="A405" t="s">
        <v>491</v>
      </c>
      <c r="B405" t="s">
        <v>44</v>
      </c>
      <c r="C405">
        <v>5</v>
      </c>
      <c r="D405">
        <v>27.4</v>
      </c>
      <c r="E405">
        <v>137</v>
      </c>
      <c r="F405" s="1">
        <v>45675</v>
      </c>
      <c r="G405" s="1">
        <v>45677</v>
      </c>
      <c r="H405" t="s">
        <v>89</v>
      </c>
      <c r="I405" t="s">
        <v>18</v>
      </c>
      <c r="J405">
        <v>4</v>
      </c>
      <c r="K405" t="s">
        <v>19</v>
      </c>
      <c r="L405" t="s">
        <v>33</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x14ac:dyDescent="0.3">
      <c r="A406" t="s">
        <v>492</v>
      </c>
      <c r="B406" t="s">
        <v>54</v>
      </c>
      <c r="C406">
        <v>2</v>
      </c>
      <c r="D406">
        <v>61.3</v>
      </c>
      <c r="E406">
        <v>122.6</v>
      </c>
      <c r="F406" s="1">
        <v>45675</v>
      </c>
      <c r="G406" s="1">
        <v>45676</v>
      </c>
      <c r="H406" t="s">
        <v>27</v>
      </c>
      <c r="I406" t="s">
        <v>35</v>
      </c>
      <c r="J406">
        <v>4</v>
      </c>
      <c r="K406" t="s">
        <v>19</v>
      </c>
      <c r="L406" t="s">
        <v>55</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x14ac:dyDescent="0.3">
      <c r="A407" t="s">
        <v>493</v>
      </c>
      <c r="B407" t="s">
        <v>44</v>
      </c>
      <c r="C407">
        <v>2</v>
      </c>
      <c r="D407">
        <v>64.7</v>
      </c>
      <c r="E407">
        <v>129.4</v>
      </c>
      <c r="F407" s="1">
        <v>45675</v>
      </c>
      <c r="G407" s="1">
        <v>45677</v>
      </c>
      <c r="H407" t="s">
        <v>27</v>
      </c>
      <c r="I407" t="s">
        <v>51</v>
      </c>
      <c r="J407">
        <v>5</v>
      </c>
      <c r="K407" t="s">
        <v>19</v>
      </c>
      <c r="L407" t="s">
        <v>55</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x14ac:dyDescent="0.3">
      <c r="A408" t="s">
        <v>494</v>
      </c>
      <c r="B408" t="s">
        <v>42</v>
      </c>
      <c r="C408">
        <v>4</v>
      </c>
      <c r="D408">
        <v>91.4</v>
      </c>
      <c r="E408">
        <v>365.6</v>
      </c>
      <c r="F408" s="1">
        <v>45675</v>
      </c>
      <c r="G408" s="1">
        <v>45677</v>
      </c>
      <c r="H408" t="s">
        <v>27</v>
      </c>
      <c r="I408" t="s">
        <v>18</v>
      </c>
      <c r="J408">
        <v>4</v>
      </c>
      <c r="K408" t="s">
        <v>19</v>
      </c>
      <c r="L408" t="s">
        <v>62</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x14ac:dyDescent="0.3">
      <c r="A409" t="s">
        <v>495</v>
      </c>
      <c r="B409" t="s">
        <v>16</v>
      </c>
      <c r="C409">
        <v>2</v>
      </c>
      <c r="D409">
        <v>33.1</v>
      </c>
      <c r="E409">
        <v>66.2</v>
      </c>
      <c r="F409" s="1">
        <v>45676</v>
      </c>
      <c r="G409" s="1">
        <v>45677</v>
      </c>
      <c r="H409" t="s">
        <v>23</v>
      </c>
      <c r="I409" t="s">
        <v>18</v>
      </c>
      <c r="J409">
        <v>5</v>
      </c>
      <c r="K409" t="s">
        <v>19</v>
      </c>
      <c r="L409" t="s">
        <v>62</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x14ac:dyDescent="0.3">
      <c r="A410" t="s">
        <v>496</v>
      </c>
      <c r="B410" t="s">
        <v>30</v>
      </c>
      <c r="C410">
        <v>2</v>
      </c>
      <c r="D410">
        <v>105.6</v>
      </c>
      <c r="E410">
        <v>211.2</v>
      </c>
      <c r="F410" s="1">
        <v>45676</v>
      </c>
      <c r="G410" s="1">
        <v>45677</v>
      </c>
      <c r="H410" t="s">
        <v>23</v>
      </c>
      <c r="I410" t="s">
        <v>40</v>
      </c>
      <c r="J410">
        <v>3</v>
      </c>
      <c r="K410" t="s">
        <v>19</v>
      </c>
      <c r="L410" t="s">
        <v>62</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x14ac:dyDescent="0.3">
      <c r="A411" t="s">
        <v>497</v>
      </c>
      <c r="B411" t="s">
        <v>54</v>
      </c>
      <c r="C411">
        <v>3</v>
      </c>
      <c r="D411">
        <v>46.4</v>
      </c>
      <c r="E411">
        <v>139.19999999999999</v>
      </c>
      <c r="F411" s="1">
        <v>45676</v>
      </c>
      <c r="G411" s="1">
        <v>45677</v>
      </c>
      <c r="H411" t="s">
        <v>23</v>
      </c>
      <c r="I411" t="s">
        <v>40</v>
      </c>
      <c r="J411">
        <v>4</v>
      </c>
      <c r="K411" t="s">
        <v>19</v>
      </c>
      <c r="L411" t="s">
        <v>72</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x14ac:dyDescent="0.3">
      <c r="A412" t="s">
        <v>498</v>
      </c>
      <c r="B412" t="s">
        <v>46</v>
      </c>
      <c r="C412">
        <v>14</v>
      </c>
      <c r="D412">
        <v>35.299999999999997</v>
      </c>
      <c r="E412">
        <v>494.19999999999993</v>
      </c>
      <c r="F412" s="1">
        <v>45676</v>
      </c>
      <c r="G412" s="1">
        <v>45679</v>
      </c>
      <c r="H412" t="s">
        <v>27</v>
      </c>
      <c r="I412" t="s">
        <v>70</v>
      </c>
      <c r="J412">
        <v>3</v>
      </c>
      <c r="K412" t="s">
        <v>19</v>
      </c>
      <c r="L412" t="s">
        <v>77</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x14ac:dyDescent="0.3">
      <c r="A413" t="s">
        <v>499</v>
      </c>
      <c r="B413" t="s">
        <v>16</v>
      </c>
      <c r="C413">
        <v>2</v>
      </c>
      <c r="D413">
        <v>16.100000000000001</v>
      </c>
      <c r="E413">
        <v>32.200000000000003</v>
      </c>
      <c r="F413" s="1">
        <v>45676</v>
      </c>
      <c r="G413" s="1">
        <v>45678</v>
      </c>
      <c r="H413" t="s">
        <v>23</v>
      </c>
      <c r="I413" t="s">
        <v>51</v>
      </c>
      <c r="J413">
        <v>5</v>
      </c>
      <c r="K413" t="s">
        <v>19</v>
      </c>
      <c r="L413" t="s">
        <v>309</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x14ac:dyDescent="0.3">
      <c r="A414" t="s">
        <v>500</v>
      </c>
      <c r="B414" t="s">
        <v>32</v>
      </c>
      <c r="C414">
        <v>2</v>
      </c>
      <c r="D414">
        <v>27.9</v>
      </c>
      <c r="E414">
        <v>55.8</v>
      </c>
      <c r="F414" s="1">
        <v>45676</v>
      </c>
      <c r="G414" s="1">
        <v>45679</v>
      </c>
      <c r="H414" t="s">
        <v>23</v>
      </c>
      <c r="I414" t="s">
        <v>18</v>
      </c>
      <c r="J414">
        <v>4</v>
      </c>
      <c r="K414" t="s">
        <v>19</v>
      </c>
      <c r="L414" t="s">
        <v>82</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x14ac:dyDescent="0.3">
      <c r="A415" t="s">
        <v>501</v>
      </c>
      <c r="B415" t="s">
        <v>44</v>
      </c>
      <c r="C415">
        <v>1</v>
      </c>
      <c r="D415">
        <v>47.1</v>
      </c>
      <c r="E415">
        <v>47.1</v>
      </c>
      <c r="F415" s="1">
        <v>45676</v>
      </c>
      <c r="G415" s="1">
        <v>45684</v>
      </c>
      <c r="H415" t="s">
        <v>27</v>
      </c>
      <c r="I415" t="s">
        <v>35</v>
      </c>
      <c r="J415">
        <v>4</v>
      </c>
      <c r="K415" t="s">
        <v>19</v>
      </c>
      <c r="L415" t="s">
        <v>28</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x14ac:dyDescent="0.3">
      <c r="A416" t="s">
        <v>502</v>
      </c>
      <c r="B416" t="s">
        <v>39</v>
      </c>
      <c r="C416">
        <v>2</v>
      </c>
      <c r="D416">
        <v>85</v>
      </c>
      <c r="E416">
        <v>170</v>
      </c>
      <c r="F416" s="1">
        <v>45676</v>
      </c>
      <c r="G416" s="1">
        <v>45679</v>
      </c>
      <c r="H416" t="s">
        <v>17</v>
      </c>
      <c r="I416" t="s">
        <v>40</v>
      </c>
      <c r="J416">
        <v>5</v>
      </c>
      <c r="K416" t="s">
        <v>19</v>
      </c>
      <c r="L416" t="s">
        <v>147</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x14ac:dyDescent="0.3">
      <c r="A417" t="s">
        <v>503</v>
      </c>
      <c r="B417" t="s">
        <v>146</v>
      </c>
      <c r="C417">
        <v>2</v>
      </c>
      <c r="D417">
        <v>89</v>
      </c>
      <c r="E417">
        <v>178</v>
      </c>
      <c r="F417" s="1">
        <v>45676</v>
      </c>
      <c r="G417" s="1">
        <v>45678</v>
      </c>
      <c r="H417" t="s">
        <v>27</v>
      </c>
      <c r="I417" t="s">
        <v>18</v>
      </c>
      <c r="J417">
        <v>4</v>
      </c>
      <c r="K417" t="s">
        <v>19</v>
      </c>
      <c r="L417" t="s">
        <v>33</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x14ac:dyDescent="0.3">
      <c r="A418" t="s">
        <v>504</v>
      </c>
      <c r="B418" t="s">
        <v>128</v>
      </c>
      <c r="C418">
        <v>3</v>
      </c>
      <c r="D418">
        <v>36.6</v>
      </c>
      <c r="E418">
        <v>109.80000000000001</v>
      </c>
      <c r="F418" s="1">
        <v>45676</v>
      </c>
      <c r="G418" s="1">
        <v>45677</v>
      </c>
      <c r="H418" t="s">
        <v>89</v>
      </c>
      <c r="I418" t="s">
        <v>51</v>
      </c>
      <c r="J418">
        <v>5</v>
      </c>
      <c r="K418" t="s">
        <v>19</v>
      </c>
      <c r="L418" t="s">
        <v>33</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x14ac:dyDescent="0.3">
      <c r="A419" t="s">
        <v>505</v>
      </c>
      <c r="B419" t="s">
        <v>39</v>
      </c>
      <c r="C419">
        <v>7</v>
      </c>
      <c r="D419">
        <v>43.5</v>
      </c>
      <c r="E419">
        <v>304.5</v>
      </c>
      <c r="F419" s="1">
        <v>45676</v>
      </c>
      <c r="G419" s="1">
        <v>45677</v>
      </c>
      <c r="H419" t="s">
        <v>23</v>
      </c>
      <c r="I419" t="s">
        <v>35</v>
      </c>
      <c r="J419">
        <v>5</v>
      </c>
      <c r="K419" t="s">
        <v>19</v>
      </c>
      <c r="L419" t="s">
        <v>33</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x14ac:dyDescent="0.3">
      <c r="A420" t="s">
        <v>506</v>
      </c>
      <c r="B420" t="s">
        <v>46</v>
      </c>
      <c r="C420">
        <v>19</v>
      </c>
      <c r="D420">
        <v>30.5</v>
      </c>
      <c r="E420">
        <v>579.5</v>
      </c>
      <c r="F420" s="1">
        <v>45676</v>
      </c>
      <c r="G420" s="1">
        <v>45676</v>
      </c>
      <c r="H420" t="s">
        <v>27</v>
      </c>
      <c r="I420" t="s">
        <v>51</v>
      </c>
      <c r="J420">
        <v>4</v>
      </c>
      <c r="K420" t="s">
        <v>19</v>
      </c>
      <c r="L420" t="s">
        <v>33</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x14ac:dyDescent="0.3">
      <c r="A421" t="s">
        <v>507</v>
      </c>
      <c r="B421" t="s">
        <v>22</v>
      </c>
      <c r="C421">
        <v>2</v>
      </c>
      <c r="D421">
        <v>107.7</v>
      </c>
      <c r="E421">
        <v>215.4</v>
      </c>
      <c r="F421" s="1">
        <v>45676</v>
      </c>
      <c r="G421" s="1">
        <v>45680</v>
      </c>
      <c r="H421" t="s">
        <v>23</v>
      </c>
      <c r="I421" t="s">
        <v>51</v>
      </c>
      <c r="J421">
        <v>2</v>
      </c>
      <c r="K421" t="s">
        <v>19</v>
      </c>
      <c r="L421" t="s">
        <v>33</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x14ac:dyDescent="0.3">
      <c r="A422" t="s">
        <v>508</v>
      </c>
      <c r="B422" t="s">
        <v>135</v>
      </c>
      <c r="C422">
        <v>26</v>
      </c>
      <c r="D422">
        <v>57.1</v>
      </c>
      <c r="E422">
        <v>1484.6000000000001</v>
      </c>
      <c r="F422" s="1">
        <v>45676</v>
      </c>
      <c r="G422" s="1">
        <v>45677</v>
      </c>
      <c r="H422" t="s">
        <v>23</v>
      </c>
      <c r="I422" t="s">
        <v>35</v>
      </c>
      <c r="J422">
        <v>4</v>
      </c>
      <c r="K422" t="s">
        <v>19</v>
      </c>
      <c r="L422" t="s">
        <v>33</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x14ac:dyDescent="0.3">
      <c r="A423" t="s">
        <v>509</v>
      </c>
      <c r="B423" t="s">
        <v>26</v>
      </c>
      <c r="C423">
        <v>10</v>
      </c>
      <c r="D423">
        <v>111.7</v>
      </c>
      <c r="E423">
        <v>1117</v>
      </c>
      <c r="F423" s="1">
        <v>45676</v>
      </c>
      <c r="G423" s="1">
        <v>45677</v>
      </c>
      <c r="H423" t="s">
        <v>27</v>
      </c>
      <c r="I423" t="s">
        <v>70</v>
      </c>
      <c r="J423">
        <v>5</v>
      </c>
      <c r="K423" t="s">
        <v>19</v>
      </c>
      <c r="L423" t="s">
        <v>33</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x14ac:dyDescent="0.3">
      <c r="A424" t="s">
        <v>510</v>
      </c>
      <c r="B424" t="s">
        <v>146</v>
      </c>
      <c r="C424">
        <v>7</v>
      </c>
      <c r="D424">
        <v>44.3</v>
      </c>
      <c r="E424">
        <v>310.09999999999997</v>
      </c>
      <c r="F424" s="1">
        <v>45676</v>
      </c>
      <c r="G424" s="1">
        <v>45679</v>
      </c>
      <c r="H424" t="s">
        <v>23</v>
      </c>
      <c r="I424" t="s">
        <v>51</v>
      </c>
      <c r="J424">
        <v>5</v>
      </c>
      <c r="K424" t="s">
        <v>19</v>
      </c>
      <c r="L424" t="s">
        <v>33</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x14ac:dyDescent="0.3">
      <c r="A425" t="s">
        <v>511</v>
      </c>
      <c r="B425" t="s">
        <v>26</v>
      </c>
      <c r="C425">
        <v>8</v>
      </c>
      <c r="D425">
        <v>95.8</v>
      </c>
      <c r="E425">
        <v>766.4</v>
      </c>
      <c r="F425" s="1">
        <v>45676</v>
      </c>
      <c r="G425" s="1">
        <v>45682</v>
      </c>
      <c r="H425" t="s">
        <v>89</v>
      </c>
      <c r="I425" t="s">
        <v>18</v>
      </c>
      <c r="J425">
        <v>4</v>
      </c>
      <c r="K425" t="s">
        <v>19</v>
      </c>
      <c r="L425" t="s">
        <v>33</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x14ac:dyDescent="0.3">
      <c r="A426" t="s">
        <v>512</v>
      </c>
      <c r="B426" t="s">
        <v>54</v>
      </c>
      <c r="C426">
        <v>7</v>
      </c>
      <c r="D426">
        <v>22.6</v>
      </c>
      <c r="E426">
        <v>158.20000000000002</v>
      </c>
      <c r="F426" s="1">
        <v>45676</v>
      </c>
      <c r="G426" s="1">
        <v>45679</v>
      </c>
      <c r="H426" t="s">
        <v>27</v>
      </c>
      <c r="I426" t="s">
        <v>51</v>
      </c>
      <c r="J426">
        <v>3</v>
      </c>
      <c r="K426" t="s">
        <v>19</v>
      </c>
      <c r="L426" t="s">
        <v>33</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x14ac:dyDescent="0.3">
      <c r="A427" t="s">
        <v>513</v>
      </c>
      <c r="B427" t="s">
        <v>44</v>
      </c>
      <c r="C427">
        <v>8</v>
      </c>
      <c r="D427">
        <v>25.6</v>
      </c>
      <c r="E427">
        <v>204.8</v>
      </c>
      <c r="F427" s="1">
        <v>45676</v>
      </c>
      <c r="G427" s="1">
        <v>45678</v>
      </c>
      <c r="H427" t="s">
        <v>27</v>
      </c>
      <c r="I427" t="s">
        <v>70</v>
      </c>
      <c r="J427">
        <v>4</v>
      </c>
      <c r="K427" t="s">
        <v>19</v>
      </c>
      <c r="L427" t="s">
        <v>33</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x14ac:dyDescent="0.3">
      <c r="A428" t="s">
        <v>514</v>
      </c>
      <c r="B428" t="s">
        <v>39</v>
      </c>
      <c r="C428">
        <v>16</v>
      </c>
      <c r="D428">
        <v>54.3</v>
      </c>
      <c r="E428">
        <v>868.8</v>
      </c>
      <c r="F428" s="1">
        <v>45676</v>
      </c>
      <c r="G428" s="1">
        <v>45679</v>
      </c>
      <c r="H428" t="s">
        <v>27</v>
      </c>
      <c r="I428" t="s">
        <v>70</v>
      </c>
      <c r="J428">
        <v>4</v>
      </c>
      <c r="K428" t="s">
        <v>19</v>
      </c>
      <c r="L428" t="s">
        <v>33</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x14ac:dyDescent="0.3">
      <c r="A429" t="s">
        <v>515</v>
      </c>
      <c r="B429" t="s">
        <v>146</v>
      </c>
      <c r="C429">
        <v>13</v>
      </c>
      <c r="D429">
        <v>51.3</v>
      </c>
      <c r="E429">
        <v>666.9</v>
      </c>
      <c r="F429" s="1">
        <v>45676</v>
      </c>
      <c r="G429" s="1">
        <v>45678</v>
      </c>
      <c r="H429" t="s">
        <v>23</v>
      </c>
      <c r="I429" t="s">
        <v>18</v>
      </c>
      <c r="J429">
        <v>5</v>
      </c>
      <c r="K429" t="s">
        <v>19</v>
      </c>
      <c r="L429" t="s">
        <v>33</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x14ac:dyDescent="0.3">
      <c r="A430" t="s">
        <v>516</v>
      </c>
      <c r="B430" t="s">
        <v>16</v>
      </c>
      <c r="C430">
        <v>8</v>
      </c>
      <c r="D430">
        <v>25.6</v>
      </c>
      <c r="E430">
        <v>204.8</v>
      </c>
      <c r="F430" s="1">
        <v>45676</v>
      </c>
      <c r="G430" s="1">
        <v>45677</v>
      </c>
      <c r="H430" t="s">
        <v>27</v>
      </c>
      <c r="I430" t="s">
        <v>35</v>
      </c>
      <c r="J430">
        <v>3</v>
      </c>
      <c r="K430" t="s">
        <v>19</v>
      </c>
      <c r="L430" t="s">
        <v>33</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x14ac:dyDescent="0.3">
      <c r="A431" t="s">
        <v>517</v>
      </c>
      <c r="B431" t="s">
        <v>16</v>
      </c>
      <c r="C431">
        <v>2</v>
      </c>
      <c r="D431">
        <v>15.6</v>
      </c>
      <c r="E431">
        <v>31.2</v>
      </c>
      <c r="F431" s="1">
        <v>45676</v>
      </c>
      <c r="G431" s="1">
        <v>45677</v>
      </c>
      <c r="H431" t="s">
        <v>27</v>
      </c>
      <c r="I431" t="s">
        <v>40</v>
      </c>
      <c r="J431">
        <v>5</v>
      </c>
      <c r="K431" t="s">
        <v>19</v>
      </c>
      <c r="L431" t="s">
        <v>33</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x14ac:dyDescent="0.3">
      <c r="A432" t="s">
        <v>518</v>
      </c>
      <c r="B432" t="s">
        <v>44</v>
      </c>
      <c r="C432">
        <v>3</v>
      </c>
      <c r="D432">
        <v>30.3</v>
      </c>
      <c r="E432">
        <v>90.9</v>
      </c>
      <c r="F432" s="1">
        <v>45676</v>
      </c>
      <c r="G432" s="1">
        <v>45680</v>
      </c>
      <c r="H432" t="s">
        <v>27</v>
      </c>
      <c r="I432" t="s">
        <v>18</v>
      </c>
      <c r="J432">
        <v>3</v>
      </c>
      <c r="K432" t="s">
        <v>19</v>
      </c>
      <c r="L432" t="s">
        <v>33</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x14ac:dyDescent="0.3">
      <c r="A433" t="s">
        <v>519</v>
      </c>
      <c r="B433" t="s">
        <v>69</v>
      </c>
      <c r="C433">
        <v>2</v>
      </c>
      <c r="D433">
        <v>30.3</v>
      </c>
      <c r="E433">
        <v>60.6</v>
      </c>
      <c r="F433" s="1">
        <v>45676</v>
      </c>
      <c r="G433" s="1">
        <v>45681</v>
      </c>
      <c r="H433" t="s">
        <v>27</v>
      </c>
      <c r="I433" t="s">
        <v>18</v>
      </c>
      <c r="J433">
        <v>5</v>
      </c>
      <c r="K433" t="s">
        <v>19</v>
      </c>
      <c r="L433" t="s">
        <v>364</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x14ac:dyDescent="0.3">
      <c r="A434" t="s">
        <v>520</v>
      </c>
      <c r="B434" t="s">
        <v>54</v>
      </c>
      <c r="C434">
        <v>3</v>
      </c>
      <c r="D434">
        <v>53</v>
      </c>
      <c r="E434">
        <v>159</v>
      </c>
      <c r="F434" s="1">
        <v>45676</v>
      </c>
      <c r="G434" s="1">
        <v>45683</v>
      </c>
      <c r="H434" t="s">
        <v>27</v>
      </c>
      <c r="I434" t="s">
        <v>40</v>
      </c>
      <c r="J434">
        <v>4</v>
      </c>
      <c r="K434" t="s">
        <v>19</v>
      </c>
      <c r="L434" t="s">
        <v>186</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x14ac:dyDescent="0.3">
      <c r="A435" t="s">
        <v>521</v>
      </c>
      <c r="B435" t="s">
        <v>37</v>
      </c>
      <c r="C435">
        <v>18</v>
      </c>
      <c r="D435">
        <v>59.9</v>
      </c>
      <c r="E435">
        <v>1078.2</v>
      </c>
      <c r="F435" s="1">
        <v>45676</v>
      </c>
      <c r="G435" s="1">
        <v>45679</v>
      </c>
      <c r="H435" t="s">
        <v>23</v>
      </c>
      <c r="I435" t="s">
        <v>40</v>
      </c>
      <c r="J435">
        <v>2</v>
      </c>
      <c r="K435" t="s">
        <v>19</v>
      </c>
      <c r="L435" t="s">
        <v>188</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x14ac:dyDescent="0.3">
      <c r="A436" t="s">
        <v>522</v>
      </c>
      <c r="B436" t="s">
        <v>46</v>
      </c>
      <c r="C436">
        <v>2</v>
      </c>
      <c r="D436">
        <v>45.7</v>
      </c>
      <c r="E436">
        <v>91.4</v>
      </c>
      <c r="F436" s="1">
        <v>45676</v>
      </c>
      <c r="G436" s="1">
        <v>45677</v>
      </c>
      <c r="H436" t="s">
        <v>27</v>
      </c>
      <c r="I436" t="s">
        <v>35</v>
      </c>
      <c r="J436">
        <v>5</v>
      </c>
      <c r="K436" t="s">
        <v>19</v>
      </c>
      <c r="L436" t="s">
        <v>55</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x14ac:dyDescent="0.3">
      <c r="A437" t="s">
        <v>523</v>
      </c>
      <c r="B437" t="s">
        <v>44</v>
      </c>
      <c r="C437">
        <v>4</v>
      </c>
      <c r="D437">
        <v>46.1</v>
      </c>
      <c r="E437">
        <v>184.4</v>
      </c>
      <c r="F437" s="1">
        <v>45676</v>
      </c>
      <c r="G437" s="1">
        <v>45677</v>
      </c>
      <c r="H437" t="s">
        <v>23</v>
      </c>
      <c r="I437" t="s">
        <v>18</v>
      </c>
      <c r="J437">
        <v>4</v>
      </c>
      <c r="K437" t="s">
        <v>19</v>
      </c>
      <c r="L437" t="s">
        <v>55</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x14ac:dyDescent="0.3">
      <c r="A438" t="s">
        <v>524</v>
      </c>
      <c r="B438" t="s">
        <v>44</v>
      </c>
      <c r="C438">
        <v>3</v>
      </c>
      <c r="D438">
        <v>17.5</v>
      </c>
      <c r="E438">
        <v>52.5</v>
      </c>
      <c r="F438" s="1">
        <v>45676</v>
      </c>
      <c r="G438" s="1">
        <v>45677</v>
      </c>
      <c r="H438" t="s">
        <v>27</v>
      </c>
      <c r="I438" t="s">
        <v>18</v>
      </c>
      <c r="J438">
        <v>5</v>
      </c>
      <c r="K438" t="s">
        <v>19</v>
      </c>
      <c r="L438" t="s">
        <v>62</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x14ac:dyDescent="0.3">
      <c r="A439" t="s">
        <v>525</v>
      </c>
      <c r="B439" t="s">
        <v>54</v>
      </c>
      <c r="C439">
        <v>3</v>
      </c>
      <c r="D439">
        <v>36.5</v>
      </c>
      <c r="E439">
        <v>109.5</v>
      </c>
      <c r="F439" s="1">
        <v>45676</v>
      </c>
      <c r="G439" s="1">
        <v>45687</v>
      </c>
      <c r="H439" t="s">
        <v>23</v>
      </c>
      <c r="I439" t="s">
        <v>40</v>
      </c>
      <c r="J439">
        <v>4</v>
      </c>
      <c r="K439" t="s">
        <v>19</v>
      </c>
      <c r="L439" t="s">
        <v>62</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x14ac:dyDescent="0.3">
      <c r="A440" t="s">
        <v>526</v>
      </c>
      <c r="B440" t="s">
        <v>44</v>
      </c>
      <c r="C440">
        <v>2</v>
      </c>
      <c r="D440">
        <v>47.5</v>
      </c>
      <c r="E440">
        <v>95</v>
      </c>
      <c r="F440" s="1">
        <v>45677</v>
      </c>
      <c r="G440" s="1">
        <v>45679</v>
      </c>
      <c r="H440" t="s">
        <v>27</v>
      </c>
      <c r="I440" t="s">
        <v>35</v>
      </c>
      <c r="J440">
        <v>4</v>
      </c>
      <c r="K440" t="s">
        <v>19</v>
      </c>
      <c r="L440" t="s">
        <v>62</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x14ac:dyDescent="0.3">
      <c r="A441" t="s">
        <v>527</v>
      </c>
      <c r="B441" t="s">
        <v>39</v>
      </c>
      <c r="C441">
        <v>5</v>
      </c>
      <c r="D441">
        <v>45.6</v>
      </c>
      <c r="E441">
        <v>228</v>
      </c>
      <c r="F441" s="1">
        <v>45677</v>
      </c>
      <c r="G441" s="1">
        <v>45679</v>
      </c>
      <c r="H441" t="s">
        <v>27</v>
      </c>
      <c r="I441" t="s">
        <v>18</v>
      </c>
      <c r="J441">
        <v>5</v>
      </c>
      <c r="K441" t="s">
        <v>19</v>
      </c>
      <c r="L441" t="s">
        <v>62</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x14ac:dyDescent="0.3">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x14ac:dyDescent="0.3">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x14ac:dyDescent="0.3">
      <c r="A444" t="s">
        <v>530</v>
      </c>
      <c r="B444" t="s">
        <v>44</v>
      </c>
      <c r="C444">
        <v>15</v>
      </c>
      <c r="D444">
        <v>19.2</v>
      </c>
      <c r="E444">
        <v>288</v>
      </c>
      <c r="F444" s="1">
        <v>45677</v>
      </c>
      <c r="G444" s="1">
        <v>45679</v>
      </c>
      <c r="H444" t="s">
        <v>89</v>
      </c>
      <c r="I444" t="s">
        <v>70</v>
      </c>
      <c r="J444">
        <v>3</v>
      </c>
      <c r="K444" t="s">
        <v>19</v>
      </c>
      <c r="L444" t="s">
        <v>201</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x14ac:dyDescent="0.3">
      <c r="A445" t="s">
        <v>531</v>
      </c>
      <c r="B445" t="s">
        <v>135</v>
      </c>
      <c r="C445">
        <v>3</v>
      </c>
      <c r="D445">
        <v>22.6</v>
      </c>
      <c r="E445">
        <v>67.800000000000011</v>
      </c>
      <c r="F445" s="1">
        <v>45677</v>
      </c>
      <c r="G445" s="1">
        <v>45678</v>
      </c>
      <c r="H445" t="s">
        <v>23</v>
      </c>
      <c r="I445" t="s">
        <v>35</v>
      </c>
      <c r="J445">
        <v>4</v>
      </c>
      <c r="K445" t="s">
        <v>19</v>
      </c>
      <c r="L445" t="s">
        <v>77</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x14ac:dyDescent="0.3">
      <c r="A446" t="s">
        <v>532</v>
      </c>
      <c r="B446" t="s">
        <v>22</v>
      </c>
      <c r="C446">
        <v>15</v>
      </c>
      <c r="D446">
        <v>126.9</v>
      </c>
      <c r="E446">
        <v>1903.5</v>
      </c>
      <c r="F446" s="1">
        <v>45677</v>
      </c>
      <c r="G446" s="1">
        <v>45679</v>
      </c>
      <c r="H446" t="s">
        <v>27</v>
      </c>
      <c r="I446" t="s">
        <v>18</v>
      </c>
      <c r="J446">
        <v>5</v>
      </c>
      <c r="K446" t="s">
        <v>19</v>
      </c>
      <c r="L446" t="s">
        <v>77</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x14ac:dyDescent="0.3">
      <c r="A447" t="s">
        <v>533</v>
      </c>
      <c r="B447" t="s">
        <v>26</v>
      </c>
      <c r="C447">
        <v>2</v>
      </c>
      <c r="D447">
        <v>100.3</v>
      </c>
      <c r="E447">
        <v>200.6</v>
      </c>
      <c r="F447" s="1">
        <v>45677</v>
      </c>
      <c r="G447" s="1">
        <v>45678</v>
      </c>
      <c r="H447" t="s">
        <v>27</v>
      </c>
      <c r="I447" t="s">
        <v>18</v>
      </c>
      <c r="J447">
        <v>3</v>
      </c>
      <c r="K447" t="s">
        <v>19</v>
      </c>
      <c r="L447" t="s">
        <v>77</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x14ac:dyDescent="0.3">
      <c r="A448" t="s">
        <v>534</v>
      </c>
      <c r="B448" t="s">
        <v>32</v>
      </c>
      <c r="C448">
        <v>18</v>
      </c>
      <c r="D448">
        <v>24.6</v>
      </c>
      <c r="E448">
        <v>442.8</v>
      </c>
      <c r="F448" s="1">
        <v>45677</v>
      </c>
      <c r="G448" s="1">
        <v>45678</v>
      </c>
      <c r="H448" t="s">
        <v>27</v>
      </c>
      <c r="I448" t="s">
        <v>70</v>
      </c>
      <c r="J448">
        <v>4</v>
      </c>
      <c r="K448" t="s">
        <v>19</v>
      </c>
      <c r="L448" t="s">
        <v>82</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x14ac:dyDescent="0.3">
      <c r="A449" t="s">
        <v>535</v>
      </c>
      <c r="B449" t="s">
        <v>39</v>
      </c>
      <c r="C449">
        <v>2</v>
      </c>
      <c r="D449">
        <v>47.3</v>
      </c>
      <c r="E449">
        <v>94.6</v>
      </c>
      <c r="F449" s="1">
        <v>45677</v>
      </c>
      <c r="G449" s="1">
        <v>45678</v>
      </c>
      <c r="H449" t="s">
        <v>23</v>
      </c>
      <c r="I449" t="s">
        <v>35</v>
      </c>
      <c r="J449">
        <v>5</v>
      </c>
      <c r="K449" t="s">
        <v>19</v>
      </c>
      <c r="L449" t="s">
        <v>82</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x14ac:dyDescent="0.3">
      <c r="A450" t="s">
        <v>536</v>
      </c>
      <c r="B450" t="s">
        <v>39</v>
      </c>
      <c r="C450">
        <v>7</v>
      </c>
      <c r="D450">
        <v>40.799999999999997</v>
      </c>
      <c r="E450">
        <v>285.59999999999997</v>
      </c>
      <c r="F450" s="1">
        <v>45677</v>
      </c>
      <c r="G450" s="1">
        <v>45680</v>
      </c>
      <c r="H450" t="s">
        <v>27</v>
      </c>
      <c r="I450" t="s">
        <v>40</v>
      </c>
      <c r="J450">
        <v>5</v>
      </c>
      <c r="K450" t="s">
        <v>19</v>
      </c>
      <c r="L450" t="s">
        <v>115</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x14ac:dyDescent="0.3">
      <c r="A451" t="s">
        <v>537</v>
      </c>
      <c r="B451" t="s">
        <v>44</v>
      </c>
      <c r="C451">
        <v>8</v>
      </c>
      <c r="D451">
        <v>49.2</v>
      </c>
      <c r="E451">
        <v>393.6</v>
      </c>
      <c r="F451" s="1">
        <v>45677</v>
      </c>
      <c r="G451" s="1">
        <v>45679</v>
      </c>
      <c r="H451" t="s">
        <v>27</v>
      </c>
      <c r="I451" t="s">
        <v>18</v>
      </c>
      <c r="J451">
        <v>4</v>
      </c>
      <c r="K451" t="s">
        <v>19</v>
      </c>
      <c r="L451" t="s">
        <v>24</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x14ac:dyDescent="0.3">
      <c r="A452" t="s">
        <v>538</v>
      </c>
      <c r="B452" t="s">
        <v>44</v>
      </c>
      <c r="C452">
        <v>1</v>
      </c>
      <c r="D452">
        <v>28.5</v>
      </c>
      <c r="E452">
        <v>28.5</v>
      </c>
      <c r="F452" s="1">
        <v>45677</v>
      </c>
      <c r="G452" s="1">
        <v>45679</v>
      </c>
      <c r="H452" t="s">
        <v>17</v>
      </c>
      <c r="I452" t="s">
        <v>40</v>
      </c>
      <c r="J452">
        <v>3</v>
      </c>
      <c r="K452" t="s">
        <v>19</v>
      </c>
      <c r="L452" t="s">
        <v>33</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x14ac:dyDescent="0.3">
      <c r="A453" t="s">
        <v>539</v>
      </c>
      <c r="B453" t="s">
        <v>146</v>
      </c>
      <c r="C453">
        <v>2</v>
      </c>
      <c r="D453">
        <v>36.799999999999997</v>
      </c>
      <c r="E453">
        <v>73.599999999999994</v>
      </c>
      <c r="F453" s="1">
        <v>45677</v>
      </c>
      <c r="G453" s="1">
        <v>45683</v>
      </c>
      <c r="H453" t="s">
        <v>27</v>
      </c>
      <c r="I453" t="s">
        <v>18</v>
      </c>
      <c r="J453">
        <v>5</v>
      </c>
      <c r="K453" t="s">
        <v>19</v>
      </c>
      <c r="L453" t="s">
        <v>33</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x14ac:dyDescent="0.3">
      <c r="A454" t="s">
        <v>540</v>
      </c>
      <c r="B454" t="s">
        <v>42</v>
      </c>
      <c r="C454">
        <v>3</v>
      </c>
      <c r="D454">
        <v>33.5</v>
      </c>
      <c r="E454">
        <v>100.5</v>
      </c>
      <c r="F454" s="1">
        <v>45677</v>
      </c>
      <c r="G454" s="1">
        <v>45678</v>
      </c>
      <c r="H454" t="s">
        <v>27</v>
      </c>
      <c r="I454" t="s">
        <v>18</v>
      </c>
      <c r="J454">
        <v>3</v>
      </c>
      <c r="K454" t="s">
        <v>19</v>
      </c>
      <c r="L454" t="s">
        <v>33</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x14ac:dyDescent="0.3">
      <c r="A455" t="s">
        <v>541</v>
      </c>
      <c r="B455" t="s">
        <v>39</v>
      </c>
      <c r="C455">
        <v>6</v>
      </c>
      <c r="D455">
        <v>62.5</v>
      </c>
      <c r="E455">
        <v>375</v>
      </c>
      <c r="F455" s="1">
        <v>45677</v>
      </c>
      <c r="G455" s="1">
        <v>45679</v>
      </c>
      <c r="H455" t="s">
        <v>27</v>
      </c>
      <c r="I455" t="s">
        <v>18</v>
      </c>
      <c r="J455">
        <v>4</v>
      </c>
      <c r="K455" t="s">
        <v>19</v>
      </c>
      <c r="L455" t="s">
        <v>33</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x14ac:dyDescent="0.3">
      <c r="A456" t="s">
        <v>542</v>
      </c>
      <c r="B456" t="s">
        <v>44</v>
      </c>
      <c r="C456">
        <v>40</v>
      </c>
      <c r="D456">
        <v>47.9</v>
      </c>
      <c r="E456">
        <v>1916</v>
      </c>
      <c r="F456" s="1">
        <v>45677</v>
      </c>
      <c r="G456" s="1">
        <v>45678</v>
      </c>
      <c r="H456" t="s">
        <v>27</v>
      </c>
      <c r="I456" t="s">
        <v>51</v>
      </c>
      <c r="J456">
        <v>4</v>
      </c>
      <c r="K456" t="s">
        <v>19</v>
      </c>
      <c r="L456" t="s">
        <v>33</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x14ac:dyDescent="0.3">
      <c r="A457" t="s">
        <v>543</v>
      </c>
      <c r="B457" t="s">
        <v>39</v>
      </c>
      <c r="C457">
        <v>6</v>
      </c>
      <c r="D457">
        <v>92.9</v>
      </c>
      <c r="E457">
        <v>557.40000000000009</v>
      </c>
      <c r="F457" s="1">
        <v>45677</v>
      </c>
      <c r="G457" s="1">
        <v>45688</v>
      </c>
      <c r="H457" t="s">
        <v>27</v>
      </c>
      <c r="I457" t="s">
        <v>18</v>
      </c>
      <c r="J457">
        <v>2</v>
      </c>
      <c r="K457" t="s">
        <v>19</v>
      </c>
      <c r="L457" t="s">
        <v>33</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x14ac:dyDescent="0.3">
      <c r="A458" t="s">
        <v>544</v>
      </c>
      <c r="B458" t="s">
        <v>69</v>
      </c>
      <c r="C458">
        <v>3</v>
      </c>
      <c r="D458">
        <v>44.1</v>
      </c>
      <c r="E458">
        <v>132.30000000000001</v>
      </c>
      <c r="F458" s="1">
        <v>45677</v>
      </c>
      <c r="G458" s="1">
        <v>45677</v>
      </c>
      <c r="H458" t="s">
        <v>27</v>
      </c>
      <c r="I458" t="s">
        <v>35</v>
      </c>
      <c r="J458">
        <v>3</v>
      </c>
      <c r="K458" t="s">
        <v>19</v>
      </c>
      <c r="L458" t="s">
        <v>545</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x14ac:dyDescent="0.3">
      <c r="A459" t="s">
        <v>546</v>
      </c>
      <c r="B459" t="s">
        <v>16</v>
      </c>
      <c r="C459">
        <v>1</v>
      </c>
      <c r="D459">
        <v>11.4</v>
      </c>
      <c r="E459">
        <v>11.4</v>
      </c>
      <c r="F459" s="1">
        <v>45678</v>
      </c>
      <c r="G459" s="1">
        <v>45680</v>
      </c>
      <c r="H459" t="s">
        <v>27</v>
      </c>
      <c r="I459" t="s">
        <v>40</v>
      </c>
      <c r="J459">
        <v>4</v>
      </c>
      <c r="K459" t="s">
        <v>19</v>
      </c>
      <c r="L459" t="s">
        <v>52</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x14ac:dyDescent="0.3">
      <c r="A460" t="s">
        <v>547</v>
      </c>
      <c r="B460" t="s">
        <v>39</v>
      </c>
      <c r="C460">
        <v>1</v>
      </c>
      <c r="D460">
        <v>83.7</v>
      </c>
      <c r="E460">
        <v>83.7</v>
      </c>
      <c r="F460" s="1">
        <v>45678</v>
      </c>
      <c r="G460" s="1">
        <v>45680</v>
      </c>
      <c r="H460" t="s">
        <v>27</v>
      </c>
      <c r="I460" t="s">
        <v>18</v>
      </c>
      <c r="J460">
        <v>5</v>
      </c>
      <c r="K460" t="s">
        <v>19</v>
      </c>
      <c r="L460" t="s">
        <v>55</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x14ac:dyDescent="0.3">
      <c r="A461" t="s">
        <v>548</v>
      </c>
      <c r="B461" t="s">
        <v>54</v>
      </c>
      <c r="C461">
        <v>2</v>
      </c>
      <c r="D461">
        <v>23.2</v>
      </c>
      <c r="E461">
        <v>46.4</v>
      </c>
      <c r="F461" s="1">
        <v>45678</v>
      </c>
      <c r="G461" s="1">
        <v>45679</v>
      </c>
      <c r="H461" t="s">
        <v>23</v>
      </c>
      <c r="I461" t="s">
        <v>40</v>
      </c>
      <c r="J461">
        <v>4</v>
      </c>
      <c r="K461" t="s">
        <v>19</v>
      </c>
      <c r="L461" t="s">
        <v>62</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x14ac:dyDescent="0.3">
      <c r="A462" t="s">
        <v>549</v>
      </c>
      <c r="B462" t="s">
        <v>26</v>
      </c>
      <c r="C462">
        <v>1</v>
      </c>
      <c r="D462">
        <v>162.1</v>
      </c>
      <c r="E462">
        <v>162.1</v>
      </c>
      <c r="F462" s="1">
        <v>45678</v>
      </c>
      <c r="G462" s="1">
        <v>45681</v>
      </c>
      <c r="H462" t="s">
        <v>27</v>
      </c>
      <c r="I462" t="s">
        <v>18</v>
      </c>
      <c r="J462">
        <v>5</v>
      </c>
      <c r="K462" t="s">
        <v>19</v>
      </c>
      <c r="L462" t="s">
        <v>72</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x14ac:dyDescent="0.3">
      <c r="A463" t="s">
        <v>550</v>
      </c>
      <c r="B463" t="s">
        <v>39</v>
      </c>
      <c r="C463">
        <v>4</v>
      </c>
      <c r="D463">
        <v>49.2</v>
      </c>
      <c r="E463">
        <v>196.8</v>
      </c>
      <c r="F463" s="1">
        <v>45678</v>
      </c>
      <c r="G463" s="1">
        <v>45682</v>
      </c>
      <c r="H463" t="s">
        <v>23</v>
      </c>
      <c r="I463" t="s">
        <v>35</v>
      </c>
      <c r="J463">
        <v>4</v>
      </c>
      <c r="K463" t="s">
        <v>19</v>
      </c>
      <c r="L463" t="s">
        <v>72</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x14ac:dyDescent="0.3">
      <c r="A464" t="s">
        <v>551</v>
      </c>
      <c r="B464" t="s">
        <v>22</v>
      </c>
      <c r="C464">
        <v>2</v>
      </c>
      <c r="D464">
        <v>61</v>
      </c>
      <c r="E464">
        <v>122</v>
      </c>
      <c r="F464" s="1">
        <v>45678</v>
      </c>
      <c r="G464" s="1">
        <v>45679</v>
      </c>
      <c r="H464" t="s">
        <v>23</v>
      </c>
      <c r="I464" t="s">
        <v>51</v>
      </c>
      <c r="J464">
        <v>4</v>
      </c>
      <c r="K464" t="s">
        <v>19</v>
      </c>
      <c r="L464" t="s">
        <v>74</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x14ac:dyDescent="0.3">
      <c r="A465" t="s">
        <v>552</v>
      </c>
      <c r="B465" t="s">
        <v>26</v>
      </c>
      <c r="C465">
        <v>10</v>
      </c>
      <c r="D465">
        <v>53.1</v>
      </c>
      <c r="E465">
        <v>531</v>
      </c>
      <c r="F465" s="1">
        <v>45678</v>
      </c>
      <c r="G465" s="1">
        <v>45680</v>
      </c>
      <c r="H465" t="s">
        <v>23</v>
      </c>
      <c r="I465" t="s">
        <v>18</v>
      </c>
      <c r="J465">
        <v>4</v>
      </c>
      <c r="K465" t="s">
        <v>19</v>
      </c>
      <c r="L465" t="s">
        <v>77</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x14ac:dyDescent="0.3">
      <c r="A466" t="s">
        <v>553</v>
      </c>
      <c r="B466" t="s">
        <v>32</v>
      </c>
      <c r="C466">
        <v>2</v>
      </c>
      <c r="D466">
        <v>22.4</v>
      </c>
      <c r="E466">
        <v>44.8</v>
      </c>
      <c r="F466" s="1">
        <v>45678</v>
      </c>
      <c r="G466" s="1">
        <v>45680</v>
      </c>
      <c r="H466" t="s">
        <v>17</v>
      </c>
      <c r="I466" t="s">
        <v>35</v>
      </c>
      <c r="J466">
        <v>5</v>
      </c>
      <c r="K466" t="s">
        <v>19</v>
      </c>
      <c r="L466" t="s">
        <v>82</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x14ac:dyDescent="0.3">
      <c r="A467" t="s">
        <v>554</v>
      </c>
      <c r="B467" t="s">
        <v>22</v>
      </c>
      <c r="C467">
        <v>5</v>
      </c>
      <c r="D467">
        <v>75.3</v>
      </c>
      <c r="E467">
        <v>376.5</v>
      </c>
      <c r="F467" s="1">
        <v>45678</v>
      </c>
      <c r="G467" s="1">
        <v>45679</v>
      </c>
      <c r="H467" t="s">
        <v>23</v>
      </c>
      <c r="I467" t="s">
        <v>18</v>
      </c>
      <c r="J467">
        <v>4</v>
      </c>
      <c r="K467" t="s">
        <v>19</v>
      </c>
      <c r="L467" t="s">
        <v>115</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x14ac:dyDescent="0.3">
      <c r="A468" t="s">
        <v>555</v>
      </c>
      <c r="B468" t="s">
        <v>39</v>
      </c>
      <c r="C468">
        <v>1</v>
      </c>
      <c r="D468">
        <v>48.5</v>
      </c>
      <c r="E468">
        <v>48.5</v>
      </c>
      <c r="F468" s="1">
        <v>45678</v>
      </c>
      <c r="G468" s="1">
        <v>45679</v>
      </c>
      <c r="H468" t="s">
        <v>27</v>
      </c>
      <c r="I468" t="s">
        <v>18</v>
      </c>
      <c r="J468">
        <v>3</v>
      </c>
      <c r="K468" t="s">
        <v>19</v>
      </c>
      <c r="L468" t="s">
        <v>115</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x14ac:dyDescent="0.3">
      <c r="A469" t="s">
        <v>556</v>
      </c>
      <c r="B469" t="s">
        <v>39</v>
      </c>
      <c r="C469">
        <v>1</v>
      </c>
      <c r="D469">
        <v>42.6</v>
      </c>
      <c r="E469">
        <v>42.6</v>
      </c>
      <c r="F469" s="1">
        <v>45678</v>
      </c>
      <c r="G469" s="1">
        <v>45682</v>
      </c>
      <c r="H469" t="s">
        <v>27</v>
      </c>
      <c r="I469" t="s">
        <v>51</v>
      </c>
      <c r="J469">
        <v>4</v>
      </c>
      <c r="K469" t="s">
        <v>19</v>
      </c>
      <c r="L469" t="s">
        <v>24</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x14ac:dyDescent="0.3">
      <c r="A470" t="s">
        <v>557</v>
      </c>
      <c r="B470" t="s">
        <v>37</v>
      </c>
      <c r="C470">
        <v>5</v>
      </c>
      <c r="D470">
        <v>49</v>
      </c>
      <c r="E470">
        <v>245</v>
      </c>
      <c r="F470" s="1">
        <v>45678</v>
      </c>
      <c r="G470" s="1">
        <v>45679</v>
      </c>
      <c r="H470" t="s">
        <v>23</v>
      </c>
      <c r="I470" t="s">
        <v>18</v>
      </c>
      <c r="J470">
        <v>4</v>
      </c>
      <c r="K470" t="s">
        <v>19</v>
      </c>
      <c r="L470" t="s">
        <v>147</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x14ac:dyDescent="0.3">
      <c r="A471" t="s">
        <v>558</v>
      </c>
      <c r="B471" t="s">
        <v>44</v>
      </c>
      <c r="C471">
        <v>3</v>
      </c>
      <c r="D471">
        <v>31.3</v>
      </c>
      <c r="E471">
        <v>93.9</v>
      </c>
      <c r="F471" s="1">
        <v>45678</v>
      </c>
      <c r="G471" s="1">
        <v>45679</v>
      </c>
      <c r="H471" t="s">
        <v>23</v>
      </c>
      <c r="I471" t="s">
        <v>40</v>
      </c>
      <c r="J471">
        <v>3</v>
      </c>
      <c r="K471" t="s">
        <v>19</v>
      </c>
      <c r="L471" t="s">
        <v>33</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x14ac:dyDescent="0.3">
      <c r="A472" t="s">
        <v>559</v>
      </c>
      <c r="B472" t="s">
        <v>26</v>
      </c>
      <c r="C472">
        <v>2</v>
      </c>
      <c r="D472">
        <v>85.4</v>
      </c>
      <c r="E472">
        <v>170.8</v>
      </c>
      <c r="F472" s="1">
        <v>45678</v>
      </c>
      <c r="G472" s="1">
        <v>45679</v>
      </c>
      <c r="H472" t="s">
        <v>27</v>
      </c>
      <c r="I472" t="s">
        <v>40</v>
      </c>
      <c r="J472">
        <v>4</v>
      </c>
      <c r="K472" t="s">
        <v>19</v>
      </c>
      <c r="L472" t="s">
        <v>33</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x14ac:dyDescent="0.3">
      <c r="A473" t="s">
        <v>560</v>
      </c>
      <c r="B473" t="s">
        <v>44</v>
      </c>
      <c r="C473">
        <v>4</v>
      </c>
      <c r="D473">
        <v>40</v>
      </c>
      <c r="E473">
        <v>160</v>
      </c>
      <c r="F473" s="1">
        <v>45678</v>
      </c>
      <c r="G473" s="1">
        <v>45679</v>
      </c>
      <c r="H473" t="s">
        <v>89</v>
      </c>
      <c r="I473" t="s">
        <v>18</v>
      </c>
      <c r="J473">
        <v>5</v>
      </c>
      <c r="K473" t="s">
        <v>19</v>
      </c>
      <c r="L473" t="s">
        <v>33</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x14ac:dyDescent="0.3">
      <c r="A474" t="s">
        <v>561</v>
      </c>
      <c r="B474" t="s">
        <v>37</v>
      </c>
      <c r="C474">
        <v>2</v>
      </c>
      <c r="D474">
        <v>38.5</v>
      </c>
      <c r="E474">
        <v>77</v>
      </c>
      <c r="F474" s="1">
        <v>45678</v>
      </c>
      <c r="G474" s="1">
        <v>45681</v>
      </c>
      <c r="H474" t="s">
        <v>23</v>
      </c>
      <c r="I474" t="s">
        <v>35</v>
      </c>
      <c r="J474">
        <v>5</v>
      </c>
      <c r="K474" t="s">
        <v>19</v>
      </c>
      <c r="L474" t="s">
        <v>33</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x14ac:dyDescent="0.3">
      <c r="A475" t="s">
        <v>562</v>
      </c>
      <c r="B475" t="s">
        <v>26</v>
      </c>
      <c r="C475">
        <v>2</v>
      </c>
      <c r="D475">
        <v>57.8</v>
      </c>
      <c r="E475">
        <v>115.6</v>
      </c>
      <c r="F475" s="1">
        <v>45678</v>
      </c>
      <c r="G475" s="1">
        <v>45679</v>
      </c>
      <c r="H475" t="s">
        <v>17</v>
      </c>
      <c r="I475" t="s">
        <v>18</v>
      </c>
      <c r="J475">
        <v>4</v>
      </c>
      <c r="K475" t="s">
        <v>19</v>
      </c>
      <c r="L475" t="s">
        <v>33</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x14ac:dyDescent="0.3">
      <c r="A476" t="s">
        <v>563</v>
      </c>
      <c r="B476" t="s">
        <v>44</v>
      </c>
      <c r="C476">
        <v>1</v>
      </c>
      <c r="D476">
        <v>19.2</v>
      </c>
      <c r="E476">
        <v>19.2</v>
      </c>
      <c r="F476" s="1">
        <v>45678</v>
      </c>
      <c r="G476" s="1">
        <v>45679</v>
      </c>
      <c r="H476" t="s">
        <v>27</v>
      </c>
      <c r="I476" t="s">
        <v>18</v>
      </c>
      <c r="J476">
        <v>2</v>
      </c>
      <c r="K476" t="s">
        <v>19</v>
      </c>
      <c r="L476" t="s">
        <v>33</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x14ac:dyDescent="0.3">
      <c r="A477" t="s">
        <v>564</v>
      </c>
      <c r="B477" t="s">
        <v>39</v>
      </c>
      <c r="C477">
        <v>6</v>
      </c>
      <c r="D477">
        <v>114.8</v>
      </c>
      <c r="E477">
        <v>688.8</v>
      </c>
      <c r="F477" s="1">
        <v>45678</v>
      </c>
      <c r="G477" s="1">
        <v>45681</v>
      </c>
      <c r="H477" t="s">
        <v>23</v>
      </c>
      <c r="I477" t="s">
        <v>35</v>
      </c>
      <c r="J477">
        <v>3</v>
      </c>
      <c r="K477" t="s">
        <v>19</v>
      </c>
      <c r="L477" t="s">
        <v>33</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x14ac:dyDescent="0.3">
      <c r="A478" t="s">
        <v>565</v>
      </c>
      <c r="B478" t="s">
        <v>54</v>
      </c>
      <c r="C478">
        <v>7</v>
      </c>
      <c r="D478">
        <v>48.4</v>
      </c>
      <c r="E478">
        <v>338.8</v>
      </c>
      <c r="F478" s="1">
        <v>45678</v>
      </c>
      <c r="G478" s="1">
        <v>45681</v>
      </c>
      <c r="H478" t="s">
        <v>27</v>
      </c>
      <c r="I478" t="s">
        <v>51</v>
      </c>
      <c r="J478">
        <v>3</v>
      </c>
      <c r="K478" t="s">
        <v>19</v>
      </c>
      <c r="L478" t="s">
        <v>33</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x14ac:dyDescent="0.3">
      <c r="A479" t="s">
        <v>566</v>
      </c>
      <c r="B479" t="s">
        <v>46</v>
      </c>
      <c r="C479">
        <v>5</v>
      </c>
      <c r="D479">
        <v>73.2</v>
      </c>
      <c r="E479">
        <v>366</v>
      </c>
      <c r="F479" s="1">
        <v>45678</v>
      </c>
      <c r="G479" s="1">
        <v>45679</v>
      </c>
      <c r="H479" t="s">
        <v>27</v>
      </c>
      <c r="I479" t="s">
        <v>35</v>
      </c>
      <c r="J479">
        <v>2</v>
      </c>
      <c r="K479" t="s">
        <v>19</v>
      </c>
      <c r="L479" t="s">
        <v>33</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x14ac:dyDescent="0.3">
      <c r="A480" t="s">
        <v>567</v>
      </c>
      <c r="B480" t="s">
        <v>123</v>
      </c>
      <c r="C480">
        <v>2</v>
      </c>
      <c r="D480">
        <v>48.6</v>
      </c>
      <c r="E480">
        <v>97.2</v>
      </c>
      <c r="F480" s="1">
        <v>45678</v>
      </c>
      <c r="G480" s="1">
        <v>45682</v>
      </c>
      <c r="H480" t="s">
        <v>27</v>
      </c>
      <c r="I480" t="s">
        <v>51</v>
      </c>
      <c r="J480">
        <v>4</v>
      </c>
      <c r="K480" t="s">
        <v>19</v>
      </c>
      <c r="L480" t="s">
        <v>33</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x14ac:dyDescent="0.3">
      <c r="A481" t="s">
        <v>568</v>
      </c>
      <c r="B481" t="s">
        <v>16</v>
      </c>
      <c r="C481">
        <v>6</v>
      </c>
      <c r="D481">
        <v>48.7</v>
      </c>
      <c r="E481">
        <v>292.20000000000005</v>
      </c>
      <c r="F481" s="1">
        <v>45678</v>
      </c>
      <c r="G481" s="1">
        <v>45679</v>
      </c>
      <c r="H481" t="s">
        <v>23</v>
      </c>
      <c r="I481" t="s">
        <v>18</v>
      </c>
      <c r="J481">
        <v>4</v>
      </c>
      <c r="K481" t="s">
        <v>19</v>
      </c>
      <c r="L481" t="s">
        <v>33</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x14ac:dyDescent="0.3">
      <c r="A482" t="s">
        <v>569</v>
      </c>
      <c r="B482" t="s">
        <v>32</v>
      </c>
      <c r="C482">
        <v>2</v>
      </c>
      <c r="D482">
        <v>32.200000000000003</v>
      </c>
      <c r="E482">
        <v>64.400000000000006</v>
      </c>
      <c r="F482" s="1">
        <v>45678</v>
      </c>
      <c r="G482" s="1">
        <v>45681</v>
      </c>
      <c r="H482" t="s">
        <v>23</v>
      </c>
      <c r="I482" t="s">
        <v>40</v>
      </c>
      <c r="J482">
        <v>5</v>
      </c>
      <c r="K482" t="s">
        <v>19</v>
      </c>
      <c r="L482" t="s">
        <v>33</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x14ac:dyDescent="0.3">
      <c r="A483" t="s">
        <v>570</v>
      </c>
      <c r="B483" t="s">
        <v>123</v>
      </c>
      <c r="C483">
        <v>8</v>
      </c>
      <c r="D483">
        <v>25.8</v>
      </c>
      <c r="E483">
        <v>206.4</v>
      </c>
      <c r="F483" s="1">
        <v>45678</v>
      </c>
      <c r="G483" s="1">
        <v>45679</v>
      </c>
      <c r="H483" t="s">
        <v>23</v>
      </c>
      <c r="I483" t="s">
        <v>18</v>
      </c>
      <c r="J483">
        <v>4</v>
      </c>
      <c r="K483" t="s">
        <v>19</v>
      </c>
      <c r="L483" t="s">
        <v>364</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x14ac:dyDescent="0.3">
      <c r="A484" t="s">
        <v>571</v>
      </c>
      <c r="B484" t="s">
        <v>39</v>
      </c>
      <c r="C484">
        <v>2</v>
      </c>
      <c r="D484">
        <v>94.8</v>
      </c>
      <c r="E484">
        <v>189.6</v>
      </c>
      <c r="F484" s="1">
        <v>45679</v>
      </c>
      <c r="G484" s="1">
        <v>45682</v>
      </c>
      <c r="H484" t="s">
        <v>27</v>
      </c>
      <c r="I484" t="s">
        <v>35</v>
      </c>
      <c r="J484">
        <v>3</v>
      </c>
      <c r="K484" t="s">
        <v>19</v>
      </c>
      <c r="L484" t="s">
        <v>188</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x14ac:dyDescent="0.3">
      <c r="A485" t="s">
        <v>572</v>
      </c>
      <c r="B485" t="s">
        <v>123</v>
      </c>
      <c r="C485">
        <v>25</v>
      </c>
      <c r="D485">
        <v>56.8</v>
      </c>
      <c r="E485">
        <v>1420</v>
      </c>
      <c r="F485" s="1">
        <v>45679</v>
      </c>
      <c r="G485" s="1">
        <v>45682</v>
      </c>
      <c r="H485" t="s">
        <v>23</v>
      </c>
      <c r="I485" t="s">
        <v>18</v>
      </c>
      <c r="J485">
        <v>4</v>
      </c>
      <c r="K485" t="s">
        <v>19</v>
      </c>
      <c r="L485" t="s">
        <v>188</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x14ac:dyDescent="0.3">
      <c r="A486" t="s">
        <v>573</v>
      </c>
      <c r="B486" t="s">
        <v>44</v>
      </c>
      <c r="C486">
        <v>16</v>
      </c>
      <c r="D486">
        <v>18.3</v>
      </c>
      <c r="E486">
        <v>292.8</v>
      </c>
      <c r="F486" s="1">
        <v>45679</v>
      </c>
      <c r="G486" s="1">
        <v>45686</v>
      </c>
      <c r="H486" t="s">
        <v>27</v>
      </c>
      <c r="I486" t="s">
        <v>40</v>
      </c>
      <c r="J486">
        <v>5</v>
      </c>
      <c r="K486" t="s">
        <v>19</v>
      </c>
      <c r="L486" t="s">
        <v>158</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x14ac:dyDescent="0.3">
      <c r="A487" t="s">
        <v>574</v>
      </c>
      <c r="B487" t="s">
        <v>16</v>
      </c>
      <c r="C487">
        <v>3</v>
      </c>
      <c r="D487">
        <v>16.8</v>
      </c>
      <c r="E487">
        <v>50.400000000000006</v>
      </c>
      <c r="F487" s="1">
        <v>45679</v>
      </c>
      <c r="G487" s="1">
        <v>45684</v>
      </c>
      <c r="H487" t="s">
        <v>27</v>
      </c>
      <c r="I487" t="s">
        <v>40</v>
      </c>
      <c r="J487">
        <v>5</v>
      </c>
      <c r="K487" t="s">
        <v>19</v>
      </c>
      <c r="L487" t="s">
        <v>62</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x14ac:dyDescent="0.3">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x14ac:dyDescent="0.3">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x14ac:dyDescent="0.3">
      <c r="A490" t="s">
        <v>577</v>
      </c>
      <c r="B490" t="s">
        <v>146</v>
      </c>
      <c r="C490">
        <v>1</v>
      </c>
      <c r="D490">
        <v>28.5</v>
      </c>
      <c r="E490">
        <v>28.5</v>
      </c>
      <c r="F490" s="1">
        <v>45679</v>
      </c>
      <c r="G490" s="1">
        <v>45681</v>
      </c>
      <c r="H490" t="s">
        <v>17</v>
      </c>
      <c r="I490" t="s">
        <v>35</v>
      </c>
      <c r="J490">
        <v>4</v>
      </c>
      <c r="K490" t="s">
        <v>19</v>
      </c>
      <c r="L490" t="s">
        <v>72</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x14ac:dyDescent="0.3">
      <c r="A491" t="s">
        <v>578</v>
      </c>
      <c r="B491" t="s">
        <v>146</v>
      </c>
      <c r="C491">
        <v>2</v>
      </c>
      <c r="D491">
        <v>103.5</v>
      </c>
      <c r="E491">
        <v>207</v>
      </c>
      <c r="F491" s="1">
        <v>45679</v>
      </c>
      <c r="G491" s="1">
        <v>45681</v>
      </c>
      <c r="H491" t="s">
        <v>27</v>
      </c>
      <c r="I491" t="s">
        <v>35</v>
      </c>
      <c r="J491">
        <v>4</v>
      </c>
      <c r="K491" t="s">
        <v>19</v>
      </c>
      <c r="L491" t="s">
        <v>74</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x14ac:dyDescent="0.3">
      <c r="A492" t="s">
        <v>579</v>
      </c>
      <c r="B492" t="s">
        <v>32</v>
      </c>
      <c r="C492">
        <v>2</v>
      </c>
      <c r="D492">
        <v>41.2</v>
      </c>
      <c r="E492">
        <v>82.4</v>
      </c>
      <c r="F492" s="1">
        <v>45679</v>
      </c>
      <c r="G492" s="1">
        <v>45680</v>
      </c>
      <c r="H492" t="s">
        <v>27</v>
      </c>
      <c r="I492" t="s">
        <v>35</v>
      </c>
      <c r="J492">
        <v>4</v>
      </c>
      <c r="K492" t="s">
        <v>19</v>
      </c>
      <c r="L492" t="s">
        <v>74</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x14ac:dyDescent="0.3">
      <c r="A493" t="s">
        <v>580</v>
      </c>
      <c r="B493" t="s">
        <v>46</v>
      </c>
      <c r="C493">
        <v>1</v>
      </c>
      <c r="D493">
        <v>37.799999999999997</v>
      </c>
      <c r="E493">
        <v>37.799999999999997</v>
      </c>
      <c r="F493" s="1">
        <v>45679</v>
      </c>
      <c r="G493" s="1">
        <v>45681</v>
      </c>
      <c r="H493" t="s">
        <v>27</v>
      </c>
      <c r="I493" t="s">
        <v>51</v>
      </c>
      <c r="J493">
        <v>1</v>
      </c>
      <c r="K493" t="s">
        <v>19</v>
      </c>
      <c r="L493" t="s">
        <v>77</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x14ac:dyDescent="0.3">
      <c r="A494" t="s">
        <v>581</v>
      </c>
      <c r="B494" t="s">
        <v>44</v>
      </c>
      <c r="C494">
        <v>2</v>
      </c>
      <c r="D494">
        <v>42.6</v>
      </c>
      <c r="E494">
        <v>85.2</v>
      </c>
      <c r="F494" s="1">
        <v>45679</v>
      </c>
      <c r="G494" s="1">
        <v>45681</v>
      </c>
      <c r="H494" t="s">
        <v>27</v>
      </c>
      <c r="I494" t="s">
        <v>70</v>
      </c>
      <c r="J494">
        <v>4</v>
      </c>
      <c r="K494" t="s">
        <v>19</v>
      </c>
      <c r="L494" t="s">
        <v>77</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x14ac:dyDescent="0.3">
      <c r="A495" t="s">
        <v>582</v>
      </c>
      <c r="B495" t="s">
        <v>44</v>
      </c>
      <c r="C495">
        <v>10</v>
      </c>
      <c r="D495">
        <v>15.2</v>
      </c>
      <c r="E495">
        <v>152</v>
      </c>
      <c r="F495" s="1">
        <v>45679</v>
      </c>
      <c r="G495" s="1">
        <v>45681</v>
      </c>
      <c r="H495" t="s">
        <v>27</v>
      </c>
      <c r="I495" t="s">
        <v>40</v>
      </c>
      <c r="J495">
        <v>4</v>
      </c>
      <c r="K495" t="s">
        <v>19</v>
      </c>
      <c r="L495" t="s">
        <v>77</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x14ac:dyDescent="0.3">
      <c r="A496" t="s">
        <v>583</v>
      </c>
      <c r="B496" t="s">
        <v>42</v>
      </c>
      <c r="C496">
        <v>4</v>
      </c>
      <c r="D496">
        <v>83.4</v>
      </c>
      <c r="E496">
        <v>333.6</v>
      </c>
      <c r="F496" s="1">
        <v>45679</v>
      </c>
      <c r="G496" s="1">
        <v>45680</v>
      </c>
      <c r="H496" t="s">
        <v>27</v>
      </c>
      <c r="I496" t="s">
        <v>40</v>
      </c>
      <c r="J496">
        <v>3</v>
      </c>
      <c r="K496" t="s">
        <v>19</v>
      </c>
      <c r="L496" t="s">
        <v>108</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x14ac:dyDescent="0.3">
      <c r="A497" t="s">
        <v>584</v>
      </c>
      <c r="B497" t="s">
        <v>171</v>
      </c>
      <c r="C497">
        <v>2</v>
      </c>
      <c r="D497">
        <v>27.7</v>
      </c>
      <c r="E497">
        <v>55.4</v>
      </c>
      <c r="F497" s="1">
        <v>45679</v>
      </c>
      <c r="G497" s="1">
        <v>45680</v>
      </c>
      <c r="H497" t="s">
        <v>27</v>
      </c>
      <c r="I497" t="s">
        <v>18</v>
      </c>
      <c r="J497">
        <v>3</v>
      </c>
      <c r="K497" t="s">
        <v>19</v>
      </c>
      <c r="L497" t="s">
        <v>82</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x14ac:dyDescent="0.3">
      <c r="A498" t="s">
        <v>585</v>
      </c>
      <c r="B498" t="s">
        <v>54</v>
      </c>
      <c r="C498">
        <v>12</v>
      </c>
      <c r="D498">
        <v>20.8</v>
      </c>
      <c r="E498">
        <v>249.60000000000002</v>
      </c>
      <c r="F498" s="1">
        <v>45679</v>
      </c>
      <c r="G498" s="1">
        <v>45680</v>
      </c>
      <c r="H498" t="s">
        <v>23</v>
      </c>
      <c r="I498" t="s">
        <v>51</v>
      </c>
      <c r="J498">
        <v>4</v>
      </c>
      <c r="K498" t="s">
        <v>19</v>
      </c>
      <c r="L498" t="s">
        <v>82</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x14ac:dyDescent="0.3">
      <c r="A499" t="s">
        <v>586</v>
      </c>
      <c r="B499" t="s">
        <v>67</v>
      </c>
      <c r="C499">
        <v>2</v>
      </c>
      <c r="D499">
        <v>72.7</v>
      </c>
      <c r="E499">
        <v>145.4</v>
      </c>
      <c r="F499" s="1">
        <v>45679</v>
      </c>
      <c r="G499" s="1">
        <v>45683</v>
      </c>
      <c r="H499" t="s">
        <v>27</v>
      </c>
      <c r="I499" t="s">
        <v>70</v>
      </c>
      <c r="J499">
        <v>5</v>
      </c>
      <c r="K499" t="s">
        <v>19</v>
      </c>
      <c r="L499" t="s">
        <v>587</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x14ac:dyDescent="0.3">
      <c r="A500" t="s">
        <v>588</v>
      </c>
      <c r="B500" t="s">
        <v>54</v>
      </c>
      <c r="C500">
        <v>4</v>
      </c>
      <c r="D500">
        <v>38.6</v>
      </c>
      <c r="E500">
        <v>154.4</v>
      </c>
      <c r="F500" s="1">
        <v>45679</v>
      </c>
      <c r="G500" s="1">
        <v>45680</v>
      </c>
      <c r="H500" t="s">
        <v>23</v>
      </c>
      <c r="I500" t="s">
        <v>18</v>
      </c>
      <c r="J500">
        <v>5</v>
      </c>
      <c r="K500" t="s">
        <v>19</v>
      </c>
      <c r="L500" t="s">
        <v>147</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x14ac:dyDescent="0.3">
      <c r="A501" t="s">
        <v>589</v>
      </c>
      <c r="B501" t="s">
        <v>44</v>
      </c>
      <c r="C501">
        <v>7</v>
      </c>
      <c r="D501">
        <v>33.1</v>
      </c>
      <c r="E501">
        <v>231.70000000000002</v>
      </c>
      <c r="F501" s="1">
        <v>45679</v>
      </c>
      <c r="G501" s="1">
        <v>45680</v>
      </c>
      <c r="H501" t="s">
        <v>89</v>
      </c>
      <c r="I501" t="s">
        <v>70</v>
      </c>
      <c r="J501">
        <v>1</v>
      </c>
      <c r="K501" t="s">
        <v>19</v>
      </c>
      <c r="L501" t="s">
        <v>33</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x14ac:dyDescent="0.3">
      <c r="A502" t="s">
        <v>590</v>
      </c>
      <c r="B502" t="s">
        <v>54</v>
      </c>
      <c r="C502">
        <v>2</v>
      </c>
      <c r="D502">
        <v>30.5</v>
      </c>
      <c r="E502">
        <v>61</v>
      </c>
      <c r="F502" s="1">
        <v>45679</v>
      </c>
      <c r="G502" s="1">
        <v>45679</v>
      </c>
      <c r="H502" t="s">
        <v>17</v>
      </c>
      <c r="I502" t="s">
        <v>35</v>
      </c>
      <c r="J502">
        <v>3</v>
      </c>
      <c r="K502" t="s">
        <v>19</v>
      </c>
      <c r="L502" t="s">
        <v>33</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x14ac:dyDescent="0.3">
      <c r="A503" t="s">
        <v>591</v>
      </c>
      <c r="B503" t="s">
        <v>46</v>
      </c>
      <c r="C503">
        <v>2</v>
      </c>
      <c r="D503">
        <v>69.599999999999994</v>
      </c>
      <c r="E503">
        <v>139.19999999999999</v>
      </c>
      <c r="F503" s="1">
        <v>45679</v>
      </c>
      <c r="G503" s="1">
        <v>45680</v>
      </c>
      <c r="H503" t="s">
        <v>23</v>
      </c>
      <c r="I503" t="s">
        <v>18</v>
      </c>
      <c r="J503">
        <v>3</v>
      </c>
      <c r="K503" t="s">
        <v>19</v>
      </c>
      <c r="L503" t="s">
        <v>33</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x14ac:dyDescent="0.3">
      <c r="A504" t="s">
        <v>592</v>
      </c>
      <c r="B504" t="s">
        <v>67</v>
      </c>
      <c r="C504">
        <v>1</v>
      </c>
      <c r="D504">
        <v>42.4</v>
      </c>
      <c r="E504">
        <v>42.4</v>
      </c>
      <c r="F504" s="1">
        <v>45679</v>
      </c>
      <c r="G504" s="1">
        <v>45683</v>
      </c>
      <c r="H504" t="s">
        <v>27</v>
      </c>
      <c r="I504" t="s">
        <v>35</v>
      </c>
      <c r="J504">
        <v>4</v>
      </c>
      <c r="K504" t="s">
        <v>19</v>
      </c>
      <c r="L504" t="s">
        <v>33</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x14ac:dyDescent="0.3">
      <c r="A505" t="s">
        <v>593</v>
      </c>
      <c r="B505" t="s">
        <v>135</v>
      </c>
      <c r="C505">
        <v>1</v>
      </c>
      <c r="D505">
        <v>32.200000000000003</v>
      </c>
      <c r="E505">
        <v>32.200000000000003</v>
      </c>
      <c r="F505" s="1">
        <v>45679</v>
      </c>
      <c r="G505" s="1">
        <v>45682</v>
      </c>
      <c r="H505" t="s">
        <v>27</v>
      </c>
      <c r="I505" t="s">
        <v>40</v>
      </c>
      <c r="J505">
        <v>3</v>
      </c>
      <c r="K505" t="s">
        <v>19</v>
      </c>
      <c r="L505" t="s">
        <v>33</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x14ac:dyDescent="0.3">
      <c r="A506" t="s">
        <v>594</v>
      </c>
      <c r="B506" t="s">
        <v>39</v>
      </c>
      <c r="C506">
        <v>2</v>
      </c>
      <c r="D506">
        <v>41.5</v>
      </c>
      <c r="E506">
        <v>83</v>
      </c>
      <c r="F506" s="1">
        <v>45679</v>
      </c>
      <c r="G506" s="1">
        <v>45682</v>
      </c>
      <c r="H506" t="s">
        <v>27</v>
      </c>
      <c r="I506" t="s">
        <v>18</v>
      </c>
      <c r="J506">
        <v>5</v>
      </c>
      <c r="K506" t="s">
        <v>19</v>
      </c>
      <c r="L506" t="s">
        <v>33</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x14ac:dyDescent="0.3">
      <c r="A507" t="s">
        <v>595</v>
      </c>
      <c r="B507" t="s">
        <v>128</v>
      </c>
      <c r="C507">
        <v>9</v>
      </c>
      <c r="D507">
        <v>58.9</v>
      </c>
      <c r="E507">
        <v>530.1</v>
      </c>
      <c r="F507" s="1">
        <v>45679</v>
      </c>
      <c r="G507" s="1">
        <v>45683</v>
      </c>
      <c r="H507" t="s">
        <v>27</v>
      </c>
      <c r="I507" t="s">
        <v>51</v>
      </c>
      <c r="J507">
        <v>4</v>
      </c>
      <c r="K507" t="s">
        <v>19</v>
      </c>
      <c r="L507" t="s">
        <v>33</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x14ac:dyDescent="0.3">
      <c r="A508" t="s">
        <v>596</v>
      </c>
      <c r="B508" t="s">
        <v>26</v>
      </c>
      <c r="C508">
        <v>1</v>
      </c>
      <c r="D508">
        <v>57.1</v>
      </c>
      <c r="E508">
        <v>57.1</v>
      </c>
      <c r="F508" s="1">
        <v>45679</v>
      </c>
      <c r="G508" s="1">
        <v>45682</v>
      </c>
      <c r="H508" t="s">
        <v>27</v>
      </c>
      <c r="I508" t="s">
        <v>35</v>
      </c>
      <c r="J508">
        <v>4</v>
      </c>
      <c r="K508" t="s">
        <v>19</v>
      </c>
      <c r="L508" t="s">
        <v>33</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x14ac:dyDescent="0.3">
      <c r="A509" t="s">
        <v>597</v>
      </c>
      <c r="B509" t="s">
        <v>39</v>
      </c>
      <c r="C509">
        <v>1</v>
      </c>
      <c r="D509">
        <v>57.2</v>
      </c>
      <c r="E509">
        <v>57.2</v>
      </c>
      <c r="F509" s="1">
        <v>45679</v>
      </c>
      <c r="G509" s="1">
        <v>45681</v>
      </c>
      <c r="H509" t="s">
        <v>23</v>
      </c>
      <c r="I509" t="s">
        <v>35</v>
      </c>
      <c r="J509">
        <v>4</v>
      </c>
      <c r="K509" t="s">
        <v>19</v>
      </c>
      <c r="L509" t="s">
        <v>33</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x14ac:dyDescent="0.3">
      <c r="A510" t="s">
        <v>598</v>
      </c>
      <c r="B510" t="s">
        <v>44</v>
      </c>
      <c r="C510">
        <v>2</v>
      </c>
      <c r="D510">
        <v>35.1</v>
      </c>
      <c r="E510">
        <v>70.2</v>
      </c>
      <c r="F510" s="1">
        <v>45679</v>
      </c>
      <c r="G510" s="1">
        <v>45680</v>
      </c>
      <c r="H510" t="s">
        <v>23</v>
      </c>
      <c r="I510" t="s">
        <v>35</v>
      </c>
      <c r="J510">
        <v>4</v>
      </c>
      <c r="K510" t="s">
        <v>19</v>
      </c>
      <c r="L510" t="s">
        <v>55</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x14ac:dyDescent="0.3">
      <c r="A511" t="s">
        <v>599</v>
      </c>
      <c r="B511" t="s">
        <v>22</v>
      </c>
      <c r="C511">
        <v>1</v>
      </c>
      <c r="D511">
        <v>52.1</v>
      </c>
      <c r="E511">
        <v>52.1</v>
      </c>
      <c r="F511" s="1">
        <v>45679</v>
      </c>
      <c r="G511" s="1">
        <v>45681</v>
      </c>
      <c r="H511" t="s">
        <v>27</v>
      </c>
      <c r="I511" t="s">
        <v>70</v>
      </c>
      <c r="J511">
        <v>3</v>
      </c>
      <c r="K511" t="s">
        <v>19</v>
      </c>
      <c r="L511" t="s">
        <v>62</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x14ac:dyDescent="0.3">
      <c r="A512" t="s">
        <v>600</v>
      </c>
      <c r="B512" t="s">
        <v>76</v>
      </c>
      <c r="C512">
        <v>3</v>
      </c>
      <c r="D512">
        <v>59.8</v>
      </c>
      <c r="E512">
        <v>179.39999999999998</v>
      </c>
      <c r="F512" s="1">
        <v>45679</v>
      </c>
      <c r="G512" s="1">
        <v>45681</v>
      </c>
      <c r="H512" t="s">
        <v>27</v>
      </c>
      <c r="I512" t="s">
        <v>70</v>
      </c>
      <c r="J512">
        <v>3</v>
      </c>
      <c r="K512" t="s">
        <v>19</v>
      </c>
      <c r="L512" t="s">
        <v>62</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x14ac:dyDescent="0.3">
      <c r="A513" t="s">
        <v>601</v>
      </c>
      <c r="B513" t="s">
        <v>30</v>
      </c>
      <c r="C513">
        <v>4</v>
      </c>
      <c r="D513">
        <v>83.3</v>
      </c>
      <c r="E513">
        <v>333.2</v>
      </c>
      <c r="F513" s="1">
        <v>45679</v>
      </c>
      <c r="G513" s="1">
        <v>45679</v>
      </c>
      <c r="H513" t="s">
        <v>17</v>
      </c>
      <c r="I513" t="s">
        <v>40</v>
      </c>
      <c r="J513">
        <v>4</v>
      </c>
      <c r="K513" t="s">
        <v>19</v>
      </c>
      <c r="L513" t="s">
        <v>62</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x14ac:dyDescent="0.3">
      <c r="A514" t="s">
        <v>602</v>
      </c>
      <c r="B514" t="s">
        <v>123</v>
      </c>
      <c r="C514">
        <v>12</v>
      </c>
      <c r="D514">
        <v>41.3</v>
      </c>
      <c r="E514">
        <v>495.59999999999997</v>
      </c>
      <c r="F514" s="1">
        <v>45679</v>
      </c>
      <c r="G514" s="1">
        <v>45680</v>
      </c>
      <c r="H514" t="s">
        <v>27</v>
      </c>
      <c r="I514" t="s">
        <v>35</v>
      </c>
      <c r="J514">
        <v>4</v>
      </c>
      <c r="K514" t="s">
        <v>19</v>
      </c>
      <c r="L514" t="s">
        <v>62</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x14ac:dyDescent="0.3">
      <c r="A515" t="s">
        <v>603</v>
      </c>
      <c r="B515" t="s">
        <v>44</v>
      </c>
      <c r="C515">
        <v>5</v>
      </c>
      <c r="D515">
        <v>16</v>
      </c>
      <c r="E515">
        <v>80</v>
      </c>
      <c r="F515" s="1">
        <v>45679</v>
      </c>
      <c r="G515" s="1">
        <v>45681</v>
      </c>
      <c r="H515" t="s">
        <v>23</v>
      </c>
      <c r="I515" t="s">
        <v>70</v>
      </c>
      <c r="J515">
        <v>3</v>
      </c>
      <c r="K515" t="s">
        <v>19</v>
      </c>
      <c r="L515" t="s">
        <v>72</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x14ac:dyDescent="0.3">
      <c r="A516" t="s">
        <v>604</v>
      </c>
      <c r="B516" t="s">
        <v>54</v>
      </c>
      <c r="C516">
        <v>2</v>
      </c>
      <c r="D516">
        <v>20.8</v>
      </c>
      <c r="E516">
        <v>41.6</v>
      </c>
      <c r="F516" s="1">
        <v>45680</v>
      </c>
      <c r="G516" s="1">
        <v>45682</v>
      </c>
      <c r="H516" t="s">
        <v>23</v>
      </c>
      <c r="I516" t="s">
        <v>18</v>
      </c>
      <c r="J516">
        <v>5</v>
      </c>
      <c r="K516" t="s">
        <v>19</v>
      </c>
      <c r="L516" t="s">
        <v>77</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x14ac:dyDescent="0.3">
      <c r="A517" t="s">
        <v>605</v>
      </c>
      <c r="B517" t="s">
        <v>44</v>
      </c>
      <c r="C517">
        <v>28</v>
      </c>
      <c r="D517">
        <v>27.1</v>
      </c>
      <c r="E517">
        <v>758.80000000000007</v>
      </c>
      <c r="F517" s="1">
        <v>45680</v>
      </c>
      <c r="G517" s="1">
        <v>45681</v>
      </c>
      <c r="H517" t="s">
        <v>17</v>
      </c>
      <c r="I517" t="s">
        <v>51</v>
      </c>
      <c r="J517">
        <v>5</v>
      </c>
      <c r="K517" t="s">
        <v>19</v>
      </c>
      <c r="L517" t="s">
        <v>77</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x14ac:dyDescent="0.3">
      <c r="A518" t="s">
        <v>606</v>
      </c>
      <c r="B518" t="s">
        <v>54</v>
      </c>
      <c r="C518">
        <v>2</v>
      </c>
      <c r="D518">
        <v>38.9</v>
      </c>
      <c r="E518">
        <v>77.8</v>
      </c>
      <c r="F518" s="1">
        <v>45680</v>
      </c>
      <c r="G518" s="1">
        <v>45682</v>
      </c>
      <c r="H518" t="s">
        <v>27</v>
      </c>
      <c r="I518" t="s">
        <v>18</v>
      </c>
      <c r="J518">
        <v>4</v>
      </c>
      <c r="K518" t="s">
        <v>19</v>
      </c>
      <c r="L518" t="s">
        <v>108</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x14ac:dyDescent="0.3">
      <c r="A519" t="s">
        <v>607</v>
      </c>
      <c r="B519" t="s">
        <v>16</v>
      </c>
      <c r="C519">
        <v>2</v>
      </c>
      <c r="D519">
        <v>10.8</v>
      </c>
      <c r="E519">
        <v>21.6</v>
      </c>
      <c r="F519" s="1">
        <v>45680</v>
      </c>
      <c r="G519" s="1">
        <v>45683</v>
      </c>
      <c r="H519" t="s">
        <v>27</v>
      </c>
      <c r="I519" t="s">
        <v>35</v>
      </c>
      <c r="J519">
        <v>5</v>
      </c>
      <c r="K519" t="s">
        <v>19</v>
      </c>
      <c r="L519" t="s">
        <v>608</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x14ac:dyDescent="0.3">
      <c r="A520" t="s">
        <v>609</v>
      </c>
      <c r="B520" t="s">
        <v>32</v>
      </c>
      <c r="C520">
        <v>13</v>
      </c>
      <c r="D520">
        <v>48.4</v>
      </c>
      <c r="E520">
        <v>629.19999999999993</v>
      </c>
      <c r="F520" s="1">
        <v>45680</v>
      </c>
      <c r="G520" s="1">
        <v>45684</v>
      </c>
      <c r="H520" t="s">
        <v>27</v>
      </c>
      <c r="I520" t="s">
        <v>18</v>
      </c>
      <c r="J520">
        <v>4</v>
      </c>
      <c r="K520" t="s">
        <v>19</v>
      </c>
      <c r="L520" t="s">
        <v>115</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x14ac:dyDescent="0.3">
      <c r="A521" t="s">
        <v>610</v>
      </c>
      <c r="B521" t="s">
        <v>32</v>
      </c>
      <c r="C521">
        <v>3</v>
      </c>
      <c r="D521">
        <v>29.2</v>
      </c>
      <c r="E521">
        <v>87.6</v>
      </c>
      <c r="F521" s="1">
        <v>45680</v>
      </c>
      <c r="G521" s="1">
        <v>45683</v>
      </c>
      <c r="H521" t="s">
        <v>27</v>
      </c>
      <c r="I521" t="s">
        <v>35</v>
      </c>
      <c r="J521">
        <v>3</v>
      </c>
      <c r="K521" t="s">
        <v>19</v>
      </c>
      <c r="L521" t="s">
        <v>28</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x14ac:dyDescent="0.3">
      <c r="A522" t="s">
        <v>611</v>
      </c>
      <c r="B522" t="s">
        <v>32</v>
      </c>
      <c r="C522">
        <v>2</v>
      </c>
      <c r="D522">
        <v>25.1</v>
      </c>
      <c r="E522">
        <v>50.2</v>
      </c>
      <c r="F522" s="1">
        <v>45680</v>
      </c>
      <c r="G522" s="1">
        <v>45681</v>
      </c>
      <c r="H522" t="s">
        <v>23</v>
      </c>
      <c r="I522" t="s">
        <v>18</v>
      </c>
      <c r="J522">
        <v>3</v>
      </c>
      <c r="K522" t="s">
        <v>19</v>
      </c>
      <c r="L522" t="s">
        <v>28</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x14ac:dyDescent="0.3">
      <c r="A523" t="s">
        <v>612</v>
      </c>
      <c r="B523" t="s">
        <v>42</v>
      </c>
      <c r="C523">
        <v>3</v>
      </c>
      <c r="D523">
        <v>65.599999999999994</v>
      </c>
      <c r="E523">
        <v>196.79999999999998</v>
      </c>
      <c r="F523" s="1">
        <v>45680</v>
      </c>
      <c r="G523" s="1">
        <v>45680</v>
      </c>
      <c r="H523" t="s">
        <v>27</v>
      </c>
      <c r="I523" t="s">
        <v>40</v>
      </c>
      <c r="J523">
        <v>3</v>
      </c>
      <c r="K523" t="s">
        <v>19</v>
      </c>
      <c r="L523" t="s">
        <v>33</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x14ac:dyDescent="0.3">
      <c r="A524" t="s">
        <v>613</v>
      </c>
      <c r="B524" t="s">
        <v>26</v>
      </c>
      <c r="C524">
        <v>2</v>
      </c>
      <c r="D524">
        <v>57.3</v>
      </c>
      <c r="E524">
        <v>114.6</v>
      </c>
      <c r="F524" s="1">
        <v>45680</v>
      </c>
      <c r="G524" s="1">
        <v>45680</v>
      </c>
      <c r="H524" t="s">
        <v>17</v>
      </c>
      <c r="I524" t="s">
        <v>18</v>
      </c>
      <c r="J524">
        <v>4</v>
      </c>
      <c r="K524" t="s">
        <v>19</v>
      </c>
      <c r="L524" t="s">
        <v>33</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x14ac:dyDescent="0.3">
      <c r="A525" t="s">
        <v>614</v>
      </c>
      <c r="B525" t="s">
        <v>46</v>
      </c>
      <c r="C525">
        <v>4</v>
      </c>
      <c r="D525">
        <v>22.4</v>
      </c>
      <c r="E525">
        <v>89.6</v>
      </c>
      <c r="F525" s="1">
        <v>45680</v>
      </c>
      <c r="G525" s="1">
        <v>45681</v>
      </c>
      <c r="H525" t="s">
        <v>27</v>
      </c>
      <c r="I525" t="s">
        <v>40</v>
      </c>
      <c r="J525">
        <v>5</v>
      </c>
      <c r="K525" t="s">
        <v>19</v>
      </c>
      <c r="L525" t="s">
        <v>33</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x14ac:dyDescent="0.3">
      <c r="A526" t="s">
        <v>615</v>
      </c>
      <c r="B526" t="s">
        <v>69</v>
      </c>
      <c r="C526">
        <v>9</v>
      </c>
      <c r="D526">
        <v>45.7</v>
      </c>
      <c r="E526">
        <v>411.3</v>
      </c>
      <c r="F526" s="1">
        <v>45680</v>
      </c>
      <c r="G526" s="1">
        <v>45681</v>
      </c>
      <c r="H526" t="s">
        <v>27</v>
      </c>
      <c r="I526" t="s">
        <v>18</v>
      </c>
      <c r="J526">
        <v>4</v>
      </c>
      <c r="K526" t="s">
        <v>19</v>
      </c>
      <c r="L526" t="s">
        <v>33</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x14ac:dyDescent="0.3">
      <c r="A527" t="s">
        <v>616</v>
      </c>
      <c r="B527" t="s">
        <v>44</v>
      </c>
      <c r="C527">
        <v>2</v>
      </c>
      <c r="D527">
        <v>29.3</v>
      </c>
      <c r="E527">
        <v>58.6</v>
      </c>
      <c r="F527" s="1">
        <v>45680</v>
      </c>
      <c r="G527" s="1">
        <v>45681</v>
      </c>
      <c r="H527" t="s">
        <v>23</v>
      </c>
      <c r="I527" t="s">
        <v>35</v>
      </c>
      <c r="J527">
        <v>4</v>
      </c>
      <c r="K527" t="s">
        <v>19</v>
      </c>
      <c r="L527" t="s">
        <v>33</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x14ac:dyDescent="0.3">
      <c r="A528" t="s">
        <v>617</v>
      </c>
      <c r="B528" t="s">
        <v>146</v>
      </c>
      <c r="C528">
        <v>22</v>
      </c>
      <c r="D528">
        <v>74</v>
      </c>
      <c r="E528">
        <v>1628</v>
      </c>
      <c r="F528" s="1">
        <v>45680</v>
      </c>
      <c r="G528" s="1">
        <v>45681</v>
      </c>
      <c r="H528" t="s">
        <v>23</v>
      </c>
      <c r="I528" t="s">
        <v>18</v>
      </c>
      <c r="J528">
        <v>5</v>
      </c>
      <c r="K528" t="s">
        <v>19</v>
      </c>
      <c r="L528" t="s">
        <v>33</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x14ac:dyDescent="0.3">
      <c r="A529" t="s">
        <v>618</v>
      </c>
      <c r="B529" t="s">
        <v>81</v>
      </c>
      <c r="C529">
        <v>2</v>
      </c>
      <c r="D529">
        <v>39.200000000000003</v>
      </c>
      <c r="E529">
        <v>78.400000000000006</v>
      </c>
      <c r="F529" s="1">
        <v>45680</v>
      </c>
      <c r="G529" s="1">
        <v>45682</v>
      </c>
      <c r="H529" t="s">
        <v>27</v>
      </c>
      <c r="I529" t="s">
        <v>35</v>
      </c>
      <c r="J529">
        <v>4</v>
      </c>
      <c r="K529" t="s">
        <v>19</v>
      </c>
      <c r="L529" t="s">
        <v>33</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x14ac:dyDescent="0.3">
      <c r="A530" t="s">
        <v>619</v>
      </c>
      <c r="B530" t="s">
        <v>32</v>
      </c>
      <c r="C530">
        <v>17</v>
      </c>
      <c r="D530">
        <v>62.7</v>
      </c>
      <c r="E530">
        <v>1065.9000000000001</v>
      </c>
      <c r="F530" s="1">
        <v>45680</v>
      </c>
      <c r="G530" s="1">
        <v>45681</v>
      </c>
      <c r="H530" t="s">
        <v>27</v>
      </c>
      <c r="I530" t="s">
        <v>40</v>
      </c>
      <c r="J530">
        <v>3</v>
      </c>
      <c r="K530" t="s">
        <v>19</v>
      </c>
      <c r="L530" t="s">
        <v>33</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x14ac:dyDescent="0.3">
      <c r="A531" t="s">
        <v>620</v>
      </c>
      <c r="B531" t="s">
        <v>54</v>
      </c>
      <c r="C531">
        <v>2</v>
      </c>
      <c r="D531">
        <v>60.1</v>
      </c>
      <c r="E531">
        <v>120.2</v>
      </c>
      <c r="F531" s="1">
        <v>45680</v>
      </c>
      <c r="G531" s="1">
        <v>45681</v>
      </c>
      <c r="H531" t="s">
        <v>27</v>
      </c>
      <c r="I531" t="s">
        <v>51</v>
      </c>
      <c r="J531">
        <v>4</v>
      </c>
      <c r="K531" t="s">
        <v>19</v>
      </c>
      <c r="L531" t="s">
        <v>33</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x14ac:dyDescent="0.3">
      <c r="A532" t="s">
        <v>621</v>
      </c>
      <c r="B532" t="s">
        <v>16</v>
      </c>
      <c r="C532">
        <v>4</v>
      </c>
      <c r="D532">
        <v>11.2</v>
      </c>
      <c r="E532">
        <v>44.8</v>
      </c>
      <c r="F532" s="1">
        <v>45680</v>
      </c>
      <c r="G532" s="1">
        <v>45681</v>
      </c>
      <c r="H532" t="s">
        <v>27</v>
      </c>
      <c r="I532" t="s">
        <v>51</v>
      </c>
      <c r="J532">
        <v>3</v>
      </c>
      <c r="K532" t="s">
        <v>19</v>
      </c>
      <c r="L532" t="s">
        <v>33</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x14ac:dyDescent="0.3">
      <c r="A533" t="s">
        <v>622</v>
      </c>
      <c r="B533" t="s">
        <v>44</v>
      </c>
      <c r="C533">
        <v>2</v>
      </c>
      <c r="D533">
        <v>22.9</v>
      </c>
      <c r="E533">
        <v>45.8</v>
      </c>
      <c r="F533" s="1">
        <v>45680</v>
      </c>
      <c r="G533" s="1">
        <v>45681</v>
      </c>
      <c r="H533" t="s">
        <v>27</v>
      </c>
      <c r="I533" t="s">
        <v>18</v>
      </c>
      <c r="J533">
        <v>4</v>
      </c>
      <c r="K533" t="s">
        <v>19</v>
      </c>
      <c r="L533" t="s">
        <v>55</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x14ac:dyDescent="0.3">
      <c r="A534" t="s">
        <v>623</v>
      </c>
      <c r="B534" t="s">
        <v>22</v>
      </c>
      <c r="C534">
        <v>2</v>
      </c>
      <c r="D534">
        <v>37.6</v>
      </c>
      <c r="E534">
        <v>75.2</v>
      </c>
      <c r="F534" s="1">
        <v>45680</v>
      </c>
      <c r="G534" s="1">
        <v>45683</v>
      </c>
      <c r="H534" t="s">
        <v>27</v>
      </c>
      <c r="I534" t="s">
        <v>18</v>
      </c>
      <c r="J534">
        <v>4</v>
      </c>
      <c r="K534" t="s">
        <v>19</v>
      </c>
      <c r="L534" t="s">
        <v>55</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x14ac:dyDescent="0.3">
      <c r="A535" t="s">
        <v>624</v>
      </c>
      <c r="B535" t="s">
        <v>39</v>
      </c>
      <c r="C535">
        <v>1</v>
      </c>
      <c r="D535">
        <v>42.4</v>
      </c>
      <c r="E535">
        <v>42.4</v>
      </c>
      <c r="F535" s="1">
        <v>45680</v>
      </c>
      <c r="G535" s="1">
        <v>45681</v>
      </c>
      <c r="H535" t="s">
        <v>27</v>
      </c>
      <c r="I535" t="s">
        <v>51</v>
      </c>
      <c r="J535">
        <v>5</v>
      </c>
      <c r="K535" t="s">
        <v>19</v>
      </c>
      <c r="L535" t="s">
        <v>55</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x14ac:dyDescent="0.3">
      <c r="A536" t="s">
        <v>625</v>
      </c>
      <c r="B536" t="s">
        <v>44</v>
      </c>
      <c r="C536">
        <v>2</v>
      </c>
      <c r="D536">
        <v>19.600000000000001</v>
      </c>
      <c r="E536">
        <v>39.200000000000003</v>
      </c>
      <c r="F536" s="1">
        <v>45680</v>
      </c>
      <c r="G536" s="1">
        <v>45684</v>
      </c>
      <c r="H536" t="s">
        <v>27</v>
      </c>
      <c r="I536" t="s">
        <v>40</v>
      </c>
      <c r="J536">
        <v>4</v>
      </c>
      <c r="K536" t="s">
        <v>19</v>
      </c>
      <c r="L536" t="s">
        <v>59</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x14ac:dyDescent="0.3">
      <c r="A537" t="s">
        <v>626</v>
      </c>
      <c r="B537" t="s">
        <v>46</v>
      </c>
      <c r="C537">
        <v>1</v>
      </c>
      <c r="D537">
        <v>90.5</v>
      </c>
      <c r="E537">
        <v>90.5</v>
      </c>
      <c r="F537" s="1">
        <v>45680</v>
      </c>
      <c r="G537" s="1">
        <v>45683</v>
      </c>
      <c r="H537" t="s">
        <v>27</v>
      </c>
      <c r="I537" t="s">
        <v>40</v>
      </c>
      <c r="J537">
        <v>4</v>
      </c>
      <c r="K537" t="s">
        <v>19</v>
      </c>
      <c r="L537" t="s">
        <v>59</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x14ac:dyDescent="0.3">
      <c r="A538" t="s">
        <v>627</v>
      </c>
      <c r="B538" t="s">
        <v>128</v>
      </c>
      <c r="C538">
        <v>11</v>
      </c>
      <c r="D538">
        <v>33.9</v>
      </c>
      <c r="E538">
        <v>372.9</v>
      </c>
      <c r="F538" s="1">
        <v>45680</v>
      </c>
      <c r="G538" s="1">
        <v>45681</v>
      </c>
      <c r="H538" t="s">
        <v>23</v>
      </c>
      <c r="I538" t="s">
        <v>40</v>
      </c>
      <c r="J538">
        <v>3</v>
      </c>
      <c r="K538" t="s">
        <v>19</v>
      </c>
      <c r="L538" t="s">
        <v>59</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x14ac:dyDescent="0.3">
      <c r="A539" t="s">
        <v>628</v>
      </c>
      <c r="B539" t="s">
        <v>16</v>
      </c>
      <c r="C539">
        <v>2</v>
      </c>
      <c r="D539">
        <v>32.799999999999997</v>
      </c>
      <c r="E539">
        <v>65.599999999999994</v>
      </c>
      <c r="F539" s="1">
        <v>45680</v>
      </c>
      <c r="G539" s="1">
        <v>45682</v>
      </c>
      <c r="H539" t="s">
        <v>27</v>
      </c>
      <c r="I539" t="s">
        <v>70</v>
      </c>
      <c r="J539">
        <v>2</v>
      </c>
      <c r="K539" t="s">
        <v>19</v>
      </c>
      <c r="L539" t="s">
        <v>62</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x14ac:dyDescent="0.3">
      <c r="A540" t="s">
        <v>629</v>
      </c>
      <c r="B540" t="s">
        <v>123</v>
      </c>
      <c r="C540">
        <v>1</v>
      </c>
      <c r="D540">
        <v>49.9</v>
      </c>
      <c r="E540">
        <v>49.9</v>
      </c>
      <c r="F540" s="1">
        <v>45680</v>
      </c>
      <c r="G540" s="1">
        <v>45681</v>
      </c>
      <c r="H540" t="s">
        <v>23</v>
      </c>
      <c r="I540" t="s">
        <v>51</v>
      </c>
      <c r="J540">
        <v>3</v>
      </c>
      <c r="K540" t="s">
        <v>19</v>
      </c>
      <c r="L540" t="s">
        <v>62</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x14ac:dyDescent="0.3">
      <c r="A541" t="s">
        <v>630</v>
      </c>
      <c r="B541" t="s">
        <v>42</v>
      </c>
      <c r="C541">
        <v>5</v>
      </c>
      <c r="D541">
        <v>79.2</v>
      </c>
      <c r="E541">
        <v>396</v>
      </c>
      <c r="F541" s="1">
        <v>45680</v>
      </c>
      <c r="G541" s="1">
        <v>45681</v>
      </c>
      <c r="H541" t="s">
        <v>27</v>
      </c>
      <c r="I541" t="s">
        <v>70</v>
      </c>
      <c r="J541">
        <v>4</v>
      </c>
      <c r="K541" t="s">
        <v>19</v>
      </c>
      <c r="L541" t="s">
        <v>62</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x14ac:dyDescent="0.3">
      <c r="A542" t="s">
        <v>631</v>
      </c>
      <c r="B542" t="s">
        <v>44</v>
      </c>
      <c r="C542">
        <v>16</v>
      </c>
      <c r="D542">
        <v>19.5</v>
      </c>
      <c r="E542">
        <v>312</v>
      </c>
      <c r="F542" s="1">
        <v>45680</v>
      </c>
      <c r="G542" s="1">
        <v>45682</v>
      </c>
      <c r="H542" t="s">
        <v>23</v>
      </c>
      <c r="I542" t="s">
        <v>51</v>
      </c>
      <c r="J542">
        <v>5</v>
      </c>
      <c r="K542" t="s">
        <v>19</v>
      </c>
      <c r="L542" t="s">
        <v>62</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x14ac:dyDescent="0.3">
      <c r="A543" t="s">
        <v>632</v>
      </c>
      <c r="B543" t="s">
        <v>44</v>
      </c>
      <c r="C543">
        <v>4</v>
      </c>
      <c r="D543">
        <v>18</v>
      </c>
      <c r="E543">
        <v>72</v>
      </c>
      <c r="F543" s="1">
        <v>45680</v>
      </c>
      <c r="G543" s="1">
        <v>45681</v>
      </c>
      <c r="H543" t="s">
        <v>23</v>
      </c>
      <c r="I543" t="s">
        <v>35</v>
      </c>
      <c r="J543">
        <v>4</v>
      </c>
      <c r="K543" t="s">
        <v>19</v>
      </c>
      <c r="L543" t="s">
        <v>74</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x14ac:dyDescent="0.3">
      <c r="A544" t="s">
        <v>633</v>
      </c>
      <c r="B544" t="s">
        <v>46</v>
      </c>
      <c r="C544">
        <v>3</v>
      </c>
      <c r="D544">
        <v>45.9</v>
      </c>
      <c r="E544">
        <v>137.69999999999999</v>
      </c>
      <c r="F544" s="1">
        <v>45680</v>
      </c>
      <c r="G544" s="1">
        <v>45682</v>
      </c>
      <c r="H544" t="s">
        <v>27</v>
      </c>
      <c r="I544" t="s">
        <v>35</v>
      </c>
      <c r="J544">
        <v>3</v>
      </c>
      <c r="K544" t="s">
        <v>19</v>
      </c>
      <c r="L544" t="s">
        <v>74</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x14ac:dyDescent="0.3">
      <c r="A545" t="s">
        <v>634</v>
      </c>
      <c r="B545" t="s">
        <v>67</v>
      </c>
      <c r="C545">
        <v>1</v>
      </c>
      <c r="D545">
        <v>41.2</v>
      </c>
      <c r="E545">
        <v>41.2</v>
      </c>
      <c r="F545" s="1">
        <v>45680</v>
      </c>
      <c r="G545" s="1">
        <v>45682</v>
      </c>
      <c r="H545" t="s">
        <v>27</v>
      </c>
      <c r="I545" t="s">
        <v>35</v>
      </c>
      <c r="J545">
        <v>5</v>
      </c>
      <c r="K545" t="s">
        <v>19</v>
      </c>
      <c r="L545" t="s">
        <v>77</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x14ac:dyDescent="0.3">
      <c r="A546" t="s">
        <v>635</v>
      </c>
      <c r="B546" t="s">
        <v>26</v>
      </c>
      <c r="C546">
        <v>10</v>
      </c>
      <c r="D546">
        <v>167.2</v>
      </c>
      <c r="E546">
        <v>1672</v>
      </c>
      <c r="F546" s="1">
        <v>45680</v>
      </c>
      <c r="G546" s="1">
        <v>45682</v>
      </c>
      <c r="H546" t="s">
        <v>27</v>
      </c>
      <c r="I546" t="s">
        <v>40</v>
      </c>
      <c r="J546">
        <v>5</v>
      </c>
      <c r="K546" t="s">
        <v>19</v>
      </c>
      <c r="L546" t="s">
        <v>309</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x14ac:dyDescent="0.3">
      <c r="A547" t="s">
        <v>636</v>
      </c>
      <c r="B547" t="s">
        <v>39</v>
      </c>
      <c r="C547">
        <v>30</v>
      </c>
      <c r="D547">
        <v>74.5</v>
      </c>
      <c r="E547">
        <v>2235</v>
      </c>
      <c r="F547" s="1">
        <v>45681</v>
      </c>
      <c r="G547" s="1">
        <v>45684</v>
      </c>
      <c r="H547" t="s">
        <v>27</v>
      </c>
      <c r="I547" t="s">
        <v>35</v>
      </c>
      <c r="J547">
        <v>5</v>
      </c>
      <c r="K547" t="s">
        <v>19</v>
      </c>
      <c r="L547" t="s">
        <v>377</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x14ac:dyDescent="0.3">
      <c r="A548" t="s">
        <v>637</v>
      </c>
      <c r="B548" t="s">
        <v>42</v>
      </c>
      <c r="C548">
        <v>4</v>
      </c>
      <c r="D548">
        <v>39.299999999999997</v>
      </c>
      <c r="E548">
        <v>157.19999999999999</v>
      </c>
      <c r="F548" s="1">
        <v>45681</v>
      </c>
      <c r="G548" s="1">
        <v>45682</v>
      </c>
      <c r="H548" t="s">
        <v>17</v>
      </c>
      <c r="I548" t="s">
        <v>40</v>
      </c>
      <c r="J548">
        <v>4</v>
      </c>
      <c r="K548" t="s">
        <v>19</v>
      </c>
      <c r="L548" t="s">
        <v>110</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x14ac:dyDescent="0.3">
      <c r="A549" t="s">
        <v>638</v>
      </c>
      <c r="B549" t="s">
        <v>46</v>
      </c>
      <c r="C549">
        <v>1</v>
      </c>
      <c r="D549">
        <v>68.5</v>
      </c>
      <c r="E549">
        <v>68.5</v>
      </c>
      <c r="F549" s="1">
        <v>45681</v>
      </c>
      <c r="G549" s="1">
        <v>45684</v>
      </c>
      <c r="H549" t="s">
        <v>23</v>
      </c>
      <c r="I549" t="s">
        <v>35</v>
      </c>
      <c r="J549">
        <v>5</v>
      </c>
      <c r="K549" t="s">
        <v>19</v>
      </c>
      <c r="L549" t="s">
        <v>79</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x14ac:dyDescent="0.3">
      <c r="A550" t="s">
        <v>639</v>
      </c>
      <c r="B550" t="s">
        <v>16</v>
      </c>
      <c r="C550">
        <v>3</v>
      </c>
      <c r="D550">
        <v>22.5</v>
      </c>
      <c r="E550">
        <v>67.5</v>
      </c>
      <c r="F550" s="1">
        <v>45681</v>
      </c>
      <c r="G550" s="1">
        <v>45681</v>
      </c>
      <c r="H550" t="s">
        <v>27</v>
      </c>
      <c r="I550" t="s">
        <v>70</v>
      </c>
      <c r="J550">
        <v>4</v>
      </c>
      <c r="K550" t="s">
        <v>19</v>
      </c>
      <c r="L550" t="s">
        <v>82</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x14ac:dyDescent="0.3">
      <c r="A551" t="s">
        <v>640</v>
      </c>
      <c r="B551" t="s">
        <v>22</v>
      </c>
      <c r="C551">
        <v>1</v>
      </c>
      <c r="D551">
        <v>48</v>
      </c>
      <c r="E551">
        <v>48</v>
      </c>
      <c r="F551" s="1">
        <v>45681</v>
      </c>
      <c r="G551" s="1">
        <v>45682</v>
      </c>
      <c r="H551" t="s">
        <v>89</v>
      </c>
      <c r="I551" t="s">
        <v>70</v>
      </c>
      <c r="J551">
        <v>3</v>
      </c>
      <c r="K551" t="s">
        <v>19</v>
      </c>
      <c r="L551" t="s">
        <v>641</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x14ac:dyDescent="0.3">
      <c r="A552" t="s">
        <v>642</v>
      </c>
      <c r="B552" t="s">
        <v>39</v>
      </c>
      <c r="C552">
        <v>1</v>
      </c>
      <c r="D552">
        <v>94</v>
      </c>
      <c r="E552">
        <v>94</v>
      </c>
      <c r="F552" s="1">
        <v>45681</v>
      </c>
      <c r="G552" s="1">
        <v>45682</v>
      </c>
      <c r="H552" t="s">
        <v>23</v>
      </c>
      <c r="I552" t="s">
        <v>51</v>
      </c>
      <c r="J552">
        <v>3</v>
      </c>
      <c r="K552" t="s">
        <v>19</v>
      </c>
      <c r="L552" t="s">
        <v>24</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x14ac:dyDescent="0.3">
      <c r="A553" t="s">
        <v>643</v>
      </c>
      <c r="B553" t="s">
        <v>44</v>
      </c>
      <c r="C553">
        <v>3</v>
      </c>
      <c r="D553">
        <v>21.9</v>
      </c>
      <c r="E553">
        <v>65.699999999999989</v>
      </c>
      <c r="F553" s="1">
        <v>45681</v>
      </c>
      <c r="G553" s="1">
        <v>45682</v>
      </c>
      <c r="H553" t="s">
        <v>27</v>
      </c>
      <c r="I553" t="s">
        <v>18</v>
      </c>
      <c r="J553">
        <v>4</v>
      </c>
      <c r="K553" t="s">
        <v>19</v>
      </c>
      <c r="L553" t="s">
        <v>587</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x14ac:dyDescent="0.3">
      <c r="A554" t="s">
        <v>644</v>
      </c>
      <c r="B554" t="s">
        <v>39</v>
      </c>
      <c r="C554">
        <v>7</v>
      </c>
      <c r="D554">
        <v>64.900000000000006</v>
      </c>
      <c r="E554">
        <v>454.30000000000007</v>
      </c>
      <c r="F554" s="1">
        <v>45681</v>
      </c>
      <c r="G554" s="1">
        <v>45682</v>
      </c>
      <c r="H554" t="s">
        <v>27</v>
      </c>
      <c r="I554" t="s">
        <v>18</v>
      </c>
      <c r="J554">
        <v>4</v>
      </c>
      <c r="K554" t="s">
        <v>19</v>
      </c>
      <c r="L554" t="s">
        <v>33</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x14ac:dyDescent="0.3">
      <c r="A555" t="s">
        <v>645</v>
      </c>
      <c r="B555" t="s">
        <v>69</v>
      </c>
      <c r="C555">
        <v>1</v>
      </c>
      <c r="D555">
        <v>52.9</v>
      </c>
      <c r="E555">
        <v>52.9</v>
      </c>
      <c r="F555" s="1">
        <v>45681</v>
      </c>
      <c r="G555" s="1">
        <v>45681</v>
      </c>
      <c r="H555" t="s">
        <v>27</v>
      </c>
      <c r="I555" t="s">
        <v>35</v>
      </c>
      <c r="J555">
        <v>3</v>
      </c>
      <c r="K555" t="s">
        <v>19</v>
      </c>
      <c r="L555" t="s">
        <v>33</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x14ac:dyDescent="0.3">
      <c r="A556" t="s">
        <v>646</v>
      </c>
      <c r="B556" t="s">
        <v>44</v>
      </c>
      <c r="C556">
        <v>3</v>
      </c>
      <c r="D556">
        <v>25.5</v>
      </c>
      <c r="E556">
        <v>76.5</v>
      </c>
      <c r="F556" s="1">
        <v>45681</v>
      </c>
      <c r="G556" s="1">
        <v>45682</v>
      </c>
      <c r="H556" t="s">
        <v>27</v>
      </c>
      <c r="I556" t="s">
        <v>35</v>
      </c>
      <c r="J556">
        <v>5</v>
      </c>
      <c r="K556" t="s">
        <v>19</v>
      </c>
      <c r="L556" t="s">
        <v>33</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x14ac:dyDescent="0.3">
      <c r="A557" t="s">
        <v>647</v>
      </c>
      <c r="B557" t="s">
        <v>39</v>
      </c>
      <c r="C557">
        <v>3</v>
      </c>
      <c r="D557">
        <v>51.9</v>
      </c>
      <c r="E557">
        <v>155.69999999999999</v>
      </c>
      <c r="F557" s="1">
        <v>45681</v>
      </c>
      <c r="G557" s="1">
        <v>45682</v>
      </c>
      <c r="H557" t="s">
        <v>27</v>
      </c>
      <c r="I557" t="s">
        <v>51</v>
      </c>
      <c r="J557">
        <v>4</v>
      </c>
      <c r="K557" t="s">
        <v>19</v>
      </c>
      <c r="L557" t="s">
        <v>33</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x14ac:dyDescent="0.3">
      <c r="A558" t="s">
        <v>648</v>
      </c>
      <c r="B558" t="s">
        <v>37</v>
      </c>
      <c r="C558">
        <v>1</v>
      </c>
      <c r="D558">
        <v>46.3</v>
      </c>
      <c r="E558">
        <v>46.3</v>
      </c>
      <c r="F558" s="1">
        <v>45681</v>
      </c>
      <c r="G558" s="1">
        <v>45684</v>
      </c>
      <c r="H558" t="s">
        <v>27</v>
      </c>
      <c r="I558" t="s">
        <v>70</v>
      </c>
      <c r="J558">
        <v>4</v>
      </c>
      <c r="K558" t="s">
        <v>19</v>
      </c>
      <c r="L558" t="s">
        <v>33</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x14ac:dyDescent="0.3">
      <c r="A559" t="s">
        <v>649</v>
      </c>
      <c r="B559" t="s">
        <v>39</v>
      </c>
      <c r="C559">
        <v>2</v>
      </c>
      <c r="D559">
        <v>68.2</v>
      </c>
      <c r="E559">
        <v>136.4</v>
      </c>
      <c r="F559" s="1">
        <v>45681</v>
      </c>
      <c r="G559" s="1">
        <v>45683</v>
      </c>
      <c r="H559" t="s">
        <v>27</v>
      </c>
      <c r="I559" t="s">
        <v>51</v>
      </c>
      <c r="J559">
        <v>4</v>
      </c>
      <c r="K559" t="s">
        <v>19</v>
      </c>
      <c r="L559" t="s">
        <v>33</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x14ac:dyDescent="0.3">
      <c r="A560" t="s">
        <v>650</v>
      </c>
      <c r="B560" t="s">
        <v>22</v>
      </c>
      <c r="C560">
        <v>1</v>
      </c>
      <c r="D560">
        <v>40.299999999999997</v>
      </c>
      <c r="E560">
        <v>40.299999999999997</v>
      </c>
      <c r="F560" s="1">
        <v>45681</v>
      </c>
      <c r="G560" s="1">
        <v>45682</v>
      </c>
      <c r="H560" t="s">
        <v>23</v>
      </c>
      <c r="I560" t="s">
        <v>18</v>
      </c>
      <c r="J560">
        <v>3</v>
      </c>
      <c r="K560" t="s">
        <v>19</v>
      </c>
      <c r="L560" t="s">
        <v>33</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x14ac:dyDescent="0.3">
      <c r="A561" t="s">
        <v>651</v>
      </c>
      <c r="B561" t="s">
        <v>26</v>
      </c>
      <c r="C561">
        <v>3</v>
      </c>
      <c r="D561">
        <v>91.3</v>
      </c>
      <c r="E561">
        <v>273.89999999999998</v>
      </c>
      <c r="F561" s="1">
        <v>45681</v>
      </c>
      <c r="G561" s="1">
        <v>45686</v>
      </c>
      <c r="H561" t="s">
        <v>23</v>
      </c>
      <c r="I561" t="s">
        <v>18</v>
      </c>
      <c r="J561">
        <v>5</v>
      </c>
      <c r="K561" t="s">
        <v>19</v>
      </c>
      <c r="L561" t="s">
        <v>55</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x14ac:dyDescent="0.3">
      <c r="A562" t="s">
        <v>652</v>
      </c>
      <c r="B562" t="s">
        <v>16</v>
      </c>
      <c r="C562">
        <v>3</v>
      </c>
      <c r="D562">
        <v>11.9</v>
      </c>
      <c r="E562">
        <v>35.700000000000003</v>
      </c>
      <c r="F562" s="1">
        <v>45681</v>
      </c>
      <c r="G562" s="1">
        <v>45682</v>
      </c>
      <c r="H562" t="s">
        <v>27</v>
      </c>
      <c r="I562" t="s">
        <v>18</v>
      </c>
      <c r="J562">
        <v>3</v>
      </c>
      <c r="K562" t="s">
        <v>19</v>
      </c>
      <c r="L562" t="s">
        <v>55</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x14ac:dyDescent="0.3">
      <c r="A563" t="s">
        <v>653</v>
      </c>
      <c r="B563" t="s">
        <v>26</v>
      </c>
      <c r="C563">
        <v>2</v>
      </c>
      <c r="D563">
        <v>63.5</v>
      </c>
      <c r="E563">
        <v>127</v>
      </c>
      <c r="F563" s="1">
        <v>45681</v>
      </c>
      <c r="G563" s="1">
        <v>45683</v>
      </c>
      <c r="H563" t="s">
        <v>23</v>
      </c>
      <c r="I563" t="s">
        <v>35</v>
      </c>
      <c r="J563">
        <v>4</v>
      </c>
      <c r="K563" t="s">
        <v>19</v>
      </c>
      <c r="L563" t="s">
        <v>55</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x14ac:dyDescent="0.3">
      <c r="A564" t="s">
        <v>654</v>
      </c>
      <c r="B564" t="s">
        <v>32</v>
      </c>
      <c r="C564">
        <v>2</v>
      </c>
      <c r="D564">
        <v>27.1</v>
      </c>
      <c r="E564">
        <v>54.2</v>
      </c>
      <c r="F564" s="1">
        <v>45681</v>
      </c>
      <c r="G564" s="1">
        <v>45684</v>
      </c>
      <c r="H564" t="s">
        <v>23</v>
      </c>
      <c r="I564" t="s">
        <v>40</v>
      </c>
      <c r="J564">
        <v>5</v>
      </c>
      <c r="K564" t="s">
        <v>19</v>
      </c>
      <c r="L564" t="s">
        <v>55</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x14ac:dyDescent="0.3">
      <c r="A565" t="s">
        <v>655</v>
      </c>
      <c r="B565" t="s">
        <v>22</v>
      </c>
      <c r="C565">
        <v>2</v>
      </c>
      <c r="D565">
        <v>82.1</v>
      </c>
      <c r="E565">
        <v>164.2</v>
      </c>
      <c r="F565" s="1">
        <v>45682</v>
      </c>
      <c r="G565" s="1">
        <v>45685</v>
      </c>
      <c r="H565" t="s">
        <v>23</v>
      </c>
      <c r="I565" t="s">
        <v>35</v>
      </c>
      <c r="J565">
        <v>3</v>
      </c>
      <c r="K565" t="s">
        <v>19</v>
      </c>
      <c r="L565" t="s">
        <v>59</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x14ac:dyDescent="0.3">
      <c r="A566" t="s">
        <v>656</v>
      </c>
      <c r="B566" t="s">
        <v>30</v>
      </c>
      <c r="C566">
        <v>5</v>
      </c>
      <c r="D566">
        <v>42.9</v>
      </c>
      <c r="E566">
        <v>214.5</v>
      </c>
      <c r="F566" s="1">
        <v>45682</v>
      </c>
      <c r="G566" s="1">
        <v>45684</v>
      </c>
      <c r="H566" t="s">
        <v>27</v>
      </c>
      <c r="I566" t="s">
        <v>35</v>
      </c>
      <c r="J566">
        <v>4</v>
      </c>
      <c r="K566" t="s">
        <v>19</v>
      </c>
      <c r="L566" t="s">
        <v>62</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x14ac:dyDescent="0.3">
      <c r="A567" t="s">
        <v>657</v>
      </c>
      <c r="B567" t="s">
        <v>44</v>
      </c>
      <c r="C567">
        <v>11</v>
      </c>
      <c r="D567">
        <v>37.9</v>
      </c>
      <c r="E567">
        <v>416.9</v>
      </c>
      <c r="F567" s="1">
        <v>45682</v>
      </c>
      <c r="G567" s="1">
        <v>45689</v>
      </c>
      <c r="H567" t="s">
        <v>23</v>
      </c>
      <c r="I567" t="s">
        <v>18</v>
      </c>
      <c r="J567">
        <v>4</v>
      </c>
      <c r="K567" t="s">
        <v>19</v>
      </c>
      <c r="L567" t="s">
        <v>62</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x14ac:dyDescent="0.3">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x14ac:dyDescent="0.3">
      <c r="A569" t="s">
        <v>659</v>
      </c>
      <c r="B569" t="s">
        <v>26</v>
      </c>
      <c r="C569">
        <v>13</v>
      </c>
      <c r="D569">
        <v>79.900000000000006</v>
      </c>
      <c r="E569">
        <v>1038.7</v>
      </c>
      <c r="F569" s="1">
        <v>45682</v>
      </c>
      <c r="G569" s="1">
        <v>45695</v>
      </c>
      <c r="H569" t="s">
        <v>27</v>
      </c>
      <c r="I569" t="s">
        <v>51</v>
      </c>
      <c r="J569">
        <v>3</v>
      </c>
      <c r="K569" t="s">
        <v>19</v>
      </c>
      <c r="L569" t="s">
        <v>77</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x14ac:dyDescent="0.3">
      <c r="A570" t="s">
        <v>660</v>
      </c>
      <c r="B570" t="s">
        <v>22</v>
      </c>
      <c r="C570">
        <v>1</v>
      </c>
      <c r="D570">
        <v>70.599999999999994</v>
      </c>
      <c r="E570">
        <v>70.599999999999994</v>
      </c>
      <c r="F570" s="1">
        <v>45682</v>
      </c>
      <c r="G570" s="1">
        <v>45685</v>
      </c>
      <c r="H570" t="s">
        <v>27</v>
      </c>
      <c r="I570" t="s">
        <v>18</v>
      </c>
      <c r="J570">
        <v>3</v>
      </c>
      <c r="K570" t="s">
        <v>19</v>
      </c>
      <c r="L570" t="s">
        <v>77</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x14ac:dyDescent="0.3">
      <c r="A571" t="s">
        <v>661</v>
      </c>
      <c r="B571" t="s">
        <v>39</v>
      </c>
      <c r="C571">
        <v>1</v>
      </c>
      <c r="D571">
        <v>49.5</v>
      </c>
      <c r="E571">
        <v>49.5</v>
      </c>
      <c r="F571" s="1">
        <v>45682</v>
      </c>
      <c r="G571" s="1">
        <v>45684</v>
      </c>
      <c r="H571" t="s">
        <v>23</v>
      </c>
      <c r="I571" t="s">
        <v>18</v>
      </c>
      <c r="J571">
        <v>4</v>
      </c>
      <c r="K571" t="s">
        <v>19</v>
      </c>
      <c r="L571" t="s">
        <v>82</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x14ac:dyDescent="0.3">
      <c r="A572" t="s">
        <v>662</v>
      </c>
      <c r="B572" t="s">
        <v>26</v>
      </c>
      <c r="C572">
        <v>2</v>
      </c>
      <c r="D572">
        <v>96.6</v>
      </c>
      <c r="E572">
        <v>193.2</v>
      </c>
      <c r="F572" s="1">
        <v>45682</v>
      </c>
      <c r="G572" s="1">
        <v>45684</v>
      </c>
      <c r="H572" t="s">
        <v>23</v>
      </c>
      <c r="I572" t="s">
        <v>18</v>
      </c>
      <c r="J572">
        <v>4</v>
      </c>
      <c r="K572" t="s">
        <v>19</v>
      </c>
      <c r="L572" t="s">
        <v>115</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x14ac:dyDescent="0.3">
      <c r="A573" t="s">
        <v>663</v>
      </c>
      <c r="B573" t="s">
        <v>39</v>
      </c>
      <c r="C573">
        <v>2</v>
      </c>
      <c r="D573">
        <v>52.8</v>
      </c>
      <c r="E573">
        <v>105.6</v>
      </c>
      <c r="F573" s="1">
        <v>45682</v>
      </c>
      <c r="G573" s="1">
        <v>45683</v>
      </c>
      <c r="H573" t="s">
        <v>27</v>
      </c>
      <c r="I573" t="s">
        <v>35</v>
      </c>
      <c r="J573">
        <v>3</v>
      </c>
      <c r="K573" t="s">
        <v>19</v>
      </c>
      <c r="L573" t="s">
        <v>115</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x14ac:dyDescent="0.3">
      <c r="A574" t="s">
        <v>664</v>
      </c>
      <c r="B574" t="s">
        <v>26</v>
      </c>
      <c r="C574">
        <v>1</v>
      </c>
      <c r="D574">
        <v>101.7</v>
      </c>
      <c r="E574">
        <v>101.7</v>
      </c>
      <c r="F574" s="1">
        <v>45682</v>
      </c>
      <c r="G574" s="1">
        <v>45683</v>
      </c>
      <c r="H574" t="s">
        <v>23</v>
      </c>
      <c r="I574" t="s">
        <v>18</v>
      </c>
      <c r="J574">
        <v>4</v>
      </c>
      <c r="K574" t="s">
        <v>19</v>
      </c>
      <c r="L574" t="s">
        <v>24</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x14ac:dyDescent="0.3">
      <c r="A575" t="s">
        <v>665</v>
      </c>
      <c r="B575" t="s">
        <v>32</v>
      </c>
      <c r="C575">
        <v>5</v>
      </c>
      <c r="D575">
        <v>26.9</v>
      </c>
      <c r="E575">
        <v>134.5</v>
      </c>
      <c r="F575" s="1">
        <v>45682</v>
      </c>
      <c r="G575" s="1">
        <v>45687</v>
      </c>
      <c r="H575" t="s">
        <v>27</v>
      </c>
      <c r="I575" t="s">
        <v>35</v>
      </c>
      <c r="J575">
        <v>3</v>
      </c>
      <c r="K575" t="s">
        <v>19</v>
      </c>
      <c r="L575" t="s">
        <v>147</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x14ac:dyDescent="0.3">
      <c r="A576" t="s">
        <v>666</v>
      </c>
      <c r="B576" t="s">
        <v>26</v>
      </c>
      <c r="C576">
        <v>4</v>
      </c>
      <c r="D576">
        <v>211</v>
      </c>
      <c r="E576">
        <v>844</v>
      </c>
      <c r="F576" s="1">
        <v>45682</v>
      </c>
      <c r="G576" s="1">
        <v>45682</v>
      </c>
      <c r="H576" t="s">
        <v>27</v>
      </c>
      <c r="I576" t="s">
        <v>35</v>
      </c>
      <c r="J576">
        <v>3</v>
      </c>
      <c r="K576" t="s">
        <v>19</v>
      </c>
      <c r="L576" t="s">
        <v>33</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x14ac:dyDescent="0.3">
      <c r="A577" t="s">
        <v>667</v>
      </c>
      <c r="B577" t="s">
        <v>16</v>
      </c>
      <c r="C577">
        <v>4</v>
      </c>
      <c r="D577">
        <v>21.1</v>
      </c>
      <c r="E577">
        <v>84.4</v>
      </c>
      <c r="F577" s="1">
        <v>45682</v>
      </c>
      <c r="G577" s="1">
        <v>45685</v>
      </c>
      <c r="H577" t="s">
        <v>23</v>
      </c>
      <c r="I577" t="s">
        <v>70</v>
      </c>
      <c r="J577">
        <v>4</v>
      </c>
      <c r="K577" t="s">
        <v>19</v>
      </c>
      <c r="L577" t="s">
        <v>33</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x14ac:dyDescent="0.3">
      <c r="A578" t="s">
        <v>668</v>
      </c>
      <c r="B578" t="s">
        <v>54</v>
      </c>
      <c r="C578">
        <v>1</v>
      </c>
      <c r="D578">
        <v>26.6</v>
      </c>
      <c r="E578">
        <v>26.6</v>
      </c>
      <c r="F578" s="1">
        <v>45682</v>
      </c>
      <c r="G578" s="1">
        <v>45684</v>
      </c>
      <c r="H578" t="s">
        <v>23</v>
      </c>
      <c r="I578" t="s">
        <v>18</v>
      </c>
      <c r="J578">
        <v>2</v>
      </c>
      <c r="K578" t="s">
        <v>19</v>
      </c>
      <c r="L578" t="s">
        <v>33</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x14ac:dyDescent="0.3">
      <c r="A579" t="s">
        <v>669</v>
      </c>
      <c r="B579" t="s">
        <v>69</v>
      </c>
      <c r="C579">
        <v>4</v>
      </c>
      <c r="D579">
        <v>51.2</v>
      </c>
      <c r="E579">
        <v>204.8</v>
      </c>
      <c r="F579" s="1">
        <v>45682</v>
      </c>
      <c r="G579" s="1">
        <v>45683</v>
      </c>
      <c r="H579" t="s">
        <v>27</v>
      </c>
      <c r="I579" t="s">
        <v>51</v>
      </c>
      <c r="J579">
        <v>4</v>
      </c>
      <c r="K579" t="s">
        <v>19</v>
      </c>
      <c r="L579" t="s">
        <v>670</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x14ac:dyDescent="0.3">
      <c r="A580" t="s">
        <v>671</v>
      </c>
      <c r="B580" t="s">
        <v>16</v>
      </c>
      <c r="C580">
        <v>5</v>
      </c>
      <c r="D580">
        <v>10.6</v>
      </c>
      <c r="E580">
        <v>53</v>
      </c>
      <c r="F580" s="1">
        <v>45682</v>
      </c>
      <c r="G580" s="1">
        <v>45686</v>
      </c>
      <c r="H580" t="s">
        <v>27</v>
      </c>
      <c r="I580" t="s">
        <v>18</v>
      </c>
      <c r="J580">
        <v>4</v>
      </c>
      <c r="K580" t="s">
        <v>19</v>
      </c>
      <c r="L580" t="s">
        <v>62</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x14ac:dyDescent="0.3">
      <c r="A581" t="s">
        <v>672</v>
      </c>
      <c r="B581" t="s">
        <v>39</v>
      </c>
      <c r="C581">
        <v>3</v>
      </c>
      <c r="D581">
        <v>43.4</v>
      </c>
      <c r="E581">
        <v>130.19999999999999</v>
      </c>
      <c r="F581" s="1">
        <v>45682</v>
      </c>
      <c r="G581" s="1">
        <v>45685</v>
      </c>
      <c r="H581" t="s">
        <v>27</v>
      </c>
      <c r="I581" t="s">
        <v>70</v>
      </c>
      <c r="J581">
        <v>4</v>
      </c>
      <c r="K581" t="s">
        <v>19</v>
      </c>
      <c r="L581" t="s">
        <v>62</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x14ac:dyDescent="0.3">
      <c r="A582" t="s">
        <v>673</v>
      </c>
      <c r="B582" t="s">
        <v>69</v>
      </c>
      <c r="C582">
        <v>1</v>
      </c>
      <c r="D582">
        <v>80</v>
      </c>
      <c r="E582">
        <v>80</v>
      </c>
      <c r="F582" s="1">
        <v>45682</v>
      </c>
      <c r="G582" s="1">
        <v>45682</v>
      </c>
      <c r="H582" t="s">
        <v>27</v>
      </c>
      <c r="I582" t="s">
        <v>18</v>
      </c>
      <c r="J582">
        <v>5</v>
      </c>
      <c r="K582" t="s">
        <v>19</v>
      </c>
      <c r="L582" t="s">
        <v>62</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x14ac:dyDescent="0.3">
      <c r="A583" t="s">
        <v>674</v>
      </c>
      <c r="B583" t="s">
        <v>54</v>
      </c>
      <c r="C583">
        <v>4</v>
      </c>
      <c r="D583">
        <v>64.7</v>
      </c>
      <c r="E583">
        <v>258.8</v>
      </c>
      <c r="F583" s="1">
        <v>45682</v>
      </c>
      <c r="G583" s="1">
        <v>45684</v>
      </c>
      <c r="H583" t="s">
        <v>27</v>
      </c>
      <c r="I583" t="s">
        <v>35</v>
      </c>
      <c r="J583">
        <v>2</v>
      </c>
      <c r="K583" t="s">
        <v>19</v>
      </c>
      <c r="L583" t="s">
        <v>62</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x14ac:dyDescent="0.3">
      <c r="A584" t="s">
        <v>675</v>
      </c>
      <c r="B584" t="s">
        <v>44</v>
      </c>
      <c r="C584">
        <v>11</v>
      </c>
      <c r="D584">
        <v>26.3</v>
      </c>
      <c r="E584">
        <v>289.3</v>
      </c>
      <c r="F584" s="1">
        <v>45683</v>
      </c>
      <c r="G584" s="1">
        <v>45683</v>
      </c>
      <c r="H584" t="s">
        <v>27</v>
      </c>
      <c r="I584" t="s">
        <v>70</v>
      </c>
      <c r="J584">
        <v>3</v>
      </c>
      <c r="K584" t="s">
        <v>19</v>
      </c>
      <c r="L584" t="s">
        <v>201</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x14ac:dyDescent="0.3">
      <c r="A585" t="s">
        <v>676</v>
      </c>
      <c r="B585" t="s">
        <v>54</v>
      </c>
      <c r="C585">
        <v>1</v>
      </c>
      <c r="D585">
        <v>28.5</v>
      </c>
      <c r="E585">
        <v>28.5</v>
      </c>
      <c r="F585" s="1">
        <v>45683</v>
      </c>
      <c r="G585" s="1">
        <v>45683</v>
      </c>
      <c r="H585" t="s">
        <v>23</v>
      </c>
      <c r="I585" t="s">
        <v>18</v>
      </c>
      <c r="J585">
        <v>3</v>
      </c>
      <c r="K585" t="s">
        <v>19</v>
      </c>
      <c r="L585" t="s">
        <v>72</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x14ac:dyDescent="0.3">
      <c r="A586" t="s">
        <v>677</v>
      </c>
      <c r="B586" t="s">
        <v>135</v>
      </c>
      <c r="C586">
        <v>1</v>
      </c>
      <c r="D586">
        <v>47.8</v>
      </c>
      <c r="E586">
        <v>47.8</v>
      </c>
      <c r="F586" s="1">
        <v>45683</v>
      </c>
      <c r="G586" s="1">
        <v>45685</v>
      </c>
      <c r="H586" t="s">
        <v>27</v>
      </c>
      <c r="I586" t="s">
        <v>18</v>
      </c>
      <c r="J586">
        <v>3</v>
      </c>
      <c r="K586" t="s">
        <v>19</v>
      </c>
      <c r="L586" t="s">
        <v>72</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x14ac:dyDescent="0.3">
      <c r="A587" t="s">
        <v>678</v>
      </c>
      <c r="B587" t="s">
        <v>54</v>
      </c>
      <c r="C587">
        <v>3</v>
      </c>
      <c r="D587">
        <v>42.8</v>
      </c>
      <c r="E587">
        <v>128.39999999999998</v>
      </c>
      <c r="F587" s="1">
        <v>45683</v>
      </c>
      <c r="G587" s="1">
        <v>45686</v>
      </c>
      <c r="H587" t="s">
        <v>27</v>
      </c>
      <c r="I587" t="s">
        <v>70</v>
      </c>
      <c r="J587">
        <v>3</v>
      </c>
      <c r="K587" t="s">
        <v>19</v>
      </c>
      <c r="L587" t="s">
        <v>77</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x14ac:dyDescent="0.3">
      <c r="A588" t="s">
        <v>679</v>
      </c>
      <c r="B588" t="s">
        <v>39</v>
      </c>
      <c r="C588">
        <v>5</v>
      </c>
      <c r="D588">
        <v>46.8</v>
      </c>
      <c r="E588">
        <v>234</v>
      </c>
      <c r="F588" s="1">
        <v>45683</v>
      </c>
      <c r="G588" s="1">
        <v>45688</v>
      </c>
      <c r="H588" t="s">
        <v>27</v>
      </c>
      <c r="I588" t="s">
        <v>35</v>
      </c>
      <c r="J588">
        <v>5</v>
      </c>
      <c r="K588" t="s">
        <v>19</v>
      </c>
      <c r="L588" t="s">
        <v>77</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x14ac:dyDescent="0.3">
      <c r="A589" t="s">
        <v>680</v>
      </c>
      <c r="B589" t="s">
        <v>22</v>
      </c>
      <c r="C589">
        <v>10</v>
      </c>
      <c r="D589">
        <v>64.099999999999994</v>
      </c>
      <c r="E589">
        <v>641</v>
      </c>
      <c r="F589" s="1">
        <v>45683</v>
      </c>
      <c r="G589" s="1">
        <v>45684</v>
      </c>
      <c r="H589" t="s">
        <v>23</v>
      </c>
      <c r="I589" t="s">
        <v>35</v>
      </c>
      <c r="J589">
        <v>4</v>
      </c>
      <c r="K589" t="s">
        <v>19</v>
      </c>
      <c r="L589" t="s">
        <v>77</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x14ac:dyDescent="0.3">
      <c r="A590" t="s">
        <v>681</v>
      </c>
      <c r="B590" t="s">
        <v>26</v>
      </c>
      <c r="C590">
        <v>1</v>
      </c>
      <c r="D590">
        <v>89.1</v>
      </c>
      <c r="E590">
        <v>89.1</v>
      </c>
      <c r="F590" s="1">
        <v>45683</v>
      </c>
      <c r="G590" s="1">
        <v>45684</v>
      </c>
      <c r="H590" t="s">
        <v>27</v>
      </c>
      <c r="I590" t="s">
        <v>18</v>
      </c>
      <c r="J590">
        <v>3</v>
      </c>
      <c r="K590" t="s">
        <v>19</v>
      </c>
      <c r="L590" t="s">
        <v>113</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x14ac:dyDescent="0.3">
      <c r="A591" t="s">
        <v>682</v>
      </c>
      <c r="B591" t="s">
        <v>26</v>
      </c>
      <c r="C591">
        <v>3</v>
      </c>
      <c r="D591">
        <v>83.1</v>
      </c>
      <c r="E591">
        <v>249.29999999999998</v>
      </c>
      <c r="F591" s="1">
        <v>45683</v>
      </c>
      <c r="G591" s="1">
        <v>45684</v>
      </c>
      <c r="H591" t="s">
        <v>27</v>
      </c>
      <c r="I591" t="s">
        <v>40</v>
      </c>
      <c r="J591">
        <v>3</v>
      </c>
      <c r="K591" t="s">
        <v>19</v>
      </c>
      <c r="L591" t="s">
        <v>82</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x14ac:dyDescent="0.3">
      <c r="A592" t="s">
        <v>683</v>
      </c>
      <c r="B592" t="s">
        <v>44</v>
      </c>
      <c r="C592">
        <v>3</v>
      </c>
      <c r="D592">
        <v>40.9</v>
      </c>
      <c r="E592">
        <v>122.69999999999999</v>
      </c>
      <c r="F592" s="1">
        <v>45683</v>
      </c>
      <c r="G592" s="1">
        <v>45684</v>
      </c>
      <c r="H592" t="s">
        <v>23</v>
      </c>
      <c r="I592" t="s">
        <v>18</v>
      </c>
      <c r="J592">
        <v>4</v>
      </c>
      <c r="K592" t="s">
        <v>19</v>
      </c>
      <c r="L592" t="s">
        <v>24</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x14ac:dyDescent="0.3">
      <c r="A593" t="s">
        <v>684</v>
      </c>
      <c r="B593" t="s">
        <v>26</v>
      </c>
      <c r="C593">
        <v>2</v>
      </c>
      <c r="D593">
        <v>125.7</v>
      </c>
      <c r="E593">
        <v>251.4</v>
      </c>
      <c r="F593" s="1">
        <v>45683</v>
      </c>
      <c r="G593" s="1">
        <v>45684</v>
      </c>
      <c r="H593" t="s">
        <v>27</v>
      </c>
      <c r="I593" t="s">
        <v>51</v>
      </c>
      <c r="J593">
        <v>4</v>
      </c>
      <c r="K593" t="s">
        <v>19</v>
      </c>
      <c r="L593" t="s">
        <v>28</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x14ac:dyDescent="0.3">
      <c r="A594" t="s">
        <v>685</v>
      </c>
      <c r="B594" t="s">
        <v>30</v>
      </c>
      <c r="C594">
        <v>2</v>
      </c>
      <c r="D594">
        <v>30.9</v>
      </c>
      <c r="E594">
        <v>61.8</v>
      </c>
      <c r="F594" s="1">
        <v>45683</v>
      </c>
      <c r="G594" s="1">
        <v>45683</v>
      </c>
      <c r="H594" t="s">
        <v>27</v>
      </c>
      <c r="I594" t="s">
        <v>40</v>
      </c>
      <c r="J594">
        <v>5</v>
      </c>
      <c r="K594" t="s">
        <v>19</v>
      </c>
      <c r="L594" t="s">
        <v>147</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x14ac:dyDescent="0.3">
      <c r="A595" t="s">
        <v>686</v>
      </c>
      <c r="B595" t="s">
        <v>44</v>
      </c>
      <c r="C595">
        <v>2</v>
      </c>
      <c r="D595">
        <v>18.3</v>
      </c>
      <c r="E595">
        <v>36.6</v>
      </c>
      <c r="F595" s="1">
        <v>45683</v>
      </c>
      <c r="G595" s="1">
        <v>45684</v>
      </c>
      <c r="H595" t="s">
        <v>27</v>
      </c>
      <c r="I595" t="s">
        <v>35</v>
      </c>
      <c r="J595">
        <v>4</v>
      </c>
      <c r="K595" t="s">
        <v>19</v>
      </c>
      <c r="L595" t="s">
        <v>33</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x14ac:dyDescent="0.3">
      <c r="A596" t="s">
        <v>687</v>
      </c>
      <c r="B596" t="s">
        <v>32</v>
      </c>
      <c r="C596">
        <v>2</v>
      </c>
      <c r="D596">
        <v>56.5</v>
      </c>
      <c r="E596">
        <v>113</v>
      </c>
      <c r="F596" s="1">
        <v>45683</v>
      </c>
      <c r="G596" s="1">
        <v>45687</v>
      </c>
      <c r="H596" t="s">
        <v>23</v>
      </c>
      <c r="I596" t="s">
        <v>40</v>
      </c>
      <c r="J596">
        <v>5</v>
      </c>
      <c r="K596" t="s">
        <v>19</v>
      </c>
      <c r="L596" t="s">
        <v>33</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x14ac:dyDescent="0.3">
      <c r="A597" t="s">
        <v>688</v>
      </c>
      <c r="B597" t="s">
        <v>54</v>
      </c>
      <c r="C597">
        <v>7</v>
      </c>
      <c r="D597">
        <v>29.9</v>
      </c>
      <c r="E597">
        <v>209.29999999999998</v>
      </c>
      <c r="F597" s="1">
        <v>45683</v>
      </c>
      <c r="G597" s="1">
        <v>45685</v>
      </c>
      <c r="H597" t="s">
        <v>23</v>
      </c>
      <c r="I597" t="s">
        <v>70</v>
      </c>
      <c r="J597">
        <v>5</v>
      </c>
      <c r="K597" t="s">
        <v>19</v>
      </c>
      <c r="L597" t="s">
        <v>33</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x14ac:dyDescent="0.3">
      <c r="A598" t="s">
        <v>689</v>
      </c>
      <c r="B598" t="s">
        <v>37</v>
      </c>
      <c r="C598">
        <v>2</v>
      </c>
      <c r="D598">
        <v>50.4</v>
      </c>
      <c r="E598">
        <v>100.8</v>
      </c>
      <c r="F598" s="1">
        <v>45683</v>
      </c>
      <c r="G598" s="1">
        <v>45684</v>
      </c>
      <c r="H598" t="s">
        <v>27</v>
      </c>
      <c r="I598" t="s">
        <v>40</v>
      </c>
      <c r="J598">
        <v>4</v>
      </c>
      <c r="K598" t="s">
        <v>19</v>
      </c>
      <c r="L598" t="s">
        <v>33</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x14ac:dyDescent="0.3">
      <c r="A599" t="s">
        <v>690</v>
      </c>
      <c r="B599" t="s">
        <v>26</v>
      </c>
      <c r="C599">
        <v>1</v>
      </c>
      <c r="D599">
        <v>85.8</v>
      </c>
      <c r="E599">
        <v>85.8</v>
      </c>
      <c r="F599" s="1">
        <v>45683</v>
      </c>
      <c r="G599" s="1">
        <v>45683</v>
      </c>
      <c r="H599" t="s">
        <v>27</v>
      </c>
      <c r="I599" t="s">
        <v>40</v>
      </c>
      <c r="J599">
        <v>5</v>
      </c>
      <c r="K599" t="s">
        <v>19</v>
      </c>
      <c r="L599" t="s">
        <v>33</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x14ac:dyDescent="0.3">
      <c r="A600" t="s">
        <v>691</v>
      </c>
      <c r="B600" t="s">
        <v>32</v>
      </c>
      <c r="C600">
        <v>16</v>
      </c>
      <c r="D600">
        <v>66.599999999999994</v>
      </c>
      <c r="E600">
        <v>1065.5999999999999</v>
      </c>
      <c r="F600" s="1">
        <v>45683</v>
      </c>
      <c r="G600" s="1">
        <v>45685</v>
      </c>
      <c r="H600" t="s">
        <v>23</v>
      </c>
      <c r="I600" t="s">
        <v>35</v>
      </c>
      <c r="J600">
        <v>4</v>
      </c>
      <c r="K600" t="s">
        <v>19</v>
      </c>
      <c r="L600" t="s">
        <v>33</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x14ac:dyDescent="0.3">
      <c r="A601" t="s">
        <v>692</v>
      </c>
      <c r="B601" t="s">
        <v>39</v>
      </c>
      <c r="C601">
        <v>4</v>
      </c>
      <c r="D601">
        <v>70.3</v>
      </c>
      <c r="E601">
        <v>281.2</v>
      </c>
      <c r="F601" s="1">
        <v>45683</v>
      </c>
      <c r="G601" s="1">
        <v>45684</v>
      </c>
      <c r="H601" t="s">
        <v>27</v>
      </c>
      <c r="I601" t="s">
        <v>18</v>
      </c>
      <c r="J601">
        <v>3</v>
      </c>
      <c r="K601" t="s">
        <v>19</v>
      </c>
      <c r="L601" t="s">
        <v>33</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x14ac:dyDescent="0.3">
      <c r="A602" t="s">
        <v>693</v>
      </c>
      <c r="B602" t="s">
        <v>44</v>
      </c>
      <c r="C602">
        <v>4</v>
      </c>
      <c r="D602">
        <v>31</v>
      </c>
      <c r="E602">
        <v>124</v>
      </c>
      <c r="F602" s="1">
        <v>45683</v>
      </c>
      <c r="G602" s="1">
        <v>45686</v>
      </c>
      <c r="H602" t="s">
        <v>23</v>
      </c>
      <c r="I602" t="s">
        <v>18</v>
      </c>
      <c r="J602">
        <v>5</v>
      </c>
      <c r="K602" t="s">
        <v>19</v>
      </c>
      <c r="L602" t="s">
        <v>33</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x14ac:dyDescent="0.3">
      <c r="A603" t="s">
        <v>694</v>
      </c>
      <c r="B603" t="s">
        <v>42</v>
      </c>
      <c r="C603">
        <v>6</v>
      </c>
      <c r="D603">
        <v>81.599999999999994</v>
      </c>
      <c r="E603">
        <v>489.59999999999997</v>
      </c>
      <c r="F603" s="1">
        <v>45683</v>
      </c>
      <c r="G603" s="1">
        <v>45684</v>
      </c>
      <c r="H603" t="s">
        <v>27</v>
      </c>
      <c r="I603" t="s">
        <v>35</v>
      </c>
      <c r="J603">
        <v>3</v>
      </c>
      <c r="K603" t="s">
        <v>19</v>
      </c>
      <c r="L603" t="s">
        <v>364</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x14ac:dyDescent="0.3">
      <c r="A604" t="s">
        <v>695</v>
      </c>
      <c r="B604" t="s">
        <v>22</v>
      </c>
      <c r="C604">
        <v>25</v>
      </c>
      <c r="D604">
        <v>58.3</v>
      </c>
      <c r="E604">
        <v>1457.5</v>
      </c>
      <c r="F604" s="1">
        <v>45683</v>
      </c>
      <c r="G604" s="1">
        <v>45684</v>
      </c>
      <c r="H604" t="s">
        <v>27</v>
      </c>
      <c r="I604" t="s">
        <v>18</v>
      </c>
      <c r="J604">
        <v>4</v>
      </c>
      <c r="K604" t="s">
        <v>19</v>
      </c>
      <c r="L604" t="s">
        <v>98</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x14ac:dyDescent="0.3">
      <c r="A605" t="s">
        <v>696</v>
      </c>
      <c r="B605" t="s">
        <v>22</v>
      </c>
      <c r="C605">
        <v>4</v>
      </c>
      <c r="D605">
        <v>35.1</v>
      </c>
      <c r="E605">
        <v>140.4</v>
      </c>
      <c r="F605" s="1">
        <v>45683</v>
      </c>
      <c r="G605" s="1">
        <v>45685</v>
      </c>
      <c r="H605" t="s">
        <v>23</v>
      </c>
      <c r="I605" t="s">
        <v>18</v>
      </c>
      <c r="J605">
        <v>5</v>
      </c>
      <c r="K605" t="s">
        <v>19</v>
      </c>
      <c r="L605" t="s">
        <v>62</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x14ac:dyDescent="0.3">
      <c r="A606" t="s">
        <v>697</v>
      </c>
      <c r="B606" t="s">
        <v>26</v>
      </c>
      <c r="C606">
        <v>1</v>
      </c>
      <c r="D606">
        <v>80.2</v>
      </c>
      <c r="E606">
        <v>80.2</v>
      </c>
      <c r="F606" s="1">
        <v>45683</v>
      </c>
      <c r="G606" s="1">
        <v>45684</v>
      </c>
      <c r="H606" t="s">
        <v>23</v>
      </c>
      <c r="I606" t="s">
        <v>51</v>
      </c>
      <c r="J606">
        <v>5</v>
      </c>
      <c r="K606" t="s">
        <v>19</v>
      </c>
      <c r="L606" t="s">
        <v>62</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x14ac:dyDescent="0.3">
      <c r="A607" t="s">
        <v>698</v>
      </c>
      <c r="B607" t="s">
        <v>81</v>
      </c>
      <c r="C607">
        <v>3</v>
      </c>
      <c r="D607">
        <v>39.200000000000003</v>
      </c>
      <c r="E607">
        <v>117.60000000000001</v>
      </c>
      <c r="F607" s="1">
        <v>45683</v>
      </c>
      <c r="G607" s="1">
        <v>45685</v>
      </c>
      <c r="H607" t="s">
        <v>27</v>
      </c>
      <c r="I607" t="s">
        <v>35</v>
      </c>
      <c r="J607">
        <v>4</v>
      </c>
      <c r="K607" t="s">
        <v>19</v>
      </c>
      <c r="L607" t="s">
        <v>72</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x14ac:dyDescent="0.3">
      <c r="A608" t="s">
        <v>699</v>
      </c>
      <c r="B608" t="s">
        <v>16</v>
      </c>
      <c r="C608">
        <v>2</v>
      </c>
      <c r="D608">
        <v>15.4</v>
      </c>
      <c r="E608">
        <v>30.8</v>
      </c>
      <c r="F608" s="1">
        <v>45683</v>
      </c>
      <c r="G608" s="1">
        <v>45683</v>
      </c>
      <c r="H608" t="s">
        <v>27</v>
      </c>
      <c r="I608" t="s">
        <v>51</v>
      </c>
      <c r="J608">
        <v>4</v>
      </c>
      <c r="K608" t="s">
        <v>19</v>
      </c>
      <c r="L608" t="s">
        <v>700</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x14ac:dyDescent="0.3">
      <c r="A609" t="s">
        <v>701</v>
      </c>
      <c r="B609" t="s">
        <v>30</v>
      </c>
      <c r="C609">
        <v>3</v>
      </c>
      <c r="D609">
        <v>65.400000000000006</v>
      </c>
      <c r="E609">
        <v>196.20000000000002</v>
      </c>
      <c r="F609" s="1">
        <v>45683</v>
      </c>
      <c r="G609" s="1">
        <v>45686</v>
      </c>
      <c r="H609" t="s">
        <v>23</v>
      </c>
      <c r="I609" t="s">
        <v>51</v>
      </c>
      <c r="J609">
        <v>4</v>
      </c>
      <c r="K609" t="s">
        <v>19</v>
      </c>
      <c r="L609" t="s">
        <v>108</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x14ac:dyDescent="0.3">
      <c r="A610" t="s">
        <v>702</v>
      </c>
      <c r="B610" t="s">
        <v>22</v>
      </c>
      <c r="C610">
        <v>8</v>
      </c>
      <c r="D610">
        <v>63.2</v>
      </c>
      <c r="E610">
        <v>505.6</v>
      </c>
      <c r="F610" s="1">
        <v>45683</v>
      </c>
      <c r="G610" s="1">
        <v>45685</v>
      </c>
      <c r="H610" t="s">
        <v>27</v>
      </c>
      <c r="I610" t="s">
        <v>35</v>
      </c>
      <c r="J610">
        <v>4</v>
      </c>
      <c r="K610" t="s">
        <v>19</v>
      </c>
      <c r="L610" t="s">
        <v>110</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x14ac:dyDescent="0.3">
      <c r="A611" t="s">
        <v>703</v>
      </c>
      <c r="B611" t="s">
        <v>22</v>
      </c>
      <c r="C611">
        <v>6</v>
      </c>
      <c r="D611">
        <v>35.700000000000003</v>
      </c>
      <c r="E611">
        <v>214.20000000000002</v>
      </c>
      <c r="F611" s="1">
        <v>45683</v>
      </c>
      <c r="G611" s="1">
        <v>45687</v>
      </c>
      <c r="H611" t="s">
        <v>27</v>
      </c>
      <c r="I611" t="s">
        <v>70</v>
      </c>
      <c r="J611">
        <v>3</v>
      </c>
      <c r="K611" t="s">
        <v>19</v>
      </c>
      <c r="L611" t="s">
        <v>110</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x14ac:dyDescent="0.3">
      <c r="A612" t="s">
        <v>704</v>
      </c>
      <c r="B612" t="s">
        <v>16</v>
      </c>
      <c r="C612">
        <v>20</v>
      </c>
      <c r="D612">
        <v>26.2</v>
      </c>
      <c r="E612">
        <v>524</v>
      </c>
      <c r="F612" s="1">
        <v>45683</v>
      </c>
      <c r="G612" s="1">
        <v>45684</v>
      </c>
      <c r="H612" t="s">
        <v>27</v>
      </c>
      <c r="I612" t="s">
        <v>51</v>
      </c>
      <c r="J612">
        <v>4</v>
      </c>
      <c r="K612" t="s">
        <v>19</v>
      </c>
      <c r="L612" t="s">
        <v>115</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x14ac:dyDescent="0.3">
      <c r="A613" t="s">
        <v>705</v>
      </c>
      <c r="B613" t="s">
        <v>42</v>
      </c>
      <c r="C613">
        <v>2</v>
      </c>
      <c r="D613">
        <v>31</v>
      </c>
      <c r="E613">
        <v>62</v>
      </c>
      <c r="F613" s="1">
        <v>45683</v>
      </c>
      <c r="G613" s="1">
        <v>45684</v>
      </c>
      <c r="H613" t="s">
        <v>27</v>
      </c>
      <c r="I613" t="s">
        <v>18</v>
      </c>
      <c r="J613">
        <v>5</v>
      </c>
      <c r="K613" t="s">
        <v>19</v>
      </c>
      <c r="L613" t="s">
        <v>24</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x14ac:dyDescent="0.3">
      <c r="A614" t="s">
        <v>706</v>
      </c>
      <c r="B614" t="s">
        <v>44</v>
      </c>
      <c r="C614">
        <v>4</v>
      </c>
      <c r="D614">
        <v>37.700000000000003</v>
      </c>
      <c r="E614">
        <v>150.80000000000001</v>
      </c>
      <c r="F614" s="1">
        <v>45683</v>
      </c>
      <c r="G614" s="1">
        <v>45684</v>
      </c>
      <c r="H614" t="s">
        <v>27</v>
      </c>
      <c r="I614" t="s">
        <v>35</v>
      </c>
      <c r="J614">
        <v>4</v>
      </c>
      <c r="K614" t="s">
        <v>19</v>
      </c>
      <c r="L614" t="s">
        <v>147</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x14ac:dyDescent="0.3">
      <c r="A615" t="s">
        <v>707</v>
      </c>
      <c r="B615" t="s">
        <v>54</v>
      </c>
      <c r="C615">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x14ac:dyDescent="0.3">
      <c r="A616" t="s">
        <v>708</v>
      </c>
      <c r="B616" t="s">
        <v>46</v>
      </c>
      <c r="C616">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x14ac:dyDescent="0.3">
      <c r="A617" t="s">
        <v>709</v>
      </c>
      <c r="B617" t="s">
        <v>16</v>
      </c>
      <c r="C617">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x14ac:dyDescent="0.3">
      <c r="A618" t="s">
        <v>710</v>
      </c>
      <c r="B618" t="s">
        <v>44</v>
      </c>
      <c r="C618">
        <v>2</v>
      </c>
      <c r="D618">
        <v>58.2</v>
      </c>
      <c r="E618">
        <v>116.4</v>
      </c>
      <c r="F618" s="1">
        <v>45683</v>
      </c>
      <c r="G618" s="1">
        <v>45684</v>
      </c>
      <c r="H618" t="s">
        <v>23</v>
      </c>
      <c r="I618" t="s">
        <v>40</v>
      </c>
      <c r="J618">
        <v>5</v>
      </c>
      <c r="K618" t="s">
        <v>19</v>
      </c>
      <c r="L618" t="s">
        <v>33</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x14ac:dyDescent="0.3">
      <c r="A619" t="s">
        <v>711</v>
      </c>
      <c r="B619" t="s">
        <v>42</v>
      </c>
      <c r="C619">
        <v>1</v>
      </c>
      <c r="D619">
        <v>30.2</v>
      </c>
      <c r="E619">
        <v>30.2</v>
      </c>
      <c r="F619" s="1">
        <v>45684</v>
      </c>
      <c r="G619" s="1">
        <v>45685</v>
      </c>
      <c r="H619" t="s">
        <v>27</v>
      </c>
      <c r="I619" t="s">
        <v>40</v>
      </c>
      <c r="J619">
        <v>3</v>
      </c>
      <c r="K619" t="s">
        <v>19</v>
      </c>
      <c r="L619" t="s">
        <v>33</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x14ac:dyDescent="0.3">
      <c r="A620" t="s">
        <v>712</v>
      </c>
      <c r="B620" t="s">
        <v>22</v>
      </c>
      <c r="C620">
        <v>10</v>
      </c>
      <c r="D620">
        <v>53.2</v>
      </c>
      <c r="E620">
        <v>532</v>
      </c>
      <c r="F620" s="1">
        <v>45684</v>
      </c>
      <c r="G620" s="1">
        <v>45685</v>
      </c>
      <c r="H620" t="s">
        <v>23</v>
      </c>
      <c r="I620" t="s">
        <v>18</v>
      </c>
      <c r="J620">
        <v>5</v>
      </c>
      <c r="K620" t="s">
        <v>19</v>
      </c>
      <c r="L620" t="s">
        <v>52</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x14ac:dyDescent="0.3">
      <c r="A621" t="s">
        <v>713</v>
      </c>
      <c r="B621" t="s">
        <v>69</v>
      </c>
      <c r="C621">
        <v>6</v>
      </c>
      <c r="D621">
        <v>51.1</v>
      </c>
      <c r="E621">
        <v>306.60000000000002</v>
      </c>
      <c r="F621" s="1">
        <v>45684</v>
      </c>
      <c r="G621" s="1">
        <v>45684</v>
      </c>
      <c r="H621" t="s">
        <v>23</v>
      </c>
      <c r="I621" t="s">
        <v>35</v>
      </c>
      <c r="J621">
        <v>5</v>
      </c>
      <c r="K621" t="s">
        <v>19</v>
      </c>
      <c r="L621" t="s">
        <v>52</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x14ac:dyDescent="0.3">
      <c r="A622" t="s">
        <v>714</v>
      </c>
      <c r="B622" t="s">
        <v>22</v>
      </c>
      <c r="C622">
        <v>1</v>
      </c>
      <c r="D622">
        <v>105.4</v>
      </c>
      <c r="E622">
        <v>105.4</v>
      </c>
      <c r="F622" s="1">
        <v>45684</v>
      </c>
      <c r="G622" s="1">
        <v>45688</v>
      </c>
      <c r="H622" t="s">
        <v>27</v>
      </c>
      <c r="I622" t="s">
        <v>35</v>
      </c>
      <c r="J622">
        <v>5</v>
      </c>
      <c r="K622" t="s">
        <v>19</v>
      </c>
      <c r="L622" t="s">
        <v>158</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x14ac:dyDescent="0.3">
      <c r="A623" t="s">
        <v>715</v>
      </c>
      <c r="B623" t="s">
        <v>42</v>
      </c>
      <c r="C623">
        <v>1</v>
      </c>
      <c r="D623">
        <v>57.7</v>
      </c>
      <c r="E623">
        <v>57.7</v>
      </c>
      <c r="F623" s="1">
        <v>45684</v>
      </c>
      <c r="G623" s="1">
        <v>45684</v>
      </c>
      <c r="H623" t="s">
        <v>23</v>
      </c>
      <c r="I623" t="s">
        <v>18</v>
      </c>
      <c r="J623">
        <v>2</v>
      </c>
      <c r="K623" t="s">
        <v>19</v>
      </c>
      <c r="L623" t="s">
        <v>62</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x14ac:dyDescent="0.3">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x14ac:dyDescent="0.3">
      <c r="A625" t="s">
        <v>717</v>
      </c>
      <c r="B625" t="s">
        <v>39</v>
      </c>
      <c r="C625">
        <v>2</v>
      </c>
      <c r="D625">
        <v>62.5</v>
      </c>
      <c r="E625">
        <v>125</v>
      </c>
      <c r="F625" s="1">
        <v>45684</v>
      </c>
      <c r="G625" s="1">
        <v>45685</v>
      </c>
      <c r="H625" t="s">
        <v>17</v>
      </c>
      <c r="I625" t="s">
        <v>18</v>
      </c>
      <c r="J625">
        <v>5</v>
      </c>
      <c r="K625" t="s">
        <v>19</v>
      </c>
      <c r="L625" t="s">
        <v>77</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x14ac:dyDescent="0.3">
      <c r="A626" t="s">
        <v>718</v>
      </c>
      <c r="B626" t="s">
        <v>16</v>
      </c>
      <c r="C626">
        <v>22</v>
      </c>
      <c r="D626">
        <v>11.6</v>
      </c>
      <c r="E626">
        <v>255.2</v>
      </c>
      <c r="F626" s="1">
        <v>45684</v>
      </c>
      <c r="G626" s="1">
        <v>45686</v>
      </c>
      <c r="H626" t="s">
        <v>27</v>
      </c>
      <c r="I626" t="s">
        <v>51</v>
      </c>
      <c r="J626">
        <v>5</v>
      </c>
      <c r="K626" t="s">
        <v>19</v>
      </c>
      <c r="L626" t="s">
        <v>108</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x14ac:dyDescent="0.3">
      <c r="A627" t="s">
        <v>719</v>
      </c>
      <c r="B627" t="s">
        <v>54</v>
      </c>
      <c r="C627">
        <v>10</v>
      </c>
      <c r="D627">
        <v>39.6</v>
      </c>
      <c r="E627">
        <v>396</v>
      </c>
      <c r="F627" s="1">
        <v>45684</v>
      </c>
      <c r="G627" s="1">
        <v>45686</v>
      </c>
      <c r="H627" t="s">
        <v>27</v>
      </c>
      <c r="I627" t="s">
        <v>40</v>
      </c>
      <c r="J627">
        <v>5</v>
      </c>
      <c r="K627" t="s">
        <v>19</v>
      </c>
      <c r="L627" t="s">
        <v>108</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x14ac:dyDescent="0.3">
      <c r="A628" t="s">
        <v>720</v>
      </c>
      <c r="B628" t="s">
        <v>44</v>
      </c>
      <c r="C628">
        <v>2</v>
      </c>
      <c r="D628">
        <v>40.1</v>
      </c>
      <c r="E628">
        <v>80.2</v>
      </c>
      <c r="F628" s="1">
        <v>45684</v>
      </c>
      <c r="G628" s="1">
        <v>45685</v>
      </c>
      <c r="H628" t="s">
        <v>27</v>
      </c>
      <c r="I628" t="s">
        <v>40</v>
      </c>
      <c r="J628">
        <v>4</v>
      </c>
      <c r="K628" t="s">
        <v>19</v>
      </c>
      <c r="L628" t="s">
        <v>108</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x14ac:dyDescent="0.3">
      <c r="A629" t="s">
        <v>721</v>
      </c>
      <c r="B629" t="s">
        <v>44</v>
      </c>
      <c r="C629">
        <v>3</v>
      </c>
      <c r="D629">
        <v>18.600000000000001</v>
      </c>
      <c r="E629">
        <v>55.800000000000004</v>
      </c>
      <c r="F629" s="1">
        <v>45684</v>
      </c>
      <c r="G629" s="1">
        <v>45685</v>
      </c>
      <c r="H629" t="s">
        <v>27</v>
      </c>
      <c r="I629" t="s">
        <v>40</v>
      </c>
      <c r="J629">
        <v>4</v>
      </c>
      <c r="K629" t="s">
        <v>19</v>
      </c>
      <c r="L629" t="s">
        <v>115</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x14ac:dyDescent="0.3">
      <c r="A630" t="s">
        <v>722</v>
      </c>
      <c r="B630" t="s">
        <v>32</v>
      </c>
      <c r="C630">
        <v>1</v>
      </c>
      <c r="D630">
        <v>58.8</v>
      </c>
      <c r="E630">
        <v>58.8</v>
      </c>
      <c r="F630" s="1">
        <v>45684</v>
      </c>
      <c r="G630" s="1">
        <v>45686</v>
      </c>
      <c r="H630" t="s">
        <v>27</v>
      </c>
      <c r="I630" t="s">
        <v>18</v>
      </c>
      <c r="J630">
        <v>3</v>
      </c>
      <c r="K630" t="s">
        <v>19</v>
      </c>
      <c r="L630" t="s">
        <v>115</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x14ac:dyDescent="0.3">
      <c r="A631" t="s">
        <v>723</v>
      </c>
      <c r="B631" t="s">
        <v>44</v>
      </c>
      <c r="C631">
        <v>2</v>
      </c>
      <c r="D631">
        <v>22.1</v>
      </c>
      <c r="E631">
        <v>44.2</v>
      </c>
      <c r="F631" s="1">
        <v>45684</v>
      </c>
      <c r="G631" s="1">
        <v>45687</v>
      </c>
      <c r="H631" t="s">
        <v>23</v>
      </c>
      <c r="I631" t="s">
        <v>35</v>
      </c>
      <c r="J631">
        <v>5</v>
      </c>
      <c r="K631" t="s">
        <v>19</v>
      </c>
      <c r="L631" t="s">
        <v>115</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x14ac:dyDescent="0.3">
      <c r="A632" t="s">
        <v>724</v>
      </c>
      <c r="B632" t="s">
        <v>26</v>
      </c>
      <c r="C632">
        <v>1</v>
      </c>
      <c r="D632">
        <v>114.9</v>
      </c>
      <c r="E632">
        <v>114.9</v>
      </c>
      <c r="F632" s="1">
        <v>45685</v>
      </c>
      <c r="G632" s="1">
        <v>45686</v>
      </c>
      <c r="H632" t="s">
        <v>27</v>
      </c>
      <c r="I632" t="s">
        <v>35</v>
      </c>
      <c r="J632">
        <v>3</v>
      </c>
      <c r="K632" t="s">
        <v>19</v>
      </c>
      <c r="L632" t="s">
        <v>147</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x14ac:dyDescent="0.3">
      <c r="A633" t="s">
        <v>725</v>
      </c>
      <c r="B633" t="s">
        <v>46</v>
      </c>
      <c r="C633">
        <v>5</v>
      </c>
      <c r="D633">
        <v>75.8</v>
      </c>
      <c r="E633">
        <v>379</v>
      </c>
      <c r="F633" s="1">
        <v>45685</v>
      </c>
      <c r="G633" s="1">
        <v>45686</v>
      </c>
      <c r="H633" t="s">
        <v>23</v>
      </c>
      <c r="I633" t="s">
        <v>18</v>
      </c>
      <c r="J633">
        <v>5</v>
      </c>
      <c r="K633" t="s">
        <v>19</v>
      </c>
      <c r="L633" t="s">
        <v>33</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x14ac:dyDescent="0.3">
      <c r="A634" t="s">
        <v>726</v>
      </c>
      <c r="B634" t="s">
        <v>81</v>
      </c>
      <c r="C634">
        <v>5</v>
      </c>
      <c r="D634">
        <v>20.6</v>
      </c>
      <c r="E634">
        <v>103</v>
      </c>
      <c r="F634" s="1">
        <v>45685</v>
      </c>
      <c r="G634" s="1">
        <v>45686</v>
      </c>
      <c r="H634" t="s">
        <v>23</v>
      </c>
      <c r="I634" t="s">
        <v>40</v>
      </c>
      <c r="J634">
        <v>5</v>
      </c>
      <c r="K634" t="s">
        <v>19</v>
      </c>
      <c r="L634" t="s">
        <v>33</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x14ac:dyDescent="0.3">
      <c r="A635" t="s">
        <v>727</v>
      </c>
      <c r="B635" t="s">
        <v>135</v>
      </c>
      <c r="C635">
        <v>3</v>
      </c>
      <c r="D635">
        <v>67.900000000000006</v>
      </c>
      <c r="E635">
        <v>203.70000000000002</v>
      </c>
      <c r="F635" s="1">
        <v>45685</v>
      </c>
      <c r="G635" s="1">
        <v>45686</v>
      </c>
      <c r="H635" t="s">
        <v>27</v>
      </c>
      <c r="I635" t="s">
        <v>35</v>
      </c>
      <c r="J635">
        <v>3</v>
      </c>
      <c r="K635" t="s">
        <v>19</v>
      </c>
      <c r="L635" t="s">
        <v>33</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x14ac:dyDescent="0.3">
      <c r="A636" t="s">
        <v>728</v>
      </c>
      <c r="B636" t="s">
        <v>16</v>
      </c>
      <c r="C636">
        <v>5</v>
      </c>
      <c r="D636">
        <v>27</v>
      </c>
      <c r="E636">
        <v>135</v>
      </c>
      <c r="F636" s="1">
        <v>45685</v>
      </c>
      <c r="G636" s="1">
        <v>45692</v>
      </c>
      <c r="H636" t="s">
        <v>27</v>
      </c>
      <c r="I636" t="s">
        <v>18</v>
      </c>
      <c r="J636">
        <v>5</v>
      </c>
      <c r="K636" t="s">
        <v>19</v>
      </c>
      <c r="L636" t="s">
        <v>33</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x14ac:dyDescent="0.3">
      <c r="A637" t="s">
        <v>729</v>
      </c>
      <c r="B637" t="s">
        <v>76</v>
      </c>
      <c r="C637">
        <v>1</v>
      </c>
      <c r="D637">
        <v>50.6</v>
      </c>
      <c r="E637">
        <v>50.6</v>
      </c>
      <c r="F637" s="1">
        <v>45685</v>
      </c>
      <c r="G637" s="1">
        <v>45685</v>
      </c>
      <c r="H637" t="s">
        <v>23</v>
      </c>
      <c r="I637" t="s">
        <v>18</v>
      </c>
      <c r="J637">
        <v>3</v>
      </c>
      <c r="K637" t="s">
        <v>19</v>
      </c>
      <c r="L637" t="s">
        <v>33</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x14ac:dyDescent="0.3">
      <c r="A638" t="s">
        <v>730</v>
      </c>
      <c r="B638" t="s">
        <v>32</v>
      </c>
      <c r="C638">
        <v>5</v>
      </c>
      <c r="D638">
        <v>22.1</v>
      </c>
      <c r="E638">
        <v>110.5</v>
      </c>
      <c r="F638" s="1">
        <v>45685</v>
      </c>
      <c r="G638" s="1">
        <v>45690</v>
      </c>
      <c r="H638" t="s">
        <v>23</v>
      </c>
      <c r="I638" t="s">
        <v>18</v>
      </c>
      <c r="J638">
        <v>4</v>
      </c>
      <c r="K638" t="s">
        <v>19</v>
      </c>
      <c r="L638" t="s">
        <v>33</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x14ac:dyDescent="0.3">
      <c r="A639" t="s">
        <v>731</v>
      </c>
      <c r="B639" t="s">
        <v>44</v>
      </c>
      <c r="C639">
        <v>3</v>
      </c>
      <c r="D639">
        <v>42.9</v>
      </c>
      <c r="E639">
        <v>128.69999999999999</v>
      </c>
      <c r="F639" s="1">
        <v>45685</v>
      </c>
      <c r="G639" s="1">
        <v>45687</v>
      </c>
      <c r="H639" t="s">
        <v>27</v>
      </c>
      <c r="I639" t="s">
        <v>18</v>
      </c>
      <c r="J639">
        <v>4</v>
      </c>
      <c r="K639" t="s">
        <v>19</v>
      </c>
      <c r="L639" t="s">
        <v>33</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x14ac:dyDescent="0.3">
      <c r="A640" t="s">
        <v>732</v>
      </c>
      <c r="B640" t="s">
        <v>22</v>
      </c>
      <c r="C640">
        <v>11</v>
      </c>
      <c r="D640">
        <v>62.4</v>
      </c>
      <c r="E640">
        <v>686.4</v>
      </c>
      <c r="F640" s="1">
        <v>45685</v>
      </c>
      <c r="G640" s="1">
        <v>45687</v>
      </c>
      <c r="H640" t="s">
        <v>27</v>
      </c>
      <c r="I640" t="s">
        <v>40</v>
      </c>
      <c r="J640">
        <v>4</v>
      </c>
      <c r="K640" t="s">
        <v>19</v>
      </c>
      <c r="L640" t="s">
        <v>33</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x14ac:dyDescent="0.3">
      <c r="A641" t="s">
        <v>733</v>
      </c>
      <c r="B641" t="s">
        <v>76</v>
      </c>
      <c r="C641">
        <v>9</v>
      </c>
      <c r="D641">
        <v>36.4</v>
      </c>
      <c r="E641">
        <v>327.59999999999997</v>
      </c>
      <c r="F641" s="1">
        <v>45685</v>
      </c>
      <c r="G641" s="1">
        <v>45687</v>
      </c>
      <c r="H641" t="s">
        <v>27</v>
      </c>
      <c r="I641" t="s">
        <v>18</v>
      </c>
      <c r="J641">
        <v>5</v>
      </c>
      <c r="K641" t="s">
        <v>19</v>
      </c>
      <c r="L641" t="s">
        <v>33</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x14ac:dyDescent="0.3">
      <c r="A642" t="s">
        <v>734</v>
      </c>
      <c r="B642" t="s">
        <v>16</v>
      </c>
      <c r="C642">
        <v>2</v>
      </c>
      <c r="D642">
        <v>22.5</v>
      </c>
      <c r="E642">
        <v>45</v>
      </c>
      <c r="F642" s="1">
        <v>45685</v>
      </c>
      <c r="G642" s="1">
        <v>45688</v>
      </c>
      <c r="H642" t="s">
        <v>23</v>
      </c>
      <c r="I642" t="s">
        <v>18</v>
      </c>
      <c r="J642">
        <v>4</v>
      </c>
      <c r="K642" t="s">
        <v>19</v>
      </c>
      <c r="L642" t="s">
        <v>33</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x14ac:dyDescent="0.3">
      <c r="A643" t="s">
        <v>735</v>
      </c>
      <c r="B643" t="s">
        <v>39</v>
      </c>
      <c r="C643">
        <v>4</v>
      </c>
      <c r="D643">
        <v>70.8</v>
      </c>
      <c r="E643">
        <v>283.2</v>
      </c>
      <c r="F643" s="1">
        <v>45685</v>
      </c>
      <c r="G643" s="1">
        <v>45687</v>
      </c>
      <c r="H643" t="s">
        <v>27</v>
      </c>
      <c r="I643" t="s">
        <v>70</v>
      </c>
      <c r="J643">
        <v>4</v>
      </c>
      <c r="K643" t="s">
        <v>19</v>
      </c>
      <c r="L643" t="s">
        <v>33</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x14ac:dyDescent="0.3">
      <c r="A644" t="s">
        <v>736</v>
      </c>
      <c r="B644" t="s">
        <v>39</v>
      </c>
      <c r="C644">
        <v>5</v>
      </c>
      <c r="D644">
        <v>56.6</v>
      </c>
      <c r="E644">
        <v>283</v>
      </c>
      <c r="F644" s="1">
        <v>45685</v>
      </c>
      <c r="G644" s="1">
        <v>45687</v>
      </c>
      <c r="H644" t="s">
        <v>23</v>
      </c>
      <c r="I644" t="s">
        <v>18</v>
      </c>
      <c r="J644">
        <v>3</v>
      </c>
      <c r="K644" t="s">
        <v>19</v>
      </c>
      <c r="L644" t="s">
        <v>49</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x14ac:dyDescent="0.3">
      <c r="A645" t="s">
        <v>737</v>
      </c>
      <c r="B645" t="s">
        <v>39</v>
      </c>
      <c r="C645">
        <v>2</v>
      </c>
      <c r="D645">
        <v>47.9</v>
      </c>
      <c r="E645">
        <v>95.8</v>
      </c>
      <c r="F645" s="1">
        <v>45685</v>
      </c>
      <c r="G645" s="1">
        <v>45686</v>
      </c>
      <c r="H645" t="s">
        <v>27</v>
      </c>
      <c r="I645" t="s">
        <v>18</v>
      </c>
      <c r="J645">
        <v>4</v>
      </c>
      <c r="K645" t="s">
        <v>19</v>
      </c>
      <c r="L645" t="s">
        <v>55</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x14ac:dyDescent="0.3">
      <c r="A646" t="s">
        <v>738</v>
      </c>
      <c r="B646" t="s">
        <v>39</v>
      </c>
      <c r="C646">
        <v>8</v>
      </c>
      <c r="D646">
        <v>78.400000000000006</v>
      </c>
      <c r="E646">
        <v>627.20000000000005</v>
      </c>
      <c r="F646" s="1">
        <v>45685</v>
      </c>
      <c r="G646" s="1">
        <v>45687</v>
      </c>
      <c r="H646" t="s">
        <v>27</v>
      </c>
      <c r="I646" t="s">
        <v>35</v>
      </c>
      <c r="J646">
        <v>4</v>
      </c>
      <c r="K646" t="s">
        <v>19</v>
      </c>
      <c r="L646" t="s">
        <v>55</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x14ac:dyDescent="0.3">
      <c r="A647" t="s">
        <v>739</v>
      </c>
      <c r="B647" t="s">
        <v>26</v>
      </c>
      <c r="C647">
        <v>14</v>
      </c>
      <c r="D647">
        <v>122.1</v>
      </c>
      <c r="E647">
        <v>1709.3999999999999</v>
      </c>
      <c r="F647" s="1">
        <v>45685</v>
      </c>
      <c r="G647" s="1">
        <v>45690</v>
      </c>
      <c r="H647" t="s">
        <v>27</v>
      </c>
      <c r="I647" t="s">
        <v>18</v>
      </c>
      <c r="J647">
        <v>5</v>
      </c>
      <c r="K647" t="s">
        <v>19</v>
      </c>
      <c r="L647" t="s">
        <v>55</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x14ac:dyDescent="0.3">
      <c r="A648" t="s">
        <v>740</v>
      </c>
      <c r="B648" t="s">
        <v>26</v>
      </c>
      <c r="C648">
        <v>2</v>
      </c>
      <c r="D648">
        <v>83.7</v>
      </c>
      <c r="E648">
        <v>167.4</v>
      </c>
      <c r="F648" s="1">
        <v>45686</v>
      </c>
      <c r="G648" s="1">
        <v>45686</v>
      </c>
      <c r="H648" t="s">
        <v>17</v>
      </c>
      <c r="I648" t="s">
        <v>35</v>
      </c>
      <c r="J648">
        <v>5</v>
      </c>
      <c r="K648" t="s">
        <v>19</v>
      </c>
      <c r="L648" t="s">
        <v>59</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x14ac:dyDescent="0.3">
      <c r="A649" t="s">
        <v>741</v>
      </c>
      <c r="B649" t="s">
        <v>30</v>
      </c>
      <c r="C649">
        <v>4</v>
      </c>
      <c r="D649">
        <v>97.9</v>
      </c>
      <c r="E649">
        <v>391.6</v>
      </c>
      <c r="F649" s="1">
        <v>45686</v>
      </c>
      <c r="G649" s="1">
        <v>45690</v>
      </c>
      <c r="H649" t="s">
        <v>27</v>
      </c>
      <c r="I649" t="s">
        <v>51</v>
      </c>
      <c r="J649">
        <v>5</v>
      </c>
      <c r="K649" t="s">
        <v>19</v>
      </c>
      <c r="L649" t="s">
        <v>59</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x14ac:dyDescent="0.3">
      <c r="A650" t="s">
        <v>742</v>
      </c>
      <c r="B650" t="s">
        <v>81</v>
      </c>
      <c r="C650">
        <v>1</v>
      </c>
      <c r="D650">
        <v>15</v>
      </c>
      <c r="E650">
        <v>15</v>
      </c>
      <c r="F650" s="1">
        <v>45686</v>
      </c>
      <c r="G650" s="1">
        <v>45691</v>
      </c>
      <c r="H650" t="s">
        <v>27</v>
      </c>
      <c r="I650" t="s">
        <v>51</v>
      </c>
      <c r="J650">
        <v>4</v>
      </c>
      <c r="K650" t="s">
        <v>19</v>
      </c>
      <c r="L650" t="s">
        <v>62</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x14ac:dyDescent="0.3">
      <c r="A651" t="s">
        <v>743</v>
      </c>
      <c r="B651" t="s">
        <v>69</v>
      </c>
      <c r="C651">
        <v>3</v>
      </c>
      <c r="D651">
        <v>94.6</v>
      </c>
      <c r="E651">
        <v>283.79999999999995</v>
      </c>
      <c r="F651" s="1">
        <v>45686</v>
      </c>
      <c r="G651" s="1">
        <v>45687</v>
      </c>
      <c r="H651" t="s">
        <v>23</v>
      </c>
      <c r="I651" t="s">
        <v>40</v>
      </c>
      <c r="J651">
        <v>3</v>
      </c>
      <c r="K651" t="s">
        <v>19</v>
      </c>
      <c r="L651" t="s">
        <v>62</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x14ac:dyDescent="0.3">
      <c r="A652" t="s">
        <v>744</v>
      </c>
      <c r="B652" t="s">
        <v>16</v>
      </c>
      <c r="C652">
        <v>6</v>
      </c>
      <c r="D652">
        <v>19.7</v>
      </c>
      <c r="E652">
        <v>118.19999999999999</v>
      </c>
      <c r="F652" s="1">
        <v>45686</v>
      </c>
      <c r="G652" s="1">
        <v>45697</v>
      </c>
      <c r="H652" t="s">
        <v>27</v>
      </c>
      <c r="I652" t="s">
        <v>18</v>
      </c>
      <c r="J652">
        <v>5</v>
      </c>
      <c r="K652" t="s">
        <v>19</v>
      </c>
      <c r="L652" t="s">
        <v>62</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x14ac:dyDescent="0.3">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x14ac:dyDescent="0.3">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x14ac:dyDescent="0.3">
      <c r="A655" t="s">
        <v>747</v>
      </c>
      <c r="B655" t="s">
        <v>39</v>
      </c>
      <c r="C655">
        <v>3</v>
      </c>
      <c r="D655">
        <v>68.2</v>
      </c>
      <c r="E655">
        <v>204.60000000000002</v>
      </c>
      <c r="F655" s="1">
        <v>45686</v>
      </c>
      <c r="G655" s="1">
        <v>45692</v>
      </c>
      <c r="H655" t="s">
        <v>27</v>
      </c>
      <c r="I655" t="s">
        <v>18</v>
      </c>
      <c r="J655">
        <v>4</v>
      </c>
      <c r="K655" t="s">
        <v>19</v>
      </c>
      <c r="L655" t="s">
        <v>72</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x14ac:dyDescent="0.3">
      <c r="A656" t="s">
        <v>748</v>
      </c>
      <c r="B656" t="s">
        <v>54</v>
      </c>
      <c r="C656">
        <v>10</v>
      </c>
      <c r="D656">
        <v>24.3</v>
      </c>
      <c r="E656">
        <v>243</v>
      </c>
      <c r="F656" s="1">
        <v>45686</v>
      </c>
      <c r="G656" s="1">
        <v>45687</v>
      </c>
      <c r="H656" t="s">
        <v>23</v>
      </c>
      <c r="I656" t="s">
        <v>18</v>
      </c>
      <c r="J656">
        <v>5</v>
      </c>
      <c r="K656" t="s">
        <v>19</v>
      </c>
      <c r="L656" t="s">
        <v>74</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x14ac:dyDescent="0.3">
      <c r="A657" t="s">
        <v>749</v>
      </c>
      <c r="B657" t="s">
        <v>42</v>
      </c>
      <c r="C657">
        <v>2</v>
      </c>
      <c r="D657">
        <v>86.8</v>
      </c>
      <c r="E657">
        <v>173.6</v>
      </c>
      <c r="F657" s="1">
        <v>45686</v>
      </c>
      <c r="G657" s="1">
        <v>45690</v>
      </c>
      <c r="H657" t="s">
        <v>27</v>
      </c>
      <c r="I657" t="s">
        <v>70</v>
      </c>
      <c r="J657">
        <v>5</v>
      </c>
      <c r="K657" t="s">
        <v>19</v>
      </c>
      <c r="L657" t="s">
        <v>77</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x14ac:dyDescent="0.3">
      <c r="A658" t="s">
        <v>750</v>
      </c>
      <c r="B658" t="s">
        <v>16</v>
      </c>
      <c r="C658">
        <v>2</v>
      </c>
      <c r="D658">
        <v>15.8</v>
      </c>
      <c r="E658">
        <v>31.6</v>
      </c>
      <c r="F658" s="1">
        <v>45686</v>
      </c>
      <c r="G658" s="1">
        <v>45688</v>
      </c>
      <c r="H658" t="s">
        <v>23</v>
      </c>
      <c r="I658" t="s">
        <v>35</v>
      </c>
      <c r="J658">
        <v>4</v>
      </c>
      <c r="K658" t="s">
        <v>19</v>
      </c>
      <c r="L658" t="s">
        <v>77</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x14ac:dyDescent="0.3">
      <c r="A659" t="s">
        <v>751</v>
      </c>
      <c r="B659" t="s">
        <v>26</v>
      </c>
      <c r="C659">
        <v>4</v>
      </c>
      <c r="D659">
        <v>61.6</v>
      </c>
      <c r="E659">
        <v>246.4</v>
      </c>
      <c r="F659" s="1">
        <v>45686</v>
      </c>
      <c r="G659" s="1">
        <v>45687</v>
      </c>
      <c r="H659" t="s">
        <v>23</v>
      </c>
      <c r="I659" t="s">
        <v>40</v>
      </c>
      <c r="J659">
        <v>4</v>
      </c>
      <c r="K659" t="s">
        <v>19</v>
      </c>
      <c r="L659" t="s">
        <v>77</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x14ac:dyDescent="0.3">
      <c r="A660" t="s">
        <v>752</v>
      </c>
      <c r="B660" t="s">
        <v>39</v>
      </c>
      <c r="C660">
        <v>3</v>
      </c>
      <c r="D660">
        <v>48.7</v>
      </c>
      <c r="E660">
        <v>146.10000000000002</v>
      </c>
      <c r="F660" s="1">
        <v>45686</v>
      </c>
      <c r="G660" s="1">
        <v>45692</v>
      </c>
      <c r="H660" t="s">
        <v>27</v>
      </c>
      <c r="I660" t="s">
        <v>35</v>
      </c>
      <c r="J660">
        <v>5</v>
      </c>
      <c r="K660" t="s">
        <v>19</v>
      </c>
      <c r="L660" t="s">
        <v>608</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x14ac:dyDescent="0.3">
      <c r="A661" t="s">
        <v>753</v>
      </c>
      <c r="B661" t="s">
        <v>44</v>
      </c>
      <c r="C661">
        <v>4</v>
      </c>
      <c r="D661">
        <v>24.3</v>
      </c>
      <c r="E661">
        <v>97.2</v>
      </c>
      <c r="F661" s="1">
        <v>45686</v>
      </c>
      <c r="G661" s="1">
        <v>45688</v>
      </c>
      <c r="H661" t="s">
        <v>27</v>
      </c>
      <c r="I661" t="s">
        <v>35</v>
      </c>
      <c r="J661">
        <v>5</v>
      </c>
      <c r="K661" t="s">
        <v>19</v>
      </c>
      <c r="L661" t="s">
        <v>115</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x14ac:dyDescent="0.3">
      <c r="A662" t="s">
        <v>754</v>
      </c>
      <c r="B662" t="s">
        <v>26</v>
      </c>
      <c r="C662">
        <v>2</v>
      </c>
      <c r="D662">
        <v>130.69999999999999</v>
      </c>
      <c r="E662">
        <v>261.39999999999998</v>
      </c>
      <c r="F662" s="1">
        <v>45686</v>
      </c>
      <c r="G662" s="1">
        <v>45687</v>
      </c>
      <c r="H662" t="s">
        <v>27</v>
      </c>
      <c r="I662" t="s">
        <v>40</v>
      </c>
      <c r="J662">
        <v>4</v>
      </c>
      <c r="K662" t="s">
        <v>19</v>
      </c>
      <c r="L662" t="s">
        <v>587</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x14ac:dyDescent="0.3">
      <c r="A663" t="s">
        <v>755</v>
      </c>
      <c r="B663" t="s">
        <v>54</v>
      </c>
      <c r="C663">
        <v>1</v>
      </c>
      <c r="D663">
        <v>26</v>
      </c>
      <c r="E663">
        <v>26</v>
      </c>
      <c r="F663" s="1">
        <v>45686</v>
      </c>
      <c r="G663" s="1">
        <v>45688</v>
      </c>
      <c r="H663" t="s">
        <v>23</v>
      </c>
      <c r="I663" t="s">
        <v>18</v>
      </c>
      <c r="J663">
        <v>4</v>
      </c>
      <c r="K663" t="s">
        <v>19</v>
      </c>
      <c r="L663" t="s">
        <v>33</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x14ac:dyDescent="0.3">
      <c r="A664" t="s">
        <v>756</v>
      </c>
      <c r="B664" t="s">
        <v>26</v>
      </c>
      <c r="C664">
        <v>5</v>
      </c>
      <c r="D664">
        <v>94.4</v>
      </c>
      <c r="E664">
        <v>472</v>
      </c>
      <c r="F664" s="1">
        <v>45686</v>
      </c>
      <c r="G664" s="1">
        <v>45687</v>
      </c>
      <c r="H664" t="s">
        <v>27</v>
      </c>
      <c r="I664" t="s">
        <v>18</v>
      </c>
      <c r="J664">
        <v>4</v>
      </c>
      <c r="K664" t="s">
        <v>19</v>
      </c>
      <c r="L664" t="s">
        <v>33</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x14ac:dyDescent="0.3">
      <c r="A665" t="s">
        <v>757</v>
      </c>
      <c r="B665" t="s">
        <v>16</v>
      </c>
      <c r="C665">
        <v>6</v>
      </c>
      <c r="D665">
        <v>23.7</v>
      </c>
      <c r="E665">
        <v>142.19999999999999</v>
      </c>
      <c r="F665" s="1">
        <v>45686</v>
      </c>
      <c r="G665" s="1">
        <v>45688</v>
      </c>
      <c r="H665" t="s">
        <v>23</v>
      </c>
      <c r="I665" t="s">
        <v>40</v>
      </c>
      <c r="J665">
        <v>5</v>
      </c>
      <c r="K665" t="s">
        <v>19</v>
      </c>
      <c r="L665" t="s">
        <v>33</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x14ac:dyDescent="0.3">
      <c r="A666" t="s">
        <v>758</v>
      </c>
      <c r="B666" t="s">
        <v>46</v>
      </c>
      <c r="C666">
        <v>12</v>
      </c>
      <c r="D666">
        <v>37.4</v>
      </c>
      <c r="E666">
        <v>448.79999999999995</v>
      </c>
      <c r="F666" s="1">
        <v>45686</v>
      </c>
      <c r="G666" s="1">
        <v>45688</v>
      </c>
      <c r="H666" t="s">
        <v>23</v>
      </c>
      <c r="I666" t="s">
        <v>40</v>
      </c>
      <c r="J666">
        <v>4</v>
      </c>
      <c r="K666" t="s">
        <v>19</v>
      </c>
      <c r="L666" t="s">
        <v>33</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x14ac:dyDescent="0.3">
      <c r="A667" t="s">
        <v>759</v>
      </c>
      <c r="B667" t="s">
        <v>22</v>
      </c>
      <c r="C667">
        <v>36</v>
      </c>
      <c r="D667">
        <v>55.2</v>
      </c>
      <c r="E667">
        <v>1987.2</v>
      </c>
      <c r="F667" s="1">
        <v>45686</v>
      </c>
      <c r="G667" s="1">
        <v>45686</v>
      </c>
      <c r="H667" t="s">
        <v>27</v>
      </c>
      <c r="I667" t="s">
        <v>51</v>
      </c>
      <c r="J667">
        <v>3</v>
      </c>
      <c r="K667" t="s">
        <v>19</v>
      </c>
      <c r="L667" t="s">
        <v>33</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x14ac:dyDescent="0.3">
      <c r="A668" t="s">
        <v>760</v>
      </c>
      <c r="B668" t="s">
        <v>26</v>
      </c>
      <c r="C668">
        <v>9</v>
      </c>
      <c r="D668">
        <v>57.1</v>
      </c>
      <c r="E668">
        <v>513.9</v>
      </c>
      <c r="F668" s="1">
        <v>45686</v>
      </c>
      <c r="G668" s="1">
        <v>45688</v>
      </c>
      <c r="H668" t="s">
        <v>23</v>
      </c>
      <c r="I668" t="s">
        <v>18</v>
      </c>
      <c r="J668">
        <v>5</v>
      </c>
      <c r="K668" t="s">
        <v>19</v>
      </c>
      <c r="L668" t="s">
        <v>33</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x14ac:dyDescent="0.3">
      <c r="A669" t="s">
        <v>761</v>
      </c>
      <c r="B669" t="s">
        <v>69</v>
      </c>
      <c r="C669">
        <v>1</v>
      </c>
      <c r="D669">
        <v>55.3</v>
      </c>
      <c r="E669">
        <v>55.3</v>
      </c>
      <c r="F669" s="1">
        <v>45686</v>
      </c>
      <c r="G669" s="1">
        <v>45687</v>
      </c>
      <c r="H669" t="s">
        <v>27</v>
      </c>
      <c r="I669" t="s">
        <v>40</v>
      </c>
      <c r="J669">
        <v>5</v>
      </c>
      <c r="K669" t="s">
        <v>19</v>
      </c>
      <c r="L669" t="s">
        <v>33</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x14ac:dyDescent="0.3">
      <c r="A670" t="s">
        <v>762</v>
      </c>
      <c r="B670" t="s">
        <v>123</v>
      </c>
      <c r="C670">
        <v>7</v>
      </c>
      <c r="D670">
        <v>23.9</v>
      </c>
      <c r="E670">
        <v>167.29999999999998</v>
      </c>
      <c r="F670" s="1">
        <v>45686</v>
      </c>
      <c r="G670" s="1">
        <v>45687</v>
      </c>
      <c r="H670" t="s">
        <v>27</v>
      </c>
      <c r="I670" t="s">
        <v>70</v>
      </c>
      <c r="J670">
        <v>3</v>
      </c>
      <c r="K670" t="s">
        <v>19</v>
      </c>
      <c r="L670" t="s">
        <v>33</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x14ac:dyDescent="0.3">
      <c r="A671" t="s">
        <v>763</v>
      </c>
      <c r="B671" t="s">
        <v>16</v>
      </c>
      <c r="C671">
        <v>1</v>
      </c>
      <c r="D671">
        <v>34.1</v>
      </c>
      <c r="E671">
        <v>34.1</v>
      </c>
      <c r="F671" s="1">
        <v>45686</v>
      </c>
      <c r="G671" s="1">
        <v>45693</v>
      </c>
      <c r="H671" t="s">
        <v>27</v>
      </c>
      <c r="I671" t="s">
        <v>40</v>
      </c>
      <c r="J671">
        <v>4</v>
      </c>
      <c r="K671" t="s">
        <v>19</v>
      </c>
      <c r="L671" t="s">
        <v>33</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x14ac:dyDescent="0.3">
      <c r="A672" t="s">
        <v>764</v>
      </c>
      <c r="B672" t="s">
        <v>69</v>
      </c>
      <c r="C672">
        <v>4</v>
      </c>
      <c r="D672">
        <v>38.5</v>
      </c>
      <c r="E672">
        <v>154</v>
      </c>
      <c r="F672" s="1">
        <v>45686</v>
      </c>
      <c r="G672" s="1">
        <v>45697</v>
      </c>
      <c r="H672" t="s">
        <v>27</v>
      </c>
      <c r="I672" t="s">
        <v>18</v>
      </c>
      <c r="J672">
        <v>4</v>
      </c>
      <c r="K672" t="s">
        <v>19</v>
      </c>
      <c r="L672" t="s">
        <v>33</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x14ac:dyDescent="0.3">
      <c r="A673" t="s">
        <v>765</v>
      </c>
      <c r="B673" t="s">
        <v>42</v>
      </c>
      <c r="C673">
        <v>2</v>
      </c>
      <c r="D673">
        <v>105</v>
      </c>
      <c r="E673">
        <v>210</v>
      </c>
      <c r="F673" s="1">
        <v>45686</v>
      </c>
      <c r="G673" s="1">
        <v>45692</v>
      </c>
      <c r="H673" t="s">
        <v>27</v>
      </c>
      <c r="I673" t="s">
        <v>18</v>
      </c>
      <c r="J673">
        <v>5</v>
      </c>
      <c r="K673" t="s">
        <v>19</v>
      </c>
      <c r="L673" t="s">
        <v>33</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x14ac:dyDescent="0.3">
      <c r="A674" t="s">
        <v>766</v>
      </c>
      <c r="B674" t="s">
        <v>44</v>
      </c>
      <c r="C674">
        <v>5</v>
      </c>
      <c r="D674">
        <v>45.2</v>
      </c>
      <c r="E674">
        <v>226</v>
      </c>
      <c r="F674" s="1">
        <v>45686</v>
      </c>
      <c r="G674" s="1">
        <v>45688</v>
      </c>
      <c r="H674" t="s">
        <v>27</v>
      </c>
      <c r="I674" t="s">
        <v>18</v>
      </c>
      <c r="J674">
        <v>5</v>
      </c>
      <c r="K674" t="s">
        <v>19</v>
      </c>
      <c r="L674" t="s">
        <v>33</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x14ac:dyDescent="0.3">
      <c r="A675" t="s">
        <v>767</v>
      </c>
      <c r="B675" t="s">
        <v>135</v>
      </c>
      <c r="C675">
        <v>3</v>
      </c>
      <c r="D675">
        <v>24.8</v>
      </c>
      <c r="E675">
        <v>74.400000000000006</v>
      </c>
      <c r="F675" s="1">
        <v>45686</v>
      </c>
      <c r="G675" s="1">
        <v>45686</v>
      </c>
      <c r="H675" t="s">
        <v>17</v>
      </c>
      <c r="I675" t="s">
        <v>18</v>
      </c>
      <c r="J675">
        <v>3</v>
      </c>
      <c r="K675" t="s">
        <v>19</v>
      </c>
      <c r="L675" t="s">
        <v>33</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x14ac:dyDescent="0.3">
      <c r="A676" t="s">
        <v>768</v>
      </c>
      <c r="B676" t="s">
        <v>67</v>
      </c>
      <c r="C676">
        <v>4</v>
      </c>
      <c r="D676">
        <v>43.8</v>
      </c>
      <c r="E676">
        <v>175.2</v>
      </c>
      <c r="F676" s="1">
        <v>45686</v>
      </c>
      <c r="G676" s="1">
        <v>45693</v>
      </c>
      <c r="H676" t="s">
        <v>27</v>
      </c>
      <c r="I676" t="s">
        <v>35</v>
      </c>
      <c r="J676">
        <v>5</v>
      </c>
      <c r="K676" t="s">
        <v>19</v>
      </c>
      <c r="L676" t="s">
        <v>55</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x14ac:dyDescent="0.3">
      <c r="A677" t="s">
        <v>769</v>
      </c>
      <c r="B677" t="s">
        <v>22</v>
      </c>
      <c r="C677">
        <v>1</v>
      </c>
      <c r="D677">
        <v>75</v>
      </c>
      <c r="E677">
        <v>75</v>
      </c>
      <c r="F677" s="1">
        <v>45686</v>
      </c>
      <c r="G677" s="1">
        <v>45688</v>
      </c>
      <c r="H677" t="s">
        <v>27</v>
      </c>
      <c r="I677" t="s">
        <v>70</v>
      </c>
      <c r="J677">
        <v>3</v>
      </c>
      <c r="K677" t="s">
        <v>19</v>
      </c>
      <c r="L677" t="s">
        <v>55</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x14ac:dyDescent="0.3">
      <c r="A678" t="s">
        <v>770</v>
      </c>
      <c r="B678" t="s">
        <v>26</v>
      </c>
      <c r="C678">
        <v>1</v>
      </c>
      <c r="D678">
        <v>169.9</v>
      </c>
      <c r="E678">
        <v>169.9</v>
      </c>
      <c r="F678" s="1">
        <v>45686</v>
      </c>
      <c r="G678" s="1">
        <v>45687</v>
      </c>
      <c r="H678" t="s">
        <v>23</v>
      </c>
      <c r="I678" t="s">
        <v>40</v>
      </c>
      <c r="J678">
        <v>4</v>
      </c>
      <c r="K678" t="s">
        <v>19</v>
      </c>
      <c r="L678" t="s">
        <v>55</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x14ac:dyDescent="0.3">
      <c r="A679" t="s">
        <v>771</v>
      </c>
      <c r="B679" t="s">
        <v>46</v>
      </c>
      <c r="C679">
        <v>2</v>
      </c>
      <c r="D679">
        <v>72.2</v>
      </c>
      <c r="E679">
        <v>144.4</v>
      </c>
      <c r="F679" s="1">
        <v>45686</v>
      </c>
      <c r="G679" s="1">
        <v>45688</v>
      </c>
      <c r="H679" t="s">
        <v>27</v>
      </c>
      <c r="I679" t="s">
        <v>70</v>
      </c>
      <c r="J679">
        <v>3</v>
      </c>
      <c r="K679" t="s">
        <v>19</v>
      </c>
      <c r="L679" t="s">
        <v>55</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x14ac:dyDescent="0.3">
      <c r="A680" t="s">
        <v>772</v>
      </c>
      <c r="B680" t="s">
        <v>16</v>
      </c>
      <c r="C680">
        <v>1</v>
      </c>
      <c r="D680">
        <v>20</v>
      </c>
      <c r="E680">
        <v>20</v>
      </c>
      <c r="F680" s="1">
        <v>45687</v>
      </c>
      <c r="G680" s="1">
        <v>45690</v>
      </c>
      <c r="H680" t="s">
        <v>27</v>
      </c>
      <c r="I680" t="s">
        <v>40</v>
      </c>
      <c r="J680">
        <v>3</v>
      </c>
      <c r="K680" t="s">
        <v>19</v>
      </c>
      <c r="L680" t="s">
        <v>59</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x14ac:dyDescent="0.3">
      <c r="A681" t="s">
        <v>773</v>
      </c>
      <c r="B681" t="s">
        <v>46</v>
      </c>
      <c r="C681">
        <v>2</v>
      </c>
      <c r="D681">
        <v>40.799999999999997</v>
      </c>
      <c r="E681">
        <v>81.599999999999994</v>
      </c>
      <c r="F681" s="1">
        <v>45687</v>
      </c>
      <c r="G681" s="1">
        <v>45689</v>
      </c>
      <c r="H681" t="s">
        <v>27</v>
      </c>
      <c r="I681" t="s">
        <v>51</v>
      </c>
      <c r="J681">
        <v>5</v>
      </c>
      <c r="K681" t="s">
        <v>19</v>
      </c>
      <c r="L681" t="s">
        <v>62</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x14ac:dyDescent="0.3">
      <c r="A682" t="s">
        <v>774</v>
      </c>
      <c r="B682" t="s">
        <v>54</v>
      </c>
      <c r="C682">
        <v>4</v>
      </c>
      <c r="D682">
        <v>58</v>
      </c>
      <c r="E682">
        <v>232</v>
      </c>
      <c r="F682" s="1">
        <v>45687</v>
      </c>
      <c r="G682" s="1">
        <v>45691</v>
      </c>
      <c r="H682" t="s">
        <v>27</v>
      </c>
      <c r="I682" t="s">
        <v>18</v>
      </c>
      <c r="J682">
        <v>4</v>
      </c>
      <c r="K682" t="s">
        <v>19</v>
      </c>
      <c r="L682" t="s">
        <v>62</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x14ac:dyDescent="0.3">
      <c r="A683" t="s">
        <v>775</v>
      </c>
      <c r="B683" t="s">
        <v>69</v>
      </c>
      <c r="C683">
        <v>2</v>
      </c>
      <c r="D683">
        <v>43.1</v>
      </c>
      <c r="E683">
        <v>86.2</v>
      </c>
      <c r="F683" s="1">
        <v>45687</v>
      </c>
      <c r="G683" s="1">
        <v>45688</v>
      </c>
      <c r="H683" t="s">
        <v>27</v>
      </c>
      <c r="I683" t="s">
        <v>35</v>
      </c>
      <c r="J683">
        <v>5</v>
      </c>
      <c r="K683" t="s">
        <v>19</v>
      </c>
      <c r="L683" t="s">
        <v>62</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x14ac:dyDescent="0.3">
      <c r="A684" t="s">
        <v>776</v>
      </c>
      <c r="B684" t="s">
        <v>39</v>
      </c>
      <c r="C684">
        <v>9</v>
      </c>
      <c r="D684">
        <v>74.7</v>
      </c>
      <c r="E684">
        <v>672.30000000000007</v>
      </c>
      <c r="F684" s="1">
        <v>45687</v>
      </c>
      <c r="G684" s="1">
        <v>45689</v>
      </c>
      <c r="H684" t="s">
        <v>23</v>
      </c>
      <c r="I684" t="s">
        <v>18</v>
      </c>
      <c r="J684">
        <v>5</v>
      </c>
      <c r="K684" t="s">
        <v>19</v>
      </c>
      <c r="L684" t="s">
        <v>62</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x14ac:dyDescent="0.3">
      <c r="A685" t="s">
        <v>777</v>
      </c>
      <c r="B685" t="s">
        <v>39</v>
      </c>
      <c r="C685">
        <v>1</v>
      </c>
      <c r="D685">
        <v>128.19999999999999</v>
      </c>
      <c r="E685">
        <v>128.19999999999999</v>
      </c>
      <c r="F685" s="1">
        <v>45687</v>
      </c>
      <c r="G685" s="1">
        <v>45687</v>
      </c>
      <c r="H685" t="s">
        <v>23</v>
      </c>
      <c r="I685" t="s">
        <v>35</v>
      </c>
      <c r="J685">
        <v>4</v>
      </c>
      <c r="K685" t="s">
        <v>19</v>
      </c>
      <c r="L685" t="s">
        <v>62</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x14ac:dyDescent="0.3">
      <c r="A686" t="s">
        <v>778</v>
      </c>
      <c r="B686" t="s">
        <v>81</v>
      </c>
      <c r="C686">
        <v>4</v>
      </c>
      <c r="D686">
        <v>26.7</v>
      </c>
      <c r="E686">
        <v>106.8</v>
      </c>
      <c r="F686" s="1">
        <v>45687</v>
      </c>
      <c r="G686" s="1">
        <v>45688</v>
      </c>
      <c r="H686" t="s">
        <v>23</v>
      </c>
      <c r="I686" t="s">
        <v>35</v>
      </c>
      <c r="J686">
        <v>4</v>
      </c>
      <c r="K686" t="s">
        <v>19</v>
      </c>
      <c r="L686" t="s">
        <v>62</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x14ac:dyDescent="0.3">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x14ac:dyDescent="0.3">
      <c r="A688" t="s">
        <v>780</v>
      </c>
      <c r="B688" t="s">
        <v>30</v>
      </c>
      <c r="C688">
        <v>7</v>
      </c>
      <c r="D688">
        <v>64.7</v>
      </c>
      <c r="E688">
        <v>452.90000000000003</v>
      </c>
      <c r="F688" s="1">
        <v>45687</v>
      </c>
      <c r="G688" s="1">
        <v>45688</v>
      </c>
      <c r="H688" t="s">
        <v>27</v>
      </c>
      <c r="I688" t="s">
        <v>18</v>
      </c>
      <c r="J688">
        <v>5</v>
      </c>
      <c r="K688" t="s">
        <v>19</v>
      </c>
      <c r="L688" t="s">
        <v>72</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x14ac:dyDescent="0.3">
      <c r="A689" t="s">
        <v>781</v>
      </c>
      <c r="B689" t="s">
        <v>37</v>
      </c>
      <c r="C689">
        <v>2</v>
      </c>
      <c r="D689">
        <v>55.6</v>
      </c>
      <c r="E689">
        <v>111.2</v>
      </c>
      <c r="F689" s="1">
        <v>45687</v>
      </c>
      <c r="G689" s="1">
        <v>45690</v>
      </c>
      <c r="H689" t="s">
        <v>27</v>
      </c>
      <c r="I689" t="s">
        <v>51</v>
      </c>
      <c r="J689">
        <v>4</v>
      </c>
      <c r="K689" t="s">
        <v>19</v>
      </c>
      <c r="L689" t="s">
        <v>77</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x14ac:dyDescent="0.3">
      <c r="A690" t="s">
        <v>782</v>
      </c>
      <c r="B690" t="s">
        <v>30</v>
      </c>
      <c r="C690">
        <v>2</v>
      </c>
      <c r="D690">
        <v>36.200000000000003</v>
      </c>
      <c r="E690">
        <v>72.400000000000006</v>
      </c>
      <c r="F690" s="1">
        <v>45687</v>
      </c>
      <c r="G690" s="1">
        <v>45688</v>
      </c>
      <c r="H690" t="s">
        <v>27</v>
      </c>
      <c r="I690" t="s">
        <v>51</v>
      </c>
      <c r="J690">
        <v>4</v>
      </c>
      <c r="K690" t="s">
        <v>19</v>
      </c>
      <c r="L690" t="s">
        <v>77</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x14ac:dyDescent="0.3">
      <c r="A691" t="s">
        <v>783</v>
      </c>
      <c r="B691" t="s">
        <v>16</v>
      </c>
      <c r="C691">
        <v>1</v>
      </c>
      <c r="D691">
        <v>26.6</v>
      </c>
      <c r="E691">
        <v>26.6</v>
      </c>
      <c r="F691" s="1">
        <v>45687</v>
      </c>
      <c r="G691" s="1">
        <v>45688</v>
      </c>
      <c r="H691" t="s">
        <v>17</v>
      </c>
      <c r="I691" t="s">
        <v>35</v>
      </c>
      <c r="J691">
        <v>3</v>
      </c>
      <c r="K691" t="s">
        <v>19</v>
      </c>
      <c r="L691" t="s">
        <v>110</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x14ac:dyDescent="0.3">
      <c r="A692" t="s">
        <v>784</v>
      </c>
      <c r="B692" t="s">
        <v>54</v>
      </c>
      <c r="C692">
        <v>4</v>
      </c>
      <c r="D692">
        <v>31.5</v>
      </c>
      <c r="E692">
        <v>126</v>
      </c>
      <c r="F692" s="1">
        <v>45687</v>
      </c>
      <c r="G692" s="1">
        <v>45689</v>
      </c>
      <c r="H692" t="s">
        <v>23</v>
      </c>
      <c r="I692" t="s">
        <v>18</v>
      </c>
      <c r="J692">
        <v>4</v>
      </c>
      <c r="K692" t="s">
        <v>19</v>
      </c>
      <c r="L692" t="s">
        <v>292</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x14ac:dyDescent="0.3">
      <c r="A693" t="s">
        <v>785</v>
      </c>
      <c r="B693" t="s">
        <v>54</v>
      </c>
      <c r="C693">
        <v>1</v>
      </c>
      <c r="D693">
        <v>27</v>
      </c>
      <c r="E693">
        <v>27</v>
      </c>
      <c r="F693" s="1">
        <v>45687</v>
      </c>
      <c r="G693" s="1">
        <v>45689</v>
      </c>
      <c r="H693" t="s">
        <v>27</v>
      </c>
      <c r="I693" t="s">
        <v>35</v>
      </c>
      <c r="J693">
        <v>5</v>
      </c>
      <c r="K693" t="s">
        <v>19</v>
      </c>
      <c r="L693" t="s">
        <v>82</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x14ac:dyDescent="0.3">
      <c r="A694" t="s">
        <v>786</v>
      </c>
      <c r="B694" t="s">
        <v>32</v>
      </c>
      <c r="C694">
        <v>1</v>
      </c>
      <c r="D694">
        <v>32</v>
      </c>
      <c r="E694">
        <v>32</v>
      </c>
      <c r="F694" s="1">
        <v>45687</v>
      </c>
      <c r="G694" s="1">
        <v>45690</v>
      </c>
      <c r="H694" t="s">
        <v>23</v>
      </c>
      <c r="I694" t="s">
        <v>51</v>
      </c>
      <c r="J694">
        <v>4</v>
      </c>
      <c r="K694" t="s">
        <v>19</v>
      </c>
      <c r="L694" t="s">
        <v>115</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x14ac:dyDescent="0.3">
      <c r="A695" t="s">
        <v>787</v>
      </c>
      <c r="B695" t="s">
        <v>22</v>
      </c>
      <c r="C695">
        <v>3</v>
      </c>
      <c r="D695">
        <v>48.1</v>
      </c>
      <c r="E695">
        <v>144.30000000000001</v>
      </c>
      <c r="F695" s="1">
        <v>45687</v>
      </c>
      <c r="G695" s="1">
        <v>45689</v>
      </c>
      <c r="H695" t="s">
        <v>23</v>
      </c>
      <c r="I695" t="s">
        <v>40</v>
      </c>
      <c r="J695">
        <v>3</v>
      </c>
      <c r="K695" t="s">
        <v>19</v>
      </c>
      <c r="L695" t="s">
        <v>24</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x14ac:dyDescent="0.3">
      <c r="A696" t="s">
        <v>788</v>
      </c>
      <c r="B696" t="s">
        <v>46</v>
      </c>
      <c r="C696">
        <v>2</v>
      </c>
      <c r="D696">
        <v>43.4</v>
      </c>
      <c r="E696">
        <v>86.8</v>
      </c>
      <c r="F696" s="1">
        <v>45687</v>
      </c>
      <c r="G696" s="1">
        <v>45688</v>
      </c>
      <c r="H696" t="s">
        <v>23</v>
      </c>
      <c r="I696" t="s">
        <v>35</v>
      </c>
      <c r="J696">
        <v>3</v>
      </c>
      <c r="K696" t="s">
        <v>19</v>
      </c>
      <c r="L696" t="s">
        <v>147</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x14ac:dyDescent="0.3">
      <c r="A697" t="s">
        <v>789</v>
      </c>
      <c r="B697" t="s">
        <v>39</v>
      </c>
      <c r="C697">
        <v>2</v>
      </c>
      <c r="D697">
        <v>42.6</v>
      </c>
      <c r="E697">
        <v>85.2</v>
      </c>
      <c r="F697" s="1">
        <v>45687</v>
      </c>
      <c r="G697" s="1">
        <v>45690</v>
      </c>
      <c r="H697" t="s">
        <v>27</v>
      </c>
      <c r="I697" t="s">
        <v>51</v>
      </c>
      <c r="J697">
        <v>4</v>
      </c>
      <c r="K697" t="s">
        <v>19</v>
      </c>
      <c r="L697" t="s">
        <v>147</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x14ac:dyDescent="0.3">
      <c r="A698" t="s">
        <v>790</v>
      </c>
      <c r="B698" t="s">
        <v>44</v>
      </c>
      <c r="C698">
        <v>2</v>
      </c>
      <c r="D698">
        <v>15.9</v>
      </c>
      <c r="E698">
        <v>31.8</v>
      </c>
      <c r="F698" s="1">
        <v>45687</v>
      </c>
      <c r="G698" s="1">
        <v>45688</v>
      </c>
      <c r="H698" t="s">
        <v>27</v>
      </c>
      <c r="I698" t="s">
        <v>18</v>
      </c>
      <c r="J698">
        <v>4</v>
      </c>
      <c r="K698" t="s">
        <v>19</v>
      </c>
      <c r="L698" t="s">
        <v>334</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x14ac:dyDescent="0.3">
      <c r="A699" t="s">
        <v>791</v>
      </c>
      <c r="B699" t="s">
        <v>46</v>
      </c>
      <c r="C699">
        <v>2</v>
      </c>
      <c r="D699">
        <v>63.2</v>
      </c>
      <c r="E699">
        <v>126.4</v>
      </c>
      <c r="F699" s="1">
        <v>45687</v>
      </c>
      <c r="G699" s="1">
        <v>45688</v>
      </c>
      <c r="H699" t="s">
        <v>23</v>
      </c>
      <c r="I699" t="s">
        <v>35</v>
      </c>
      <c r="J699">
        <v>4</v>
      </c>
      <c r="K699" t="s">
        <v>19</v>
      </c>
      <c r="L699" t="s">
        <v>33</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x14ac:dyDescent="0.3">
      <c r="A700" t="s">
        <v>792</v>
      </c>
      <c r="B700" t="s">
        <v>42</v>
      </c>
      <c r="C700">
        <v>4</v>
      </c>
      <c r="D700">
        <v>64.8</v>
      </c>
      <c r="E700">
        <v>259.2</v>
      </c>
      <c r="F700" s="1">
        <v>45687</v>
      </c>
      <c r="G700" s="1">
        <v>45689</v>
      </c>
      <c r="H700" t="s">
        <v>17</v>
      </c>
      <c r="I700" t="s">
        <v>70</v>
      </c>
      <c r="J700">
        <v>3</v>
      </c>
      <c r="K700" t="s">
        <v>19</v>
      </c>
      <c r="L700" t="s">
        <v>33</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x14ac:dyDescent="0.3">
      <c r="A701" t="s">
        <v>793</v>
      </c>
      <c r="B701" t="s">
        <v>42</v>
      </c>
      <c r="C701">
        <v>3</v>
      </c>
      <c r="D701">
        <v>79.8</v>
      </c>
      <c r="E701">
        <v>239.39999999999998</v>
      </c>
      <c r="F701" s="1">
        <v>45687</v>
      </c>
      <c r="G701" s="1">
        <v>45688</v>
      </c>
      <c r="H701" t="s">
        <v>23</v>
      </c>
      <c r="I701" t="s">
        <v>18</v>
      </c>
      <c r="J701">
        <v>4</v>
      </c>
      <c r="K701" t="s">
        <v>19</v>
      </c>
      <c r="L701" t="s">
        <v>33</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x14ac:dyDescent="0.3">
      <c r="A702" t="s">
        <v>794</v>
      </c>
      <c r="B702" t="s">
        <v>46</v>
      </c>
      <c r="C702">
        <v>1</v>
      </c>
      <c r="D702">
        <v>54.4</v>
      </c>
      <c r="E702">
        <v>54.4</v>
      </c>
      <c r="F702" s="1">
        <v>45687</v>
      </c>
      <c r="G702" s="1">
        <v>45689</v>
      </c>
      <c r="H702" t="s">
        <v>27</v>
      </c>
      <c r="I702" t="s">
        <v>70</v>
      </c>
      <c r="J702">
        <v>5</v>
      </c>
      <c r="K702" t="s">
        <v>19</v>
      </c>
      <c r="L702" t="s">
        <v>33</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x14ac:dyDescent="0.3">
      <c r="A703" t="s">
        <v>795</v>
      </c>
      <c r="B703" t="s">
        <v>39</v>
      </c>
      <c r="C703">
        <v>1</v>
      </c>
      <c r="D703">
        <v>87.3</v>
      </c>
      <c r="E703">
        <v>87.3</v>
      </c>
      <c r="F703" s="1">
        <v>45687</v>
      </c>
      <c r="G703" s="1">
        <v>45688</v>
      </c>
      <c r="H703" t="s">
        <v>23</v>
      </c>
      <c r="I703" t="s">
        <v>35</v>
      </c>
      <c r="J703">
        <v>4</v>
      </c>
      <c r="K703" t="s">
        <v>19</v>
      </c>
      <c r="L703" t="s">
        <v>33</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x14ac:dyDescent="0.3">
      <c r="A704" t="s">
        <v>796</v>
      </c>
      <c r="B704" t="s">
        <v>44</v>
      </c>
      <c r="C704">
        <v>4</v>
      </c>
      <c r="D704">
        <v>32.4</v>
      </c>
      <c r="E704">
        <v>129.6</v>
      </c>
      <c r="F704" s="1">
        <v>45687</v>
      </c>
      <c r="G704" s="1">
        <v>45687</v>
      </c>
      <c r="H704" t="s">
        <v>23</v>
      </c>
      <c r="I704" t="s">
        <v>35</v>
      </c>
      <c r="J704">
        <v>4</v>
      </c>
      <c r="K704" t="s">
        <v>19</v>
      </c>
      <c r="L704" t="s">
        <v>33</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x14ac:dyDescent="0.3">
      <c r="A705" t="s">
        <v>797</v>
      </c>
      <c r="B705" t="s">
        <v>26</v>
      </c>
      <c r="C705">
        <v>1</v>
      </c>
      <c r="D705">
        <v>177.4</v>
      </c>
      <c r="E705">
        <v>177.4</v>
      </c>
      <c r="F705" s="1">
        <v>45687</v>
      </c>
      <c r="G705" s="1">
        <v>45691</v>
      </c>
      <c r="H705" t="s">
        <v>23</v>
      </c>
      <c r="I705" t="s">
        <v>18</v>
      </c>
      <c r="J705">
        <v>5</v>
      </c>
      <c r="K705" t="s">
        <v>19</v>
      </c>
      <c r="L705" t="s">
        <v>33</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x14ac:dyDescent="0.3">
      <c r="A706" t="s">
        <v>798</v>
      </c>
      <c r="B706" t="s">
        <v>42</v>
      </c>
      <c r="C706">
        <v>2</v>
      </c>
      <c r="D706">
        <v>70.099999999999994</v>
      </c>
      <c r="E706">
        <v>140.19999999999999</v>
      </c>
      <c r="F706" s="1">
        <v>45687</v>
      </c>
      <c r="G706" s="1">
        <v>45688</v>
      </c>
      <c r="H706" t="s">
        <v>23</v>
      </c>
      <c r="I706" t="s">
        <v>51</v>
      </c>
      <c r="J706">
        <v>3</v>
      </c>
      <c r="K706" t="s">
        <v>19</v>
      </c>
      <c r="L706" t="s">
        <v>33</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x14ac:dyDescent="0.3">
      <c r="A707" t="s">
        <v>799</v>
      </c>
      <c r="B707" t="s">
        <v>46</v>
      </c>
      <c r="C707">
        <v>6</v>
      </c>
      <c r="D707">
        <v>51.1</v>
      </c>
      <c r="E707">
        <v>306.60000000000002</v>
      </c>
      <c r="F707" s="1">
        <v>45687</v>
      </c>
      <c r="G707" s="1">
        <v>45688</v>
      </c>
      <c r="H707" t="s">
        <v>27</v>
      </c>
      <c r="I707" t="s">
        <v>18</v>
      </c>
      <c r="J707">
        <v>4</v>
      </c>
      <c r="K707" t="s">
        <v>19</v>
      </c>
      <c r="L707" t="s">
        <v>33</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x14ac:dyDescent="0.3">
      <c r="A708" t="s">
        <v>800</v>
      </c>
      <c r="B708" t="s">
        <v>26</v>
      </c>
      <c r="C708">
        <v>5</v>
      </c>
      <c r="D708">
        <v>79.900000000000006</v>
      </c>
      <c r="E708">
        <v>399.5</v>
      </c>
      <c r="F708" s="1">
        <v>45687</v>
      </c>
      <c r="G708" s="1">
        <v>45689</v>
      </c>
      <c r="H708" t="s">
        <v>23</v>
      </c>
      <c r="I708" t="s">
        <v>51</v>
      </c>
      <c r="J708">
        <v>5</v>
      </c>
      <c r="K708" t="s">
        <v>19</v>
      </c>
      <c r="L708" t="s">
        <v>186</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x14ac:dyDescent="0.3">
      <c r="A709" t="s">
        <v>801</v>
      </c>
      <c r="B709" t="s">
        <v>39</v>
      </c>
      <c r="C709">
        <v>1</v>
      </c>
      <c r="D709">
        <v>57.6</v>
      </c>
      <c r="E709">
        <v>57.6</v>
      </c>
      <c r="F709" s="1">
        <v>45688</v>
      </c>
      <c r="G709" s="1">
        <v>45693</v>
      </c>
      <c r="H709" t="s">
        <v>23</v>
      </c>
      <c r="I709" t="s">
        <v>18</v>
      </c>
      <c r="J709">
        <v>5</v>
      </c>
      <c r="K709" t="s">
        <v>19</v>
      </c>
      <c r="L709" t="s">
        <v>802</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x14ac:dyDescent="0.3">
      <c r="A710" t="s">
        <v>803</v>
      </c>
      <c r="B710" t="s">
        <v>44</v>
      </c>
      <c r="C710">
        <v>10</v>
      </c>
      <c r="D710">
        <v>59.7</v>
      </c>
      <c r="E710">
        <v>597</v>
      </c>
      <c r="F710" s="1">
        <v>45688</v>
      </c>
      <c r="G710" s="1">
        <v>45692</v>
      </c>
      <c r="H710" t="s">
        <v>23</v>
      </c>
      <c r="I710" t="s">
        <v>40</v>
      </c>
      <c r="J710">
        <v>4</v>
      </c>
      <c r="K710" t="s">
        <v>19</v>
      </c>
      <c r="L710" t="s">
        <v>188</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x14ac:dyDescent="0.3">
      <c r="A711" t="s">
        <v>804</v>
      </c>
      <c r="B711" t="s">
        <v>44</v>
      </c>
      <c r="C711">
        <v>5</v>
      </c>
      <c r="D711">
        <v>30</v>
      </c>
      <c r="E711">
        <v>150</v>
      </c>
      <c r="F711" s="1">
        <v>45688</v>
      </c>
      <c r="G711" s="1">
        <v>45690</v>
      </c>
      <c r="H711" t="s">
        <v>23</v>
      </c>
      <c r="I711" t="s">
        <v>35</v>
      </c>
      <c r="J711">
        <v>4</v>
      </c>
      <c r="K711" t="s">
        <v>19</v>
      </c>
      <c r="L711" t="s">
        <v>55</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x14ac:dyDescent="0.3">
      <c r="A712" t="s">
        <v>805</v>
      </c>
      <c r="B712" t="s">
        <v>54</v>
      </c>
      <c r="C712">
        <v>2</v>
      </c>
      <c r="D712">
        <v>69.2</v>
      </c>
      <c r="E712">
        <v>138.4</v>
      </c>
      <c r="F712" s="1">
        <v>45688</v>
      </c>
      <c r="G712" s="1">
        <v>45690</v>
      </c>
      <c r="H712" t="s">
        <v>17</v>
      </c>
      <c r="I712" t="s">
        <v>40</v>
      </c>
      <c r="J712">
        <v>3</v>
      </c>
      <c r="K712" t="s">
        <v>19</v>
      </c>
      <c r="L712" t="s">
        <v>55</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x14ac:dyDescent="0.3">
      <c r="A713" t="s">
        <v>806</v>
      </c>
      <c r="B713" t="s">
        <v>16</v>
      </c>
      <c r="C713">
        <v>8</v>
      </c>
      <c r="D713">
        <v>10.9</v>
      </c>
      <c r="E713">
        <v>87.2</v>
      </c>
      <c r="F713" s="1">
        <v>45688</v>
      </c>
      <c r="G713" s="1">
        <v>45689</v>
      </c>
      <c r="H713" t="s">
        <v>27</v>
      </c>
      <c r="I713" t="s">
        <v>18</v>
      </c>
      <c r="J713">
        <v>5</v>
      </c>
      <c r="K713" t="s">
        <v>19</v>
      </c>
      <c r="L713" t="s">
        <v>55</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x14ac:dyDescent="0.3">
      <c r="A714" t="s">
        <v>807</v>
      </c>
      <c r="B714" t="s">
        <v>128</v>
      </c>
      <c r="C714">
        <v>2</v>
      </c>
      <c r="D714">
        <v>48.6</v>
      </c>
      <c r="E714">
        <v>97.2</v>
      </c>
      <c r="F714" s="1">
        <v>45688</v>
      </c>
      <c r="G714" s="1">
        <v>45692</v>
      </c>
      <c r="H714" t="s">
        <v>23</v>
      </c>
      <c r="I714" t="s">
        <v>35</v>
      </c>
      <c r="J714">
        <v>5</v>
      </c>
      <c r="K714" t="s">
        <v>19</v>
      </c>
      <c r="L714" t="s">
        <v>55</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x14ac:dyDescent="0.3">
      <c r="A715" t="s">
        <v>808</v>
      </c>
      <c r="B715" t="s">
        <v>26</v>
      </c>
      <c r="C715">
        <v>2</v>
      </c>
      <c r="D715">
        <v>61.1</v>
      </c>
      <c r="E715">
        <v>122.2</v>
      </c>
      <c r="F715" s="1">
        <v>45688</v>
      </c>
      <c r="G715" s="1">
        <v>45691</v>
      </c>
      <c r="H715" t="s">
        <v>27</v>
      </c>
      <c r="I715" t="s">
        <v>35</v>
      </c>
      <c r="J715">
        <v>5</v>
      </c>
      <c r="K715" t="s">
        <v>19</v>
      </c>
      <c r="L715" t="s">
        <v>59</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x14ac:dyDescent="0.3">
      <c r="A716" t="s">
        <v>809</v>
      </c>
      <c r="B716" t="s">
        <v>44</v>
      </c>
      <c r="C716">
        <v>2</v>
      </c>
      <c r="D716">
        <v>23.2</v>
      </c>
      <c r="E716">
        <v>46.4</v>
      </c>
      <c r="F716" s="1">
        <v>45688</v>
      </c>
      <c r="G716" s="1">
        <v>45689</v>
      </c>
      <c r="H716" t="s">
        <v>23</v>
      </c>
      <c r="I716" t="s">
        <v>51</v>
      </c>
      <c r="J716">
        <v>5</v>
      </c>
      <c r="K716" t="s">
        <v>19</v>
      </c>
      <c r="L716" t="s">
        <v>62</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x14ac:dyDescent="0.3">
      <c r="A717" t="s">
        <v>810</v>
      </c>
      <c r="B717" t="s">
        <v>69</v>
      </c>
      <c r="C717">
        <v>4</v>
      </c>
      <c r="D717">
        <v>55.8</v>
      </c>
      <c r="E717">
        <v>223.2</v>
      </c>
      <c r="F717" s="1">
        <v>45688</v>
      </c>
      <c r="G717" s="1">
        <v>45689</v>
      </c>
      <c r="H717" t="s">
        <v>23</v>
      </c>
      <c r="I717" t="s">
        <v>18</v>
      </c>
      <c r="J717">
        <v>4</v>
      </c>
      <c r="K717" t="s">
        <v>19</v>
      </c>
      <c r="L717" t="s">
        <v>62</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x14ac:dyDescent="0.3">
      <c r="A718" t="s">
        <v>811</v>
      </c>
      <c r="B718" t="s">
        <v>46</v>
      </c>
      <c r="C718">
        <v>4</v>
      </c>
      <c r="D718">
        <v>24.8</v>
      </c>
      <c r="E718">
        <v>99.2</v>
      </c>
      <c r="F718" s="1">
        <v>45688</v>
      </c>
      <c r="G718" s="1">
        <v>45689</v>
      </c>
      <c r="H718" t="s">
        <v>27</v>
      </c>
      <c r="I718" t="s">
        <v>18</v>
      </c>
      <c r="J718">
        <v>5</v>
      </c>
      <c r="K718" t="s">
        <v>19</v>
      </c>
      <c r="L718" t="s">
        <v>62</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x14ac:dyDescent="0.3">
      <c r="A719" t="s">
        <v>812</v>
      </c>
      <c r="B719" t="s">
        <v>54</v>
      </c>
      <c r="C719">
        <v>2</v>
      </c>
      <c r="D719">
        <v>27.9</v>
      </c>
      <c r="E719">
        <v>55.8</v>
      </c>
      <c r="F719" s="1">
        <v>45688</v>
      </c>
      <c r="G719" s="1">
        <v>45688</v>
      </c>
      <c r="H719" t="s">
        <v>23</v>
      </c>
      <c r="I719" t="s">
        <v>40</v>
      </c>
      <c r="J719">
        <v>5</v>
      </c>
      <c r="K719" t="s">
        <v>19</v>
      </c>
      <c r="L719" t="s">
        <v>62</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x14ac:dyDescent="0.3">
      <c r="A720" t="s">
        <v>813</v>
      </c>
      <c r="B720" t="s">
        <v>54</v>
      </c>
      <c r="C720">
        <v>6</v>
      </c>
      <c r="D720">
        <v>51.1</v>
      </c>
      <c r="E720">
        <v>306.60000000000002</v>
      </c>
      <c r="F720" s="1">
        <v>45688</v>
      </c>
      <c r="G720" s="1">
        <v>45688</v>
      </c>
      <c r="H720" t="s">
        <v>27</v>
      </c>
      <c r="I720" t="s">
        <v>51</v>
      </c>
      <c r="J720">
        <v>4</v>
      </c>
      <c r="K720" t="s">
        <v>19</v>
      </c>
      <c r="L720" t="s">
        <v>62</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x14ac:dyDescent="0.3">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x14ac:dyDescent="0.3">
      <c r="A722" t="s">
        <v>815</v>
      </c>
      <c r="B722" t="s">
        <v>44</v>
      </c>
      <c r="C722">
        <v>4</v>
      </c>
      <c r="D722">
        <v>22.5</v>
      </c>
      <c r="E722">
        <v>90</v>
      </c>
      <c r="F722" s="1">
        <v>45688</v>
      </c>
      <c r="G722" s="1">
        <v>45688</v>
      </c>
      <c r="H722" t="s">
        <v>23</v>
      </c>
      <c r="I722" t="s">
        <v>18</v>
      </c>
      <c r="J722">
        <v>5</v>
      </c>
      <c r="K722" t="s">
        <v>19</v>
      </c>
      <c r="L722" t="s">
        <v>201</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x14ac:dyDescent="0.3">
      <c r="A723" t="s">
        <v>816</v>
      </c>
      <c r="B723" t="s">
        <v>16</v>
      </c>
      <c r="C723">
        <v>7</v>
      </c>
      <c r="D723">
        <v>14.6</v>
      </c>
      <c r="E723">
        <v>102.2</v>
      </c>
      <c r="F723" s="1">
        <v>45688</v>
      </c>
      <c r="G723" s="1">
        <v>45689</v>
      </c>
      <c r="H723" t="s">
        <v>27</v>
      </c>
      <c r="I723" t="s">
        <v>40</v>
      </c>
      <c r="J723">
        <v>4</v>
      </c>
      <c r="K723" t="s">
        <v>19</v>
      </c>
      <c r="L723" t="s">
        <v>429</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x14ac:dyDescent="0.3">
      <c r="A724" t="s">
        <v>817</v>
      </c>
      <c r="B724" t="s">
        <v>37</v>
      </c>
      <c r="C724">
        <v>3</v>
      </c>
      <c r="D724">
        <v>32.5</v>
      </c>
      <c r="E724">
        <v>97.5</v>
      </c>
      <c r="F724" s="1">
        <v>45688</v>
      </c>
      <c r="G724" s="1">
        <v>45691</v>
      </c>
      <c r="H724" t="s">
        <v>23</v>
      </c>
      <c r="I724" t="s">
        <v>18</v>
      </c>
      <c r="J724">
        <v>4</v>
      </c>
      <c r="K724" t="s">
        <v>19</v>
      </c>
      <c r="L724" t="s">
        <v>74</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x14ac:dyDescent="0.3">
      <c r="A725" t="s">
        <v>818</v>
      </c>
      <c r="B725" t="s">
        <v>146</v>
      </c>
      <c r="C725">
        <v>1</v>
      </c>
      <c r="D725">
        <v>78.099999999999994</v>
      </c>
      <c r="E725">
        <v>78.099999999999994</v>
      </c>
      <c r="F725" s="1">
        <v>45688</v>
      </c>
      <c r="G725" s="1">
        <v>45691</v>
      </c>
      <c r="H725" t="s">
        <v>23</v>
      </c>
      <c r="I725" t="s">
        <v>18</v>
      </c>
      <c r="J725">
        <v>5</v>
      </c>
      <c r="K725" t="s">
        <v>19</v>
      </c>
      <c r="L725" t="s">
        <v>77</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x14ac:dyDescent="0.3">
      <c r="A726" t="s">
        <v>819</v>
      </c>
      <c r="B726" t="s">
        <v>69</v>
      </c>
      <c r="C726">
        <v>6</v>
      </c>
      <c r="D726">
        <v>110.2</v>
      </c>
      <c r="E726">
        <v>661.2</v>
      </c>
      <c r="F726" s="1">
        <v>45688</v>
      </c>
      <c r="G726" s="1">
        <v>45688</v>
      </c>
      <c r="H726" t="s">
        <v>23</v>
      </c>
      <c r="I726" t="s">
        <v>35</v>
      </c>
      <c r="J726">
        <v>2</v>
      </c>
      <c r="K726" t="s">
        <v>19</v>
      </c>
      <c r="L726" t="s">
        <v>82</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x14ac:dyDescent="0.3">
      <c r="A727" t="s">
        <v>820</v>
      </c>
      <c r="B727" t="s">
        <v>39</v>
      </c>
      <c r="C727">
        <v>3</v>
      </c>
      <c r="D727">
        <v>86.3</v>
      </c>
      <c r="E727">
        <v>258.89999999999998</v>
      </c>
      <c r="F727" s="1">
        <v>45688</v>
      </c>
      <c r="G727" s="1">
        <v>45690</v>
      </c>
      <c r="H727" t="s">
        <v>27</v>
      </c>
      <c r="I727" t="s">
        <v>51</v>
      </c>
      <c r="J727">
        <v>4</v>
      </c>
      <c r="K727" t="s">
        <v>19</v>
      </c>
      <c r="L727" t="s">
        <v>115</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x14ac:dyDescent="0.3">
      <c r="A728" t="s">
        <v>821</v>
      </c>
      <c r="B728" t="s">
        <v>22</v>
      </c>
      <c r="C728">
        <v>6</v>
      </c>
      <c r="D728">
        <v>73.599999999999994</v>
      </c>
      <c r="E728">
        <v>441.59999999999997</v>
      </c>
      <c r="F728" s="1">
        <v>45688</v>
      </c>
      <c r="G728" s="1">
        <v>45690</v>
      </c>
      <c r="H728" t="s">
        <v>89</v>
      </c>
      <c r="I728" t="s">
        <v>51</v>
      </c>
      <c r="J728">
        <v>2</v>
      </c>
      <c r="K728" t="s">
        <v>19</v>
      </c>
      <c r="L728" t="s">
        <v>587</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x14ac:dyDescent="0.3">
      <c r="A729" t="s">
        <v>822</v>
      </c>
      <c r="B729" t="s">
        <v>39</v>
      </c>
      <c r="C729">
        <v>13</v>
      </c>
      <c r="D729">
        <v>67.7</v>
      </c>
      <c r="E729">
        <v>880.1</v>
      </c>
      <c r="F729" s="1">
        <v>45688</v>
      </c>
      <c r="G729" s="1">
        <v>45690</v>
      </c>
      <c r="H729" t="s">
        <v>27</v>
      </c>
      <c r="I729" t="s">
        <v>18</v>
      </c>
      <c r="J729">
        <v>5</v>
      </c>
      <c r="K729" t="s">
        <v>19</v>
      </c>
      <c r="L729" t="s">
        <v>33</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x14ac:dyDescent="0.3">
      <c r="A730" t="s">
        <v>823</v>
      </c>
      <c r="B730" t="s">
        <v>42</v>
      </c>
      <c r="C730">
        <v>6</v>
      </c>
      <c r="D730">
        <v>142.19999999999999</v>
      </c>
      <c r="E730">
        <v>853.19999999999993</v>
      </c>
      <c r="F730" s="1">
        <v>45688</v>
      </c>
      <c r="G730" s="1">
        <v>45689</v>
      </c>
      <c r="H730" t="s">
        <v>27</v>
      </c>
      <c r="I730" t="s">
        <v>40</v>
      </c>
      <c r="J730">
        <v>2</v>
      </c>
      <c r="K730" t="s">
        <v>19</v>
      </c>
      <c r="L730" t="s">
        <v>33</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x14ac:dyDescent="0.3">
      <c r="A731" t="s">
        <v>824</v>
      </c>
      <c r="B731" t="s">
        <v>22</v>
      </c>
      <c r="C731">
        <v>9</v>
      </c>
      <c r="D731">
        <v>45.8</v>
      </c>
      <c r="E731">
        <v>412.2</v>
      </c>
      <c r="F731" s="1">
        <v>45688</v>
      </c>
      <c r="G731" s="1">
        <v>45690</v>
      </c>
      <c r="H731" t="s">
        <v>27</v>
      </c>
      <c r="I731" t="s">
        <v>35</v>
      </c>
      <c r="J731">
        <v>5</v>
      </c>
      <c r="K731" t="s">
        <v>19</v>
      </c>
      <c r="L731" t="s">
        <v>33</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x14ac:dyDescent="0.3">
      <c r="A732" t="s">
        <v>825</v>
      </c>
      <c r="B732" t="s">
        <v>54</v>
      </c>
      <c r="C732">
        <v>2</v>
      </c>
      <c r="D732">
        <v>24.2</v>
      </c>
      <c r="E732">
        <v>48.4</v>
      </c>
      <c r="F732" s="1">
        <v>45689</v>
      </c>
      <c r="G732" s="1">
        <v>45692</v>
      </c>
      <c r="H732" t="s">
        <v>27</v>
      </c>
      <c r="I732" t="s">
        <v>51</v>
      </c>
      <c r="J732">
        <v>5</v>
      </c>
      <c r="K732" t="s">
        <v>19</v>
      </c>
      <c r="L732" t="s">
        <v>33</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x14ac:dyDescent="0.3">
      <c r="A733" t="s">
        <v>826</v>
      </c>
      <c r="B733" t="s">
        <v>26</v>
      </c>
      <c r="C733">
        <v>3</v>
      </c>
      <c r="D733">
        <v>144.9</v>
      </c>
      <c r="E733">
        <v>434.70000000000005</v>
      </c>
      <c r="F733" s="1">
        <v>45689</v>
      </c>
      <c r="G733" s="1">
        <v>45690</v>
      </c>
      <c r="H733" t="s">
        <v>89</v>
      </c>
      <c r="I733" t="s">
        <v>40</v>
      </c>
      <c r="J733">
        <v>5</v>
      </c>
      <c r="K733" t="s">
        <v>19</v>
      </c>
      <c r="L733" t="s">
        <v>33</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x14ac:dyDescent="0.3">
      <c r="A734" t="s">
        <v>827</v>
      </c>
      <c r="B734" t="s">
        <v>67</v>
      </c>
      <c r="C734">
        <v>5</v>
      </c>
      <c r="D734">
        <v>32.799999999999997</v>
      </c>
      <c r="E734">
        <v>164</v>
      </c>
      <c r="F734" s="1">
        <v>45689</v>
      </c>
      <c r="G734" s="1">
        <v>45692</v>
      </c>
      <c r="H734" t="s">
        <v>27</v>
      </c>
      <c r="I734" t="s">
        <v>40</v>
      </c>
      <c r="J734">
        <v>4</v>
      </c>
      <c r="K734" t="s">
        <v>19</v>
      </c>
      <c r="L734" t="s">
        <v>158</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x14ac:dyDescent="0.3">
      <c r="A735" t="s">
        <v>828</v>
      </c>
      <c r="B735" t="s">
        <v>42</v>
      </c>
      <c r="C735">
        <v>10</v>
      </c>
      <c r="D735">
        <v>35.700000000000003</v>
      </c>
      <c r="E735">
        <v>357</v>
      </c>
      <c r="F735" s="1">
        <v>45689</v>
      </c>
      <c r="G735" s="1">
        <v>45689</v>
      </c>
      <c r="H735" t="s">
        <v>27</v>
      </c>
      <c r="I735" t="s">
        <v>18</v>
      </c>
      <c r="J735">
        <v>3</v>
      </c>
      <c r="K735" t="s">
        <v>19</v>
      </c>
      <c r="L735" t="s">
        <v>55</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x14ac:dyDescent="0.3">
      <c r="A736" t="s">
        <v>829</v>
      </c>
      <c r="B736" t="s">
        <v>46</v>
      </c>
      <c r="C736">
        <v>2</v>
      </c>
      <c r="D736">
        <v>54.6</v>
      </c>
      <c r="E736">
        <v>109.2</v>
      </c>
      <c r="F736" s="1">
        <v>45689</v>
      </c>
      <c r="G736" s="1">
        <v>45690</v>
      </c>
      <c r="H736" t="s">
        <v>27</v>
      </c>
      <c r="I736" t="s">
        <v>40</v>
      </c>
      <c r="J736">
        <v>4</v>
      </c>
      <c r="K736" t="s">
        <v>19</v>
      </c>
      <c r="L736" t="s">
        <v>55</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x14ac:dyDescent="0.3">
      <c r="A737" t="s">
        <v>830</v>
      </c>
      <c r="B737" t="s">
        <v>44</v>
      </c>
      <c r="C737">
        <v>2</v>
      </c>
      <c r="D737">
        <v>35.700000000000003</v>
      </c>
      <c r="E737">
        <v>71.400000000000006</v>
      </c>
      <c r="F737" s="1">
        <v>45689</v>
      </c>
      <c r="G737" s="1">
        <v>45692</v>
      </c>
      <c r="H737" t="s">
        <v>17</v>
      </c>
      <c r="I737" t="s">
        <v>18</v>
      </c>
      <c r="J737">
        <v>3</v>
      </c>
      <c r="K737" t="s">
        <v>19</v>
      </c>
      <c r="L737" t="s">
        <v>55</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x14ac:dyDescent="0.3">
      <c r="A738" t="s">
        <v>831</v>
      </c>
      <c r="B738" t="s">
        <v>54</v>
      </c>
      <c r="C738">
        <v>2</v>
      </c>
      <c r="D738">
        <v>52.4</v>
      </c>
      <c r="E738">
        <v>104.8</v>
      </c>
      <c r="F738" s="1">
        <v>45689</v>
      </c>
      <c r="G738" s="1">
        <v>45689</v>
      </c>
      <c r="H738" t="s">
        <v>27</v>
      </c>
      <c r="I738" t="s">
        <v>18</v>
      </c>
      <c r="J738">
        <v>1</v>
      </c>
      <c r="K738" t="s">
        <v>19</v>
      </c>
      <c r="L738" t="s">
        <v>55</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x14ac:dyDescent="0.3">
      <c r="A739" t="s">
        <v>832</v>
      </c>
      <c r="B739" t="s">
        <v>44</v>
      </c>
      <c r="C739">
        <v>14</v>
      </c>
      <c r="D739">
        <v>16.2</v>
      </c>
      <c r="E739">
        <v>226.79999999999998</v>
      </c>
      <c r="F739" s="1">
        <v>45689</v>
      </c>
      <c r="G739" s="1">
        <v>45690</v>
      </c>
      <c r="H739" t="s">
        <v>17</v>
      </c>
      <c r="I739" t="s">
        <v>18</v>
      </c>
      <c r="J739">
        <v>3</v>
      </c>
      <c r="K739" t="s">
        <v>19</v>
      </c>
      <c r="L739" t="s">
        <v>62</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x14ac:dyDescent="0.3">
      <c r="A740" t="s">
        <v>833</v>
      </c>
      <c r="B740" t="s">
        <v>39</v>
      </c>
      <c r="C740">
        <v>47</v>
      </c>
      <c r="D740">
        <v>42.8</v>
      </c>
      <c r="E740">
        <v>2011.6</v>
      </c>
      <c r="F740" s="1">
        <v>45689</v>
      </c>
      <c r="G740" s="1">
        <v>45690</v>
      </c>
      <c r="H740" t="s">
        <v>27</v>
      </c>
      <c r="I740" t="s">
        <v>18</v>
      </c>
      <c r="J740">
        <v>4</v>
      </c>
      <c r="K740" t="s">
        <v>19</v>
      </c>
      <c r="L740" t="s">
        <v>62</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x14ac:dyDescent="0.3">
      <c r="A741" t="s">
        <v>834</v>
      </c>
      <c r="B741" t="s">
        <v>39</v>
      </c>
      <c r="C741">
        <v>9</v>
      </c>
      <c r="D741">
        <v>144.4</v>
      </c>
      <c r="E741">
        <v>1299.6000000000001</v>
      </c>
      <c r="F741" s="1">
        <v>45689</v>
      </c>
      <c r="G741" s="1">
        <v>45692</v>
      </c>
      <c r="H741" t="s">
        <v>27</v>
      </c>
      <c r="I741" t="s">
        <v>70</v>
      </c>
      <c r="J741">
        <v>4</v>
      </c>
      <c r="K741" t="s">
        <v>19</v>
      </c>
      <c r="L741" t="s">
        <v>62</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x14ac:dyDescent="0.3">
      <c r="A742" t="s">
        <v>835</v>
      </c>
      <c r="B742" t="s">
        <v>30</v>
      </c>
      <c r="C742">
        <v>36</v>
      </c>
      <c r="D742">
        <v>30.6</v>
      </c>
      <c r="E742">
        <v>1101.6000000000001</v>
      </c>
      <c r="F742" s="1">
        <v>45689</v>
      </c>
      <c r="G742" s="1">
        <v>45693</v>
      </c>
      <c r="H742" t="s">
        <v>27</v>
      </c>
      <c r="I742" t="s">
        <v>40</v>
      </c>
      <c r="J742">
        <v>5</v>
      </c>
      <c r="K742" t="s">
        <v>19</v>
      </c>
      <c r="L742" t="s">
        <v>77</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x14ac:dyDescent="0.3">
      <c r="A743" t="s">
        <v>836</v>
      </c>
      <c r="B743" t="s">
        <v>26</v>
      </c>
      <c r="C743">
        <v>2</v>
      </c>
      <c r="D743">
        <v>117.5</v>
      </c>
      <c r="E743">
        <v>235</v>
      </c>
      <c r="F743" s="1">
        <v>45689</v>
      </c>
      <c r="G743" s="1">
        <v>45690</v>
      </c>
      <c r="H743" t="s">
        <v>23</v>
      </c>
      <c r="I743" t="s">
        <v>18</v>
      </c>
      <c r="J743">
        <v>4</v>
      </c>
      <c r="K743" t="s">
        <v>19</v>
      </c>
      <c r="L743" t="s">
        <v>110</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x14ac:dyDescent="0.3">
      <c r="A744" t="s">
        <v>837</v>
      </c>
      <c r="B744" t="s">
        <v>39</v>
      </c>
      <c r="C744">
        <v>2</v>
      </c>
      <c r="D744">
        <v>105.7</v>
      </c>
      <c r="E744">
        <v>211.4</v>
      </c>
      <c r="F744" s="1">
        <v>45689</v>
      </c>
      <c r="G744" s="1">
        <v>45690</v>
      </c>
      <c r="H744" t="s">
        <v>27</v>
      </c>
      <c r="I744" t="s">
        <v>40</v>
      </c>
      <c r="J744">
        <v>5</v>
      </c>
      <c r="K744" t="s">
        <v>19</v>
      </c>
      <c r="L744" t="s">
        <v>115</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x14ac:dyDescent="0.3">
      <c r="A745" t="s">
        <v>838</v>
      </c>
      <c r="B745" t="s">
        <v>30</v>
      </c>
      <c r="C745">
        <v>3</v>
      </c>
      <c r="D745">
        <v>133.69999999999999</v>
      </c>
      <c r="E745">
        <v>401.09999999999997</v>
      </c>
      <c r="F745" s="1">
        <v>45689</v>
      </c>
      <c r="G745" s="1">
        <v>45690</v>
      </c>
      <c r="H745" t="s">
        <v>17</v>
      </c>
      <c r="I745" t="s">
        <v>70</v>
      </c>
      <c r="J745">
        <v>5</v>
      </c>
      <c r="K745" t="s">
        <v>19</v>
      </c>
      <c r="L745" t="s">
        <v>115</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x14ac:dyDescent="0.3">
      <c r="A746" t="s">
        <v>839</v>
      </c>
      <c r="B746" t="s">
        <v>32</v>
      </c>
      <c r="C746">
        <v>5</v>
      </c>
      <c r="D746">
        <v>46.8</v>
      </c>
      <c r="E746">
        <v>234</v>
      </c>
      <c r="F746" s="1">
        <v>45690</v>
      </c>
      <c r="G746" s="1">
        <v>45698</v>
      </c>
      <c r="H746" t="s">
        <v>27</v>
      </c>
      <c r="I746" t="s">
        <v>18</v>
      </c>
      <c r="J746">
        <v>3</v>
      </c>
      <c r="K746" t="s">
        <v>19</v>
      </c>
      <c r="L746" t="s">
        <v>115</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x14ac:dyDescent="0.3">
      <c r="A747" t="s">
        <v>840</v>
      </c>
      <c r="B747" t="s">
        <v>54</v>
      </c>
      <c r="C747">
        <v>3</v>
      </c>
      <c r="D747">
        <v>58.4</v>
      </c>
      <c r="E747">
        <v>175.2</v>
      </c>
      <c r="F747" s="1">
        <v>45690</v>
      </c>
      <c r="G747" s="1">
        <v>45692</v>
      </c>
      <c r="H747" t="s">
        <v>27</v>
      </c>
      <c r="I747" t="s">
        <v>18</v>
      </c>
      <c r="J747">
        <v>4</v>
      </c>
      <c r="K747" t="s">
        <v>19</v>
      </c>
      <c r="L747" t="s">
        <v>24</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x14ac:dyDescent="0.3">
      <c r="A748" t="s">
        <v>841</v>
      </c>
      <c r="B748" t="s">
        <v>39</v>
      </c>
      <c r="C748">
        <v>9</v>
      </c>
      <c r="D748">
        <v>65.099999999999994</v>
      </c>
      <c r="E748">
        <v>585.9</v>
      </c>
      <c r="F748" s="1">
        <v>45690</v>
      </c>
      <c r="G748" s="1">
        <v>45694</v>
      </c>
      <c r="H748" t="s">
        <v>23</v>
      </c>
      <c r="I748" t="s">
        <v>35</v>
      </c>
      <c r="J748">
        <v>5</v>
      </c>
      <c r="K748" t="s">
        <v>19</v>
      </c>
      <c r="L748" t="s">
        <v>147</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x14ac:dyDescent="0.3">
      <c r="A749" t="s">
        <v>842</v>
      </c>
      <c r="B749" t="s">
        <v>44</v>
      </c>
      <c r="C749">
        <v>1</v>
      </c>
      <c r="D749">
        <v>18.600000000000001</v>
      </c>
      <c r="E749">
        <v>18.600000000000001</v>
      </c>
      <c r="F749" s="1">
        <v>45690</v>
      </c>
      <c r="G749" s="1">
        <v>45693</v>
      </c>
      <c r="H749" t="s">
        <v>27</v>
      </c>
      <c r="I749" t="s">
        <v>18</v>
      </c>
      <c r="J749">
        <v>2</v>
      </c>
      <c r="K749" t="s">
        <v>19</v>
      </c>
      <c r="L749" t="s">
        <v>147</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x14ac:dyDescent="0.3">
      <c r="A750" t="s">
        <v>843</v>
      </c>
      <c r="B750" t="s">
        <v>22</v>
      </c>
      <c r="C750">
        <v>11</v>
      </c>
      <c r="D750">
        <v>92.3</v>
      </c>
      <c r="E750">
        <v>1015.3</v>
      </c>
      <c r="F750" s="1">
        <v>45690</v>
      </c>
      <c r="G750" s="1">
        <v>45692</v>
      </c>
      <c r="H750" t="s">
        <v>23</v>
      </c>
      <c r="I750" t="s">
        <v>35</v>
      </c>
      <c r="J750">
        <v>4</v>
      </c>
      <c r="K750" t="s">
        <v>19</v>
      </c>
      <c r="L750" t="s">
        <v>33</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x14ac:dyDescent="0.3">
      <c r="A751" t="s">
        <v>844</v>
      </c>
      <c r="B751" t="s">
        <v>39</v>
      </c>
      <c r="C751">
        <v>3</v>
      </c>
      <c r="D751">
        <v>81.7</v>
      </c>
      <c r="E751">
        <v>245.10000000000002</v>
      </c>
      <c r="F751" s="1">
        <v>45690</v>
      </c>
      <c r="G751" s="1">
        <v>45691</v>
      </c>
      <c r="H751" t="s">
        <v>17</v>
      </c>
      <c r="I751" t="s">
        <v>70</v>
      </c>
      <c r="J751">
        <v>2</v>
      </c>
      <c r="K751" t="s">
        <v>19</v>
      </c>
      <c r="L751" t="s">
        <v>33</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x14ac:dyDescent="0.3">
      <c r="A752" t="s">
        <v>845</v>
      </c>
      <c r="B752" t="s">
        <v>44</v>
      </c>
      <c r="C752">
        <v>2</v>
      </c>
      <c r="D752">
        <v>40.9</v>
      </c>
      <c r="E752">
        <v>81.8</v>
      </c>
      <c r="F752" s="1">
        <v>45690</v>
      </c>
      <c r="G752" s="1">
        <v>45692</v>
      </c>
      <c r="H752" t="s">
        <v>23</v>
      </c>
      <c r="I752" t="s">
        <v>18</v>
      </c>
      <c r="J752">
        <v>3</v>
      </c>
      <c r="K752" t="s">
        <v>19</v>
      </c>
      <c r="L752" t="s">
        <v>33</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x14ac:dyDescent="0.3">
      <c r="A753" t="s">
        <v>846</v>
      </c>
      <c r="B753" t="s">
        <v>39</v>
      </c>
      <c r="C753">
        <v>4</v>
      </c>
      <c r="D753">
        <v>43.2</v>
      </c>
      <c r="E753">
        <v>172.8</v>
      </c>
      <c r="F753" s="1">
        <v>45690</v>
      </c>
      <c r="G753" s="1">
        <v>45696</v>
      </c>
      <c r="H753" t="s">
        <v>27</v>
      </c>
      <c r="I753" t="s">
        <v>18</v>
      </c>
      <c r="J753">
        <v>3</v>
      </c>
      <c r="K753" t="s">
        <v>19</v>
      </c>
      <c r="L753" t="s">
        <v>33</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x14ac:dyDescent="0.3">
      <c r="A754" t="s">
        <v>847</v>
      </c>
      <c r="B754" t="s">
        <v>44</v>
      </c>
      <c r="C754">
        <v>11</v>
      </c>
      <c r="D754">
        <v>25.8</v>
      </c>
      <c r="E754">
        <v>283.8</v>
      </c>
      <c r="F754" s="1">
        <v>45690</v>
      </c>
      <c r="G754" s="1">
        <v>45693</v>
      </c>
      <c r="H754" t="s">
        <v>23</v>
      </c>
      <c r="I754" t="s">
        <v>40</v>
      </c>
      <c r="J754">
        <v>3</v>
      </c>
      <c r="K754" t="s">
        <v>19</v>
      </c>
      <c r="L754" t="s">
        <v>33</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x14ac:dyDescent="0.3">
      <c r="A755" t="s">
        <v>848</v>
      </c>
      <c r="B755" t="s">
        <v>123</v>
      </c>
      <c r="C755">
        <v>4</v>
      </c>
      <c r="D755">
        <v>36.4</v>
      </c>
      <c r="E755">
        <v>145.6</v>
      </c>
      <c r="F755" s="1">
        <v>45690</v>
      </c>
      <c r="G755" s="1">
        <v>45691</v>
      </c>
      <c r="H755" t="s">
        <v>23</v>
      </c>
      <c r="I755" t="s">
        <v>18</v>
      </c>
      <c r="J755">
        <v>4</v>
      </c>
      <c r="K755" t="s">
        <v>19</v>
      </c>
      <c r="L755" t="s">
        <v>33</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x14ac:dyDescent="0.3">
      <c r="A756" t="s">
        <v>849</v>
      </c>
      <c r="B756" t="s">
        <v>54</v>
      </c>
      <c r="C756">
        <v>1</v>
      </c>
      <c r="D756">
        <v>59.1</v>
      </c>
      <c r="E756">
        <v>59.1</v>
      </c>
      <c r="F756" s="1">
        <v>45690</v>
      </c>
      <c r="G756" s="1">
        <v>45691</v>
      </c>
      <c r="H756" t="s">
        <v>27</v>
      </c>
      <c r="I756" t="s">
        <v>40</v>
      </c>
      <c r="J756">
        <v>4</v>
      </c>
      <c r="K756" t="s">
        <v>19</v>
      </c>
      <c r="L756" t="s">
        <v>59</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x14ac:dyDescent="0.3">
      <c r="A757" t="s">
        <v>850</v>
      </c>
      <c r="B757" t="s">
        <v>26</v>
      </c>
      <c r="C757">
        <v>17</v>
      </c>
      <c r="D757">
        <v>74.5</v>
      </c>
      <c r="E757">
        <v>1266.5</v>
      </c>
      <c r="F757" s="1">
        <v>45690</v>
      </c>
      <c r="G757" s="1">
        <v>45692</v>
      </c>
      <c r="H757" t="s">
        <v>23</v>
      </c>
      <c r="I757" t="s">
        <v>70</v>
      </c>
      <c r="J757">
        <v>4</v>
      </c>
      <c r="K757" t="s">
        <v>19</v>
      </c>
      <c r="L757" t="s">
        <v>108</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x14ac:dyDescent="0.3">
      <c r="A758" t="s">
        <v>851</v>
      </c>
      <c r="B758" t="s">
        <v>37</v>
      </c>
      <c r="C758">
        <v>1</v>
      </c>
      <c r="D758">
        <v>72.8</v>
      </c>
      <c r="E758">
        <v>72.8</v>
      </c>
      <c r="F758" s="1">
        <v>45690</v>
      </c>
      <c r="G758" s="1">
        <v>45691</v>
      </c>
      <c r="H758" t="s">
        <v>27</v>
      </c>
      <c r="I758" t="s">
        <v>18</v>
      </c>
      <c r="J758">
        <v>3</v>
      </c>
      <c r="K758" t="s">
        <v>19</v>
      </c>
      <c r="L758" t="s">
        <v>110</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x14ac:dyDescent="0.3">
      <c r="A759" t="s">
        <v>852</v>
      </c>
      <c r="B759" t="s">
        <v>39</v>
      </c>
      <c r="C759">
        <v>4</v>
      </c>
      <c r="D759">
        <v>137.30000000000001</v>
      </c>
      <c r="E759">
        <v>549.20000000000005</v>
      </c>
      <c r="F759" s="1">
        <v>45690</v>
      </c>
      <c r="G759" s="1">
        <v>45693</v>
      </c>
      <c r="H759" t="s">
        <v>27</v>
      </c>
      <c r="I759" t="s">
        <v>18</v>
      </c>
      <c r="J759">
        <v>4</v>
      </c>
      <c r="K759" t="s">
        <v>19</v>
      </c>
      <c r="L759" t="s">
        <v>82</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x14ac:dyDescent="0.3">
      <c r="A760" t="s">
        <v>853</v>
      </c>
      <c r="B760" t="s">
        <v>22</v>
      </c>
      <c r="C760">
        <v>3</v>
      </c>
      <c r="D760">
        <v>48.7</v>
      </c>
      <c r="E760">
        <v>146.10000000000002</v>
      </c>
      <c r="F760" s="1">
        <v>45690</v>
      </c>
      <c r="G760" s="1">
        <v>45695</v>
      </c>
      <c r="H760" t="s">
        <v>27</v>
      </c>
      <c r="I760" t="s">
        <v>18</v>
      </c>
      <c r="J760">
        <v>3</v>
      </c>
      <c r="K760" t="s">
        <v>19</v>
      </c>
      <c r="L760" t="s">
        <v>115</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x14ac:dyDescent="0.3">
      <c r="A761" t="s">
        <v>854</v>
      </c>
      <c r="B761" t="s">
        <v>39</v>
      </c>
      <c r="C761">
        <v>4</v>
      </c>
      <c r="D761">
        <v>53.7</v>
      </c>
      <c r="E761">
        <v>214.8</v>
      </c>
      <c r="F761" s="1">
        <v>45690</v>
      </c>
      <c r="G761" s="1">
        <v>45694</v>
      </c>
      <c r="H761" t="s">
        <v>23</v>
      </c>
      <c r="I761" t="s">
        <v>35</v>
      </c>
      <c r="J761">
        <v>2</v>
      </c>
      <c r="K761" t="s">
        <v>19</v>
      </c>
      <c r="L761" t="s">
        <v>28</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x14ac:dyDescent="0.3">
      <c r="A762" t="s">
        <v>855</v>
      </c>
      <c r="B762" t="s">
        <v>26</v>
      </c>
      <c r="C762">
        <v>7</v>
      </c>
      <c r="D762">
        <v>100.9</v>
      </c>
      <c r="E762">
        <v>706.30000000000007</v>
      </c>
      <c r="F762" s="1">
        <v>45690</v>
      </c>
      <c r="G762" s="1">
        <v>45692</v>
      </c>
      <c r="H762" t="s">
        <v>27</v>
      </c>
      <c r="I762" t="s">
        <v>18</v>
      </c>
      <c r="J762">
        <v>3</v>
      </c>
      <c r="K762" t="s">
        <v>19</v>
      </c>
      <c r="L762" t="s">
        <v>28</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x14ac:dyDescent="0.3">
      <c r="A763" t="s">
        <v>856</v>
      </c>
      <c r="B763" t="s">
        <v>54</v>
      </c>
      <c r="C763">
        <v>2</v>
      </c>
      <c r="D763">
        <v>41.8</v>
      </c>
      <c r="E763">
        <v>83.6</v>
      </c>
      <c r="F763" s="1">
        <v>45690</v>
      </c>
      <c r="G763" s="1">
        <v>45694</v>
      </c>
      <c r="H763" t="s">
        <v>23</v>
      </c>
      <c r="I763" t="s">
        <v>51</v>
      </c>
      <c r="J763">
        <v>5</v>
      </c>
      <c r="K763" t="s">
        <v>19</v>
      </c>
      <c r="L763" t="s">
        <v>147</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x14ac:dyDescent="0.3">
      <c r="A764" t="s">
        <v>857</v>
      </c>
      <c r="B764" t="s">
        <v>32</v>
      </c>
      <c r="C764">
        <v>8</v>
      </c>
      <c r="D764">
        <v>28.5</v>
      </c>
      <c r="E764">
        <v>228</v>
      </c>
      <c r="F764" s="1">
        <v>45690</v>
      </c>
      <c r="G764" s="1">
        <v>45692</v>
      </c>
      <c r="H764" t="s">
        <v>23</v>
      </c>
      <c r="I764" t="s">
        <v>40</v>
      </c>
      <c r="J764">
        <v>3</v>
      </c>
      <c r="K764" t="s">
        <v>19</v>
      </c>
      <c r="L764" t="s">
        <v>33</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x14ac:dyDescent="0.3">
      <c r="A765" t="s">
        <v>858</v>
      </c>
      <c r="B765" t="s">
        <v>42</v>
      </c>
      <c r="C765">
        <v>4</v>
      </c>
      <c r="D765">
        <v>88.9</v>
      </c>
      <c r="E765">
        <v>355.6</v>
      </c>
      <c r="F765" s="1">
        <v>45690</v>
      </c>
      <c r="G765" s="1">
        <v>45693</v>
      </c>
      <c r="H765" t="s">
        <v>27</v>
      </c>
      <c r="I765" t="s">
        <v>18</v>
      </c>
      <c r="J765">
        <v>5</v>
      </c>
      <c r="K765" t="s">
        <v>19</v>
      </c>
      <c r="L765" t="s">
        <v>33</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x14ac:dyDescent="0.3">
      <c r="A766" t="s">
        <v>859</v>
      </c>
      <c r="B766" t="s">
        <v>39</v>
      </c>
      <c r="C766">
        <v>1</v>
      </c>
      <c r="D766">
        <v>62.5</v>
      </c>
      <c r="E766">
        <v>62.5</v>
      </c>
      <c r="F766" s="1">
        <v>45690</v>
      </c>
      <c r="G766" s="1">
        <v>45699</v>
      </c>
      <c r="H766" t="s">
        <v>27</v>
      </c>
      <c r="I766" t="s">
        <v>18</v>
      </c>
      <c r="J766">
        <v>5</v>
      </c>
      <c r="K766" t="s">
        <v>19</v>
      </c>
      <c r="L766" t="s">
        <v>33</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x14ac:dyDescent="0.3">
      <c r="A767" t="s">
        <v>860</v>
      </c>
      <c r="B767" t="s">
        <v>22</v>
      </c>
      <c r="C767">
        <v>3</v>
      </c>
      <c r="D767">
        <v>46.9</v>
      </c>
      <c r="E767">
        <v>140.69999999999999</v>
      </c>
      <c r="F767" s="1">
        <v>45690</v>
      </c>
      <c r="G767" s="1">
        <v>45691</v>
      </c>
      <c r="H767" t="s">
        <v>23</v>
      </c>
      <c r="I767" t="s">
        <v>18</v>
      </c>
      <c r="J767">
        <v>5</v>
      </c>
      <c r="K767" t="s">
        <v>19</v>
      </c>
      <c r="L767" t="s">
        <v>33</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x14ac:dyDescent="0.3">
      <c r="A768" t="s">
        <v>861</v>
      </c>
      <c r="B768" t="s">
        <v>44</v>
      </c>
      <c r="C768">
        <v>3</v>
      </c>
      <c r="D768">
        <v>45</v>
      </c>
      <c r="E768">
        <v>135</v>
      </c>
      <c r="F768" s="1">
        <v>45690</v>
      </c>
      <c r="G768" s="1">
        <v>45704</v>
      </c>
      <c r="H768" t="s">
        <v>23</v>
      </c>
      <c r="I768" t="s">
        <v>35</v>
      </c>
      <c r="J768">
        <v>4</v>
      </c>
      <c r="K768" t="s">
        <v>19</v>
      </c>
      <c r="L768" t="s">
        <v>33</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x14ac:dyDescent="0.3">
      <c r="A769" t="s">
        <v>862</v>
      </c>
      <c r="B769" t="s">
        <v>39</v>
      </c>
      <c r="C769">
        <v>3</v>
      </c>
      <c r="D769">
        <v>45.2</v>
      </c>
      <c r="E769">
        <v>135.60000000000002</v>
      </c>
      <c r="F769" s="1">
        <v>45690</v>
      </c>
      <c r="G769" s="1">
        <v>45692</v>
      </c>
      <c r="H769" t="s">
        <v>23</v>
      </c>
      <c r="I769" t="s">
        <v>70</v>
      </c>
      <c r="J769">
        <v>5</v>
      </c>
      <c r="K769" t="s">
        <v>19</v>
      </c>
      <c r="L769" t="s">
        <v>33</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x14ac:dyDescent="0.3">
      <c r="A770" t="s">
        <v>863</v>
      </c>
      <c r="B770" t="s">
        <v>32</v>
      </c>
      <c r="C770">
        <v>2</v>
      </c>
      <c r="D770">
        <v>60.1</v>
      </c>
      <c r="E770">
        <v>120.2</v>
      </c>
      <c r="F770" s="1">
        <v>45690</v>
      </c>
      <c r="G770" s="1">
        <v>45691</v>
      </c>
      <c r="H770" t="s">
        <v>27</v>
      </c>
      <c r="I770" t="s">
        <v>18</v>
      </c>
      <c r="J770">
        <v>5</v>
      </c>
      <c r="K770" t="s">
        <v>19</v>
      </c>
      <c r="L770" t="s">
        <v>33</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x14ac:dyDescent="0.3">
      <c r="A771" t="s">
        <v>864</v>
      </c>
      <c r="B771" t="s">
        <v>69</v>
      </c>
      <c r="C771">
        <v>4</v>
      </c>
      <c r="D771">
        <v>118.7</v>
      </c>
      <c r="E771">
        <v>474.8</v>
      </c>
      <c r="F771" s="1">
        <v>45690</v>
      </c>
      <c r="G771" s="1">
        <v>45692</v>
      </c>
      <c r="H771" t="s">
        <v>27</v>
      </c>
      <c r="I771" t="s">
        <v>18</v>
      </c>
      <c r="J771">
        <v>4</v>
      </c>
      <c r="K771" t="s">
        <v>19</v>
      </c>
      <c r="L771" t="s">
        <v>33</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x14ac:dyDescent="0.3">
      <c r="A772" t="s">
        <v>865</v>
      </c>
      <c r="B772" t="s">
        <v>46</v>
      </c>
      <c r="C772">
        <v>1</v>
      </c>
      <c r="D772">
        <v>57.8</v>
      </c>
      <c r="E772">
        <v>57.8</v>
      </c>
      <c r="F772" s="1">
        <v>45690</v>
      </c>
      <c r="G772" s="1">
        <v>45699</v>
      </c>
      <c r="H772" t="s">
        <v>27</v>
      </c>
      <c r="I772" t="s">
        <v>35</v>
      </c>
      <c r="J772">
        <v>4</v>
      </c>
      <c r="K772" t="s">
        <v>19</v>
      </c>
      <c r="L772" t="s">
        <v>33</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x14ac:dyDescent="0.3">
      <c r="A773" t="s">
        <v>866</v>
      </c>
      <c r="B773" t="s">
        <v>32</v>
      </c>
      <c r="C773">
        <v>1</v>
      </c>
      <c r="D773">
        <v>19.5</v>
      </c>
      <c r="E773">
        <v>19.5</v>
      </c>
      <c r="F773" s="1">
        <v>45690</v>
      </c>
      <c r="G773" s="1">
        <v>45691</v>
      </c>
      <c r="H773" t="s">
        <v>23</v>
      </c>
      <c r="I773" t="s">
        <v>35</v>
      </c>
      <c r="J773">
        <v>3</v>
      </c>
      <c r="K773" t="s">
        <v>19</v>
      </c>
      <c r="L773" t="s">
        <v>33</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x14ac:dyDescent="0.3">
      <c r="A774" t="s">
        <v>867</v>
      </c>
      <c r="B774" t="s">
        <v>69</v>
      </c>
      <c r="C774">
        <v>1</v>
      </c>
      <c r="D774">
        <v>42.6</v>
      </c>
      <c r="E774">
        <v>42.6</v>
      </c>
      <c r="F774" s="1">
        <v>45690</v>
      </c>
      <c r="G774" s="1">
        <v>45691</v>
      </c>
      <c r="H774" t="s">
        <v>23</v>
      </c>
      <c r="I774" t="s">
        <v>18</v>
      </c>
      <c r="J774">
        <v>3</v>
      </c>
      <c r="K774" t="s">
        <v>19</v>
      </c>
      <c r="L774" t="s">
        <v>33</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x14ac:dyDescent="0.3">
      <c r="A775" t="s">
        <v>868</v>
      </c>
      <c r="B775" t="s">
        <v>39</v>
      </c>
      <c r="C775">
        <v>2</v>
      </c>
      <c r="D775">
        <v>74.8</v>
      </c>
      <c r="E775">
        <v>149.6</v>
      </c>
      <c r="F775" s="1">
        <v>45690</v>
      </c>
      <c r="G775" s="1">
        <v>45691</v>
      </c>
      <c r="H775" t="s">
        <v>27</v>
      </c>
      <c r="I775" t="s">
        <v>51</v>
      </c>
      <c r="J775">
        <v>5</v>
      </c>
      <c r="K775" t="s">
        <v>19</v>
      </c>
      <c r="L775" t="s">
        <v>364</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x14ac:dyDescent="0.3">
      <c r="A776" t="s">
        <v>869</v>
      </c>
      <c r="B776" t="s">
        <v>44</v>
      </c>
      <c r="C776">
        <v>3</v>
      </c>
      <c r="D776">
        <v>32.5</v>
      </c>
      <c r="E776">
        <v>97.5</v>
      </c>
      <c r="F776" s="1">
        <v>45690</v>
      </c>
      <c r="G776" s="1">
        <v>45691</v>
      </c>
      <c r="H776" t="s">
        <v>23</v>
      </c>
      <c r="I776" t="s">
        <v>40</v>
      </c>
      <c r="J776">
        <v>2</v>
      </c>
      <c r="K776" t="s">
        <v>19</v>
      </c>
      <c r="L776" t="s">
        <v>98</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x14ac:dyDescent="0.3">
      <c r="A777" t="s">
        <v>870</v>
      </c>
      <c r="B777" t="s">
        <v>26</v>
      </c>
      <c r="C777">
        <v>3</v>
      </c>
      <c r="D777">
        <v>60.5</v>
      </c>
      <c r="E777">
        <v>181.5</v>
      </c>
      <c r="F777" s="1">
        <v>45690</v>
      </c>
      <c r="G777" s="1">
        <v>45690</v>
      </c>
      <c r="H777" t="s">
        <v>27</v>
      </c>
      <c r="I777" t="s">
        <v>35</v>
      </c>
      <c r="J777">
        <v>5</v>
      </c>
      <c r="K777" t="s">
        <v>19</v>
      </c>
      <c r="L777" t="s">
        <v>188</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x14ac:dyDescent="0.3">
      <c r="A778" t="s">
        <v>871</v>
      </c>
      <c r="B778" t="s">
        <v>22</v>
      </c>
      <c r="C778">
        <v>7</v>
      </c>
      <c r="D778">
        <v>57.2</v>
      </c>
      <c r="E778">
        <v>400.40000000000003</v>
      </c>
      <c r="F778" s="1">
        <v>45690</v>
      </c>
      <c r="G778" s="1">
        <v>45692</v>
      </c>
      <c r="H778" t="s">
        <v>17</v>
      </c>
      <c r="I778" t="s">
        <v>40</v>
      </c>
      <c r="J778">
        <v>4</v>
      </c>
      <c r="K778" t="s">
        <v>19</v>
      </c>
      <c r="L778" t="s">
        <v>188</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x14ac:dyDescent="0.3">
      <c r="A779" t="s">
        <v>872</v>
      </c>
      <c r="B779" t="s">
        <v>128</v>
      </c>
      <c r="C779">
        <v>2</v>
      </c>
      <c r="D779">
        <v>112</v>
      </c>
      <c r="E779">
        <v>224</v>
      </c>
      <c r="F779" s="1">
        <v>45690</v>
      </c>
      <c r="G779" s="1">
        <v>45691</v>
      </c>
      <c r="H779" t="s">
        <v>27</v>
      </c>
      <c r="I779" t="s">
        <v>35</v>
      </c>
      <c r="J779">
        <v>3</v>
      </c>
      <c r="K779" t="s">
        <v>19</v>
      </c>
      <c r="L779" t="s">
        <v>52</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x14ac:dyDescent="0.3">
      <c r="A780" t="s">
        <v>873</v>
      </c>
      <c r="B780" t="s">
        <v>42</v>
      </c>
      <c r="C780">
        <v>10</v>
      </c>
      <c r="D780">
        <v>49</v>
      </c>
      <c r="E780">
        <v>490</v>
      </c>
      <c r="F780" s="1">
        <v>45690</v>
      </c>
      <c r="G780" s="1">
        <v>45691</v>
      </c>
      <c r="H780" t="s">
        <v>89</v>
      </c>
      <c r="I780" t="s">
        <v>40</v>
      </c>
      <c r="J780">
        <v>3</v>
      </c>
      <c r="K780" t="s">
        <v>19</v>
      </c>
      <c r="L780" t="s">
        <v>55</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x14ac:dyDescent="0.3">
      <c r="A781" t="s">
        <v>874</v>
      </c>
      <c r="B781" t="s">
        <v>16</v>
      </c>
      <c r="C781">
        <v>2</v>
      </c>
      <c r="D781">
        <v>33.700000000000003</v>
      </c>
      <c r="E781">
        <v>67.400000000000006</v>
      </c>
      <c r="F781" s="1">
        <v>45690</v>
      </c>
      <c r="G781" s="1">
        <v>45694</v>
      </c>
      <c r="H781" t="s">
        <v>27</v>
      </c>
      <c r="I781" t="s">
        <v>51</v>
      </c>
      <c r="J781">
        <v>4</v>
      </c>
      <c r="K781" t="s">
        <v>19</v>
      </c>
      <c r="L781" t="s">
        <v>55</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x14ac:dyDescent="0.3">
      <c r="A782" t="s">
        <v>875</v>
      </c>
      <c r="B782" t="s">
        <v>32</v>
      </c>
      <c r="C782">
        <v>3</v>
      </c>
      <c r="D782">
        <v>35.6</v>
      </c>
      <c r="E782">
        <v>106.80000000000001</v>
      </c>
      <c r="F782" s="1">
        <v>45690</v>
      </c>
      <c r="G782" s="1">
        <v>45693</v>
      </c>
      <c r="H782" t="s">
        <v>27</v>
      </c>
      <c r="I782" t="s">
        <v>18</v>
      </c>
      <c r="J782">
        <v>5</v>
      </c>
      <c r="K782" t="s">
        <v>19</v>
      </c>
      <c r="L782" t="s">
        <v>55</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x14ac:dyDescent="0.3">
      <c r="A783" t="s">
        <v>876</v>
      </c>
      <c r="B783" t="s">
        <v>32</v>
      </c>
      <c r="C783">
        <v>35</v>
      </c>
      <c r="D783">
        <v>30.4</v>
      </c>
      <c r="E783">
        <v>1064</v>
      </c>
      <c r="F783" s="1">
        <v>45691</v>
      </c>
      <c r="G783" s="1">
        <v>45691</v>
      </c>
      <c r="H783" t="s">
        <v>27</v>
      </c>
      <c r="I783" t="s">
        <v>18</v>
      </c>
      <c r="J783">
        <v>3</v>
      </c>
      <c r="K783" t="s">
        <v>19</v>
      </c>
      <c r="L783" t="s">
        <v>59</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x14ac:dyDescent="0.3">
      <c r="A784" t="s">
        <v>877</v>
      </c>
      <c r="B784" t="s">
        <v>54</v>
      </c>
      <c r="C784">
        <v>12</v>
      </c>
      <c r="D784">
        <v>50.2</v>
      </c>
      <c r="E784">
        <v>602.40000000000009</v>
      </c>
      <c r="F784" s="1">
        <v>45691</v>
      </c>
      <c r="G784" s="1">
        <v>45692</v>
      </c>
      <c r="H784" t="s">
        <v>23</v>
      </c>
      <c r="I784" t="s">
        <v>70</v>
      </c>
      <c r="J784">
        <v>4</v>
      </c>
      <c r="K784" t="s">
        <v>19</v>
      </c>
      <c r="L784" t="s">
        <v>62</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x14ac:dyDescent="0.3">
      <c r="A785" t="s">
        <v>878</v>
      </c>
      <c r="B785" t="s">
        <v>22</v>
      </c>
      <c r="C785">
        <v>2</v>
      </c>
      <c r="D785">
        <v>43.7</v>
      </c>
      <c r="E785">
        <v>87.4</v>
      </c>
      <c r="F785" s="1">
        <v>45691</v>
      </c>
      <c r="G785" s="1">
        <v>45693</v>
      </c>
      <c r="H785" t="s">
        <v>27</v>
      </c>
      <c r="I785" t="s">
        <v>18</v>
      </c>
      <c r="J785">
        <v>4</v>
      </c>
      <c r="K785" t="s">
        <v>19</v>
      </c>
      <c r="L785" t="s">
        <v>62</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x14ac:dyDescent="0.3">
      <c r="A786" t="s">
        <v>879</v>
      </c>
      <c r="B786" t="s">
        <v>54</v>
      </c>
      <c r="C786">
        <v>1</v>
      </c>
      <c r="D786">
        <v>33.299999999999997</v>
      </c>
      <c r="E786">
        <v>33.299999999999997</v>
      </c>
      <c r="F786" s="1">
        <v>45691</v>
      </c>
      <c r="G786" s="1">
        <v>45692</v>
      </c>
      <c r="H786" t="s">
        <v>27</v>
      </c>
      <c r="I786" t="s">
        <v>40</v>
      </c>
      <c r="J786">
        <v>3</v>
      </c>
      <c r="K786" t="s">
        <v>19</v>
      </c>
      <c r="L786" t="s">
        <v>62</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x14ac:dyDescent="0.3">
      <c r="A787" t="s">
        <v>880</v>
      </c>
      <c r="B787" t="s">
        <v>44</v>
      </c>
      <c r="C787">
        <v>4</v>
      </c>
      <c r="D787">
        <v>15.1</v>
      </c>
      <c r="E787">
        <v>60.4</v>
      </c>
      <c r="F787" s="1">
        <v>45691</v>
      </c>
      <c r="G787" s="1">
        <v>45693</v>
      </c>
      <c r="H787" t="s">
        <v>27</v>
      </c>
      <c r="I787" t="s">
        <v>70</v>
      </c>
      <c r="J787">
        <v>5</v>
      </c>
      <c r="K787" t="s">
        <v>19</v>
      </c>
      <c r="L787" t="s">
        <v>62</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x14ac:dyDescent="0.3">
      <c r="A788" t="s">
        <v>881</v>
      </c>
      <c r="B788" t="s">
        <v>39</v>
      </c>
      <c r="C788">
        <v>5</v>
      </c>
      <c r="D788">
        <v>118.2</v>
      </c>
      <c r="E788">
        <v>591</v>
      </c>
      <c r="F788" s="1">
        <v>45691</v>
      </c>
      <c r="G788" s="1">
        <v>45692</v>
      </c>
      <c r="H788" t="s">
        <v>27</v>
      </c>
      <c r="I788" t="s">
        <v>51</v>
      </c>
      <c r="J788">
        <v>2</v>
      </c>
      <c r="K788" t="s">
        <v>19</v>
      </c>
      <c r="L788" t="s">
        <v>62</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x14ac:dyDescent="0.3">
      <c r="A789" t="s">
        <v>882</v>
      </c>
      <c r="B789" t="s">
        <v>54</v>
      </c>
      <c r="C789">
        <v>3</v>
      </c>
      <c r="D789">
        <v>28.9</v>
      </c>
      <c r="E789">
        <v>86.699999999999989</v>
      </c>
      <c r="F789" s="1">
        <v>45691</v>
      </c>
      <c r="G789" s="1">
        <v>45693</v>
      </c>
      <c r="H789" t="s">
        <v>27</v>
      </c>
      <c r="I789" t="s">
        <v>40</v>
      </c>
      <c r="J789">
        <v>3</v>
      </c>
      <c r="K789" t="s">
        <v>19</v>
      </c>
      <c r="L789" t="s">
        <v>62</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x14ac:dyDescent="0.3">
      <c r="A790" t="s">
        <v>883</v>
      </c>
      <c r="B790" t="s">
        <v>32</v>
      </c>
      <c r="C790">
        <v>3</v>
      </c>
      <c r="D790">
        <v>55.6</v>
      </c>
      <c r="E790">
        <v>166.8</v>
      </c>
      <c r="F790" s="1">
        <v>45691</v>
      </c>
      <c r="G790" s="1">
        <v>45692</v>
      </c>
      <c r="H790" t="s">
        <v>23</v>
      </c>
      <c r="I790" t="s">
        <v>18</v>
      </c>
      <c r="J790">
        <v>3</v>
      </c>
      <c r="K790" t="s">
        <v>19</v>
      </c>
      <c r="L790" t="s">
        <v>62</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x14ac:dyDescent="0.3">
      <c r="A791" t="s">
        <v>884</v>
      </c>
      <c r="B791" t="s">
        <v>46</v>
      </c>
      <c r="C791">
        <v>4</v>
      </c>
      <c r="D791">
        <v>25.6</v>
      </c>
      <c r="E791">
        <v>102.4</v>
      </c>
      <c r="F791" s="1">
        <v>45691</v>
      </c>
      <c r="G791" s="1">
        <v>45693</v>
      </c>
      <c r="H791" t="s">
        <v>27</v>
      </c>
      <c r="I791" t="s">
        <v>18</v>
      </c>
      <c r="J791">
        <v>3</v>
      </c>
      <c r="K791" t="s">
        <v>19</v>
      </c>
      <c r="L791" t="s">
        <v>62</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x14ac:dyDescent="0.3">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x14ac:dyDescent="0.3">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x14ac:dyDescent="0.3">
      <c r="A794" t="s">
        <v>887</v>
      </c>
      <c r="B794" t="s">
        <v>26</v>
      </c>
      <c r="C794">
        <v>14</v>
      </c>
      <c r="D794">
        <v>99.4</v>
      </c>
      <c r="E794">
        <v>1391.6000000000001</v>
      </c>
      <c r="F794" s="1">
        <v>45691</v>
      </c>
      <c r="G794" s="1">
        <v>45692</v>
      </c>
      <c r="H794" t="s">
        <v>23</v>
      </c>
      <c r="I794" t="s">
        <v>35</v>
      </c>
      <c r="J794">
        <v>4</v>
      </c>
      <c r="K794" t="s">
        <v>19</v>
      </c>
      <c r="L794" t="s">
        <v>77</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x14ac:dyDescent="0.3">
      <c r="A795" t="s">
        <v>888</v>
      </c>
      <c r="B795" t="s">
        <v>42</v>
      </c>
      <c r="C795">
        <v>6</v>
      </c>
      <c r="D795">
        <v>66.599999999999994</v>
      </c>
      <c r="E795">
        <v>399.59999999999997</v>
      </c>
      <c r="F795" s="1">
        <v>45691</v>
      </c>
      <c r="G795" s="1">
        <v>45692</v>
      </c>
      <c r="H795" t="s">
        <v>27</v>
      </c>
      <c r="I795" t="s">
        <v>18</v>
      </c>
      <c r="J795">
        <v>4</v>
      </c>
      <c r="K795" t="s">
        <v>19</v>
      </c>
      <c r="L795" t="s">
        <v>77</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x14ac:dyDescent="0.3">
      <c r="A796" t="s">
        <v>889</v>
      </c>
      <c r="B796" t="s">
        <v>44</v>
      </c>
      <c r="C796">
        <v>2</v>
      </c>
      <c r="D796">
        <v>22.6</v>
      </c>
      <c r="E796">
        <v>45.2</v>
      </c>
      <c r="F796" s="1">
        <v>45691</v>
      </c>
      <c r="G796" s="1">
        <v>45694</v>
      </c>
      <c r="H796" t="s">
        <v>23</v>
      </c>
      <c r="I796" t="s">
        <v>18</v>
      </c>
      <c r="J796">
        <v>4</v>
      </c>
      <c r="K796" t="s">
        <v>19</v>
      </c>
      <c r="L796" t="s">
        <v>77</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x14ac:dyDescent="0.3">
      <c r="A797" t="s">
        <v>890</v>
      </c>
      <c r="B797" t="s">
        <v>26</v>
      </c>
      <c r="C797">
        <v>18</v>
      </c>
      <c r="D797">
        <v>66.8</v>
      </c>
      <c r="E797">
        <v>1202.3999999999999</v>
      </c>
      <c r="F797" s="1">
        <v>45691</v>
      </c>
      <c r="G797" s="1">
        <v>45692</v>
      </c>
      <c r="H797" t="s">
        <v>27</v>
      </c>
      <c r="I797" t="s">
        <v>18</v>
      </c>
      <c r="J797">
        <v>2</v>
      </c>
      <c r="K797" t="s">
        <v>19</v>
      </c>
      <c r="L797" t="s">
        <v>82</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x14ac:dyDescent="0.3">
      <c r="A798" t="s">
        <v>891</v>
      </c>
      <c r="B798" t="s">
        <v>16</v>
      </c>
      <c r="C798">
        <v>4</v>
      </c>
      <c r="D798">
        <v>20.8</v>
      </c>
      <c r="E798">
        <v>83.2</v>
      </c>
      <c r="F798" s="1">
        <v>45691</v>
      </c>
      <c r="G798" s="1">
        <v>45698</v>
      </c>
      <c r="H798" t="s">
        <v>23</v>
      </c>
      <c r="I798" t="s">
        <v>35</v>
      </c>
      <c r="J798">
        <v>2</v>
      </c>
      <c r="K798" t="s">
        <v>19</v>
      </c>
      <c r="L798" t="s">
        <v>24</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x14ac:dyDescent="0.3">
      <c r="A799" t="s">
        <v>892</v>
      </c>
      <c r="B799" t="s">
        <v>26</v>
      </c>
      <c r="C799">
        <v>7</v>
      </c>
      <c r="D799">
        <v>102.5</v>
      </c>
      <c r="E799">
        <v>717.5</v>
      </c>
      <c r="F799" s="1">
        <v>45691</v>
      </c>
      <c r="G799" s="1">
        <v>45692</v>
      </c>
      <c r="H799" t="s">
        <v>27</v>
      </c>
      <c r="I799" t="s">
        <v>70</v>
      </c>
      <c r="J799">
        <v>5</v>
      </c>
      <c r="K799" t="s">
        <v>19</v>
      </c>
      <c r="L799" t="s">
        <v>33</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x14ac:dyDescent="0.3">
      <c r="A800" t="s">
        <v>893</v>
      </c>
      <c r="B800" t="s">
        <v>16</v>
      </c>
      <c r="C800">
        <v>18</v>
      </c>
      <c r="D800">
        <v>24.8</v>
      </c>
      <c r="E800">
        <v>446.40000000000003</v>
      </c>
      <c r="F800" s="1">
        <v>45691</v>
      </c>
      <c r="G800" s="1">
        <v>45695</v>
      </c>
      <c r="H800" t="s">
        <v>27</v>
      </c>
      <c r="I800" t="s">
        <v>18</v>
      </c>
      <c r="J800">
        <v>4</v>
      </c>
      <c r="K800" t="s">
        <v>19</v>
      </c>
      <c r="L800" t="s">
        <v>33</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x14ac:dyDescent="0.3">
      <c r="A801" t="s">
        <v>894</v>
      </c>
      <c r="B801" t="s">
        <v>32</v>
      </c>
      <c r="C801">
        <v>31</v>
      </c>
      <c r="D801">
        <v>31.4</v>
      </c>
      <c r="E801">
        <v>973.4</v>
      </c>
      <c r="F801" s="1">
        <v>45691</v>
      </c>
      <c r="G801" s="1">
        <v>45692</v>
      </c>
      <c r="H801" t="s">
        <v>27</v>
      </c>
      <c r="I801" t="s">
        <v>51</v>
      </c>
      <c r="J801">
        <v>4</v>
      </c>
      <c r="K801" t="s">
        <v>19</v>
      </c>
      <c r="L801" t="s">
        <v>33</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x14ac:dyDescent="0.3">
      <c r="A802" t="s">
        <v>895</v>
      </c>
      <c r="B802" t="s">
        <v>46</v>
      </c>
      <c r="C802">
        <v>5</v>
      </c>
      <c r="D802">
        <v>59.3</v>
      </c>
      <c r="E802">
        <v>296.5</v>
      </c>
      <c r="F802" s="1">
        <v>45691</v>
      </c>
      <c r="G802" s="1">
        <v>45694</v>
      </c>
      <c r="H802" t="s">
        <v>23</v>
      </c>
      <c r="I802" t="s">
        <v>35</v>
      </c>
      <c r="J802">
        <v>5</v>
      </c>
      <c r="K802" t="s">
        <v>19</v>
      </c>
      <c r="L802" t="s">
        <v>545</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x14ac:dyDescent="0.3">
      <c r="A803" t="s">
        <v>896</v>
      </c>
      <c r="B803" t="s">
        <v>67</v>
      </c>
      <c r="C803">
        <v>6</v>
      </c>
      <c r="D803">
        <v>39</v>
      </c>
      <c r="E803">
        <v>234</v>
      </c>
      <c r="F803" s="1">
        <v>45691</v>
      </c>
      <c r="G803" s="1">
        <v>45694</v>
      </c>
      <c r="H803" t="s">
        <v>23</v>
      </c>
      <c r="I803" t="s">
        <v>35</v>
      </c>
      <c r="J803">
        <v>4</v>
      </c>
      <c r="K803" t="s">
        <v>19</v>
      </c>
      <c r="L803" t="s">
        <v>55</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x14ac:dyDescent="0.3">
      <c r="A804" t="s">
        <v>897</v>
      </c>
      <c r="B804" t="s">
        <v>37</v>
      </c>
      <c r="C804">
        <v>6</v>
      </c>
      <c r="D804">
        <v>98.6</v>
      </c>
      <c r="E804">
        <v>591.59999999999991</v>
      </c>
      <c r="F804" s="1">
        <v>45691</v>
      </c>
      <c r="G804" s="1">
        <v>45693</v>
      </c>
      <c r="H804" t="s">
        <v>27</v>
      </c>
      <c r="I804" t="s">
        <v>35</v>
      </c>
      <c r="J804">
        <v>4</v>
      </c>
      <c r="K804" t="s">
        <v>19</v>
      </c>
      <c r="L804" t="s">
        <v>55</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x14ac:dyDescent="0.3">
      <c r="A805" t="s">
        <v>898</v>
      </c>
      <c r="B805" t="s">
        <v>44</v>
      </c>
      <c r="C805">
        <v>1</v>
      </c>
      <c r="D805">
        <v>20</v>
      </c>
      <c r="E805">
        <v>20</v>
      </c>
      <c r="F805" s="1">
        <v>45692</v>
      </c>
      <c r="G805" s="1">
        <v>45693</v>
      </c>
      <c r="H805" t="s">
        <v>23</v>
      </c>
      <c r="I805" t="s">
        <v>51</v>
      </c>
      <c r="J805">
        <v>5</v>
      </c>
      <c r="K805" t="s">
        <v>19</v>
      </c>
      <c r="L805" t="s">
        <v>62</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x14ac:dyDescent="0.3">
      <c r="A806" t="s">
        <v>899</v>
      </c>
      <c r="B806" t="s">
        <v>22</v>
      </c>
      <c r="C806">
        <v>2</v>
      </c>
      <c r="D806">
        <v>42.9</v>
      </c>
      <c r="E806">
        <v>85.8</v>
      </c>
      <c r="F806" s="1">
        <v>45692</v>
      </c>
      <c r="G806" s="1">
        <v>45694</v>
      </c>
      <c r="H806" t="s">
        <v>27</v>
      </c>
      <c r="I806" t="s">
        <v>18</v>
      </c>
      <c r="J806">
        <v>5</v>
      </c>
      <c r="K806" t="s">
        <v>19</v>
      </c>
      <c r="L806" t="s">
        <v>62</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x14ac:dyDescent="0.3">
      <c r="A807" t="s">
        <v>900</v>
      </c>
      <c r="B807" t="s">
        <v>42</v>
      </c>
      <c r="C807">
        <v>7</v>
      </c>
      <c r="D807">
        <v>55.6</v>
      </c>
      <c r="E807">
        <v>389.2</v>
      </c>
      <c r="F807" s="1">
        <v>45692</v>
      </c>
      <c r="G807" s="1">
        <v>45694</v>
      </c>
      <c r="H807" t="s">
        <v>27</v>
      </c>
      <c r="I807" t="s">
        <v>40</v>
      </c>
      <c r="J807">
        <v>3</v>
      </c>
      <c r="K807" t="s">
        <v>19</v>
      </c>
      <c r="L807" t="s">
        <v>62</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x14ac:dyDescent="0.3">
      <c r="A808" t="s">
        <v>901</v>
      </c>
      <c r="B808" t="s">
        <v>44</v>
      </c>
      <c r="C808">
        <v>4</v>
      </c>
      <c r="D808">
        <v>19.2</v>
      </c>
      <c r="E808">
        <v>76.8</v>
      </c>
      <c r="F808" s="1">
        <v>45692</v>
      </c>
      <c r="G808" s="1">
        <v>45697</v>
      </c>
      <c r="H808" t="s">
        <v>27</v>
      </c>
      <c r="I808" t="s">
        <v>18</v>
      </c>
      <c r="J808">
        <v>4</v>
      </c>
      <c r="K808" t="s">
        <v>19</v>
      </c>
      <c r="L808" t="s">
        <v>429</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x14ac:dyDescent="0.3">
      <c r="A809" t="s">
        <v>902</v>
      </c>
      <c r="B809" t="s">
        <v>37</v>
      </c>
      <c r="C809">
        <v>2</v>
      </c>
      <c r="D809">
        <v>28.8</v>
      </c>
      <c r="E809">
        <v>57.6</v>
      </c>
      <c r="F809" s="1">
        <v>45692</v>
      </c>
      <c r="G809" s="1">
        <v>45694</v>
      </c>
      <c r="H809" t="s">
        <v>23</v>
      </c>
      <c r="I809" t="s">
        <v>35</v>
      </c>
      <c r="J809">
        <v>4</v>
      </c>
      <c r="K809" t="s">
        <v>19</v>
      </c>
      <c r="L809" t="s">
        <v>108</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x14ac:dyDescent="0.3">
      <c r="A810" t="s">
        <v>903</v>
      </c>
      <c r="B810" t="s">
        <v>32</v>
      </c>
      <c r="C810">
        <v>1</v>
      </c>
      <c r="D810">
        <v>29.7</v>
      </c>
      <c r="E810">
        <v>29.7</v>
      </c>
      <c r="F810" s="1">
        <v>45692</v>
      </c>
      <c r="G810" s="1">
        <v>45694</v>
      </c>
      <c r="H810" t="s">
        <v>27</v>
      </c>
      <c r="I810" t="s">
        <v>40</v>
      </c>
      <c r="J810">
        <v>2</v>
      </c>
      <c r="K810" t="s">
        <v>19</v>
      </c>
      <c r="L810" t="s">
        <v>113</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x14ac:dyDescent="0.3">
      <c r="A811" t="s">
        <v>904</v>
      </c>
      <c r="B811" t="s">
        <v>39</v>
      </c>
      <c r="C811">
        <v>6</v>
      </c>
      <c r="D811">
        <v>63.3</v>
      </c>
      <c r="E811">
        <v>379.79999999999995</v>
      </c>
      <c r="F811" s="1">
        <v>45692</v>
      </c>
      <c r="G811" s="1">
        <v>45693</v>
      </c>
      <c r="H811" t="s">
        <v>17</v>
      </c>
      <c r="I811" t="s">
        <v>18</v>
      </c>
      <c r="J811">
        <v>5</v>
      </c>
      <c r="K811" t="s">
        <v>19</v>
      </c>
      <c r="L811" t="s">
        <v>115</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x14ac:dyDescent="0.3">
      <c r="A812" t="s">
        <v>905</v>
      </c>
      <c r="B812" t="s">
        <v>32</v>
      </c>
      <c r="C812">
        <v>1</v>
      </c>
      <c r="D812">
        <v>46</v>
      </c>
      <c r="E812">
        <v>46</v>
      </c>
      <c r="F812" s="1">
        <v>45692</v>
      </c>
      <c r="G812" s="1">
        <v>45693</v>
      </c>
      <c r="H812" t="s">
        <v>27</v>
      </c>
      <c r="I812" t="s">
        <v>18</v>
      </c>
      <c r="J812">
        <v>5</v>
      </c>
      <c r="K812" t="s">
        <v>19</v>
      </c>
      <c r="L812" t="s">
        <v>115</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x14ac:dyDescent="0.3">
      <c r="A813" t="s">
        <v>906</v>
      </c>
      <c r="B813" t="s">
        <v>67</v>
      </c>
      <c r="C813">
        <v>3</v>
      </c>
      <c r="D813">
        <v>38</v>
      </c>
      <c r="E813">
        <v>114</v>
      </c>
      <c r="F813" s="1">
        <v>45692</v>
      </c>
      <c r="G813" s="1">
        <v>45694</v>
      </c>
      <c r="H813" t="s">
        <v>27</v>
      </c>
      <c r="I813" t="s">
        <v>35</v>
      </c>
      <c r="J813">
        <v>5</v>
      </c>
      <c r="K813" t="s">
        <v>19</v>
      </c>
      <c r="L813" t="s">
        <v>115</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x14ac:dyDescent="0.3">
      <c r="A814" t="s">
        <v>907</v>
      </c>
      <c r="B814" t="s">
        <v>54</v>
      </c>
      <c r="C814">
        <v>13</v>
      </c>
      <c r="D814">
        <v>34.6</v>
      </c>
      <c r="E814">
        <v>449.8</v>
      </c>
      <c r="F814" s="1">
        <v>45692</v>
      </c>
      <c r="G814" s="1">
        <v>45694</v>
      </c>
      <c r="H814" t="s">
        <v>27</v>
      </c>
      <c r="I814" t="s">
        <v>18</v>
      </c>
      <c r="J814">
        <v>3</v>
      </c>
      <c r="K814" t="s">
        <v>19</v>
      </c>
      <c r="L814" t="s">
        <v>115</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x14ac:dyDescent="0.3">
      <c r="A815" t="s">
        <v>908</v>
      </c>
      <c r="B815" t="s">
        <v>30</v>
      </c>
      <c r="C815">
        <v>10</v>
      </c>
      <c r="D815">
        <v>79.7</v>
      </c>
      <c r="E815">
        <v>797</v>
      </c>
      <c r="F815" s="1">
        <v>45692</v>
      </c>
      <c r="G815" s="1">
        <v>45693</v>
      </c>
      <c r="H815" t="s">
        <v>27</v>
      </c>
      <c r="I815" t="s">
        <v>70</v>
      </c>
      <c r="J815">
        <v>3</v>
      </c>
      <c r="K815" t="s">
        <v>19</v>
      </c>
      <c r="L815" t="s">
        <v>115</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x14ac:dyDescent="0.3">
      <c r="A816" t="s">
        <v>909</v>
      </c>
      <c r="B816" t="s">
        <v>44</v>
      </c>
      <c r="C816">
        <v>8</v>
      </c>
      <c r="D816">
        <v>30.5</v>
      </c>
      <c r="E816">
        <v>244</v>
      </c>
      <c r="F816" s="1">
        <v>45692</v>
      </c>
      <c r="G816" s="1">
        <v>45696</v>
      </c>
      <c r="H816" t="s">
        <v>23</v>
      </c>
      <c r="I816" t="s">
        <v>51</v>
      </c>
      <c r="J816">
        <v>4</v>
      </c>
      <c r="K816" t="s">
        <v>19</v>
      </c>
      <c r="L816" t="s">
        <v>24</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x14ac:dyDescent="0.3">
      <c r="A817" t="s">
        <v>910</v>
      </c>
      <c r="B817" t="s">
        <v>16</v>
      </c>
      <c r="C817">
        <v>2</v>
      </c>
      <c r="D817">
        <v>20.8</v>
      </c>
      <c r="E817">
        <v>41.6</v>
      </c>
      <c r="F817" s="1">
        <v>45692</v>
      </c>
      <c r="G817" s="1">
        <v>45693</v>
      </c>
      <c r="H817" t="s">
        <v>27</v>
      </c>
      <c r="I817" t="s">
        <v>18</v>
      </c>
      <c r="J817">
        <v>4</v>
      </c>
      <c r="K817" t="s">
        <v>19</v>
      </c>
      <c r="L817" t="s">
        <v>28</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x14ac:dyDescent="0.3">
      <c r="A818" t="s">
        <v>911</v>
      </c>
      <c r="B818" t="s">
        <v>67</v>
      </c>
      <c r="C818">
        <v>7</v>
      </c>
      <c r="D818">
        <v>48.5</v>
      </c>
      <c r="E818">
        <v>339.5</v>
      </c>
      <c r="F818" s="1">
        <v>45692</v>
      </c>
      <c r="G818" s="1">
        <v>45696</v>
      </c>
      <c r="H818" t="s">
        <v>27</v>
      </c>
      <c r="I818" t="s">
        <v>40</v>
      </c>
      <c r="J818">
        <v>5</v>
      </c>
      <c r="K818" t="s">
        <v>19</v>
      </c>
      <c r="L818" t="s">
        <v>28</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x14ac:dyDescent="0.3">
      <c r="A819" t="s">
        <v>912</v>
      </c>
      <c r="B819" t="s">
        <v>26</v>
      </c>
      <c r="C819">
        <v>4</v>
      </c>
      <c r="D819">
        <v>61.8</v>
      </c>
      <c r="E819">
        <v>247.2</v>
      </c>
      <c r="F819" s="1">
        <v>45692</v>
      </c>
      <c r="G819" s="1">
        <v>45696</v>
      </c>
      <c r="H819" t="s">
        <v>27</v>
      </c>
      <c r="I819" t="s">
        <v>70</v>
      </c>
      <c r="J819">
        <v>4</v>
      </c>
      <c r="K819" t="s">
        <v>19</v>
      </c>
      <c r="L819" t="s">
        <v>147</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x14ac:dyDescent="0.3">
      <c r="A820" t="s">
        <v>913</v>
      </c>
      <c r="B820" t="s">
        <v>54</v>
      </c>
      <c r="C820">
        <v>1</v>
      </c>
      <c r="D820">
        <v>46.1</v>
      </c>
      <c r="E820">
        <v>46.1</v>
      </c>
      <c r="F820" s="1">
        <v>45692</v>
      </c>
      <c r="G820" s="1">
        <v>45693</v>
      </c>
      <c r="H820" t="s">
        <v>89</v>
      </c>
      <c r="I820" t="s">
        <v>40</v>
      </c>
      <c r="J820">
        <v>4</v>
      </c>
      <c r="K820" t="s">
        <v>19</v>
      </c>
      <c r="L820" t="s">
        <v>33</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x14ac:dyDescent="0.3">
      <c r="A821" t="s">
        <v>914</v>
      </c>
      <c r="B821" t="s">
        <v>32</v>
      </c>
      <c r="C821">
        <v>6</v>
      </c>
      <c r="D821">
        <v>44</v>
      </c>
      <c r="E821">
        <v>264</v>
      </c>
      <c r="F821" s="1">
        <v>45692</v>
      </c>
      <c r="G821" s="1">
        <v>45693</v>
      </c>
      <c r="H821" t="s">
        <v>27</v>
      </c>
      <c r="I821" t="s">
        <v>18</v>
      </c>
      <c r="J821">
        <v>4</v>
      </c>
      <c r="K821" t="s">
        <v>19</v>
      </c>
      <c r="L821" t="s">
        <v>33</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x14ac:dyDescent="0.3">
      <c r="A822" t="s">
        <v>915</v>
      </c>
      <c r="B822" t="s">
        <v>146</v>
      </c>
      <c r="C822">
        <v>2</v>
      </c>
      <c r="D822">
        <v>95.7</v>
      </c>
      <c r="E822">
        <v>191.4</v>
      </c>
      <c r="F822" s="1">
        <v>45692</v>
      </c>
      <c r="G822" s="1">
        <v>45698</v>
      </c>
      <c r="H822" t="s">
        <v>27</v>
      </c>
      <c r="I822" t="s">
        <v>51</v>
      </c>
      <c r="J822">
        <v>5</v>
      </c>
      <c r="K822" t="s">
        <v>19</v>
      </c>
      <c r="L822" t="s">
        <v>33</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x14ac:dyDescent="0.3">
      <c r="A823" t="s">
        <v>916</v>
      </c>
      <c r="B823" t="s">
        <v>42</v>
      </c>
      <c r="C823">
        <v>5</v>
      </c>
      <c r="D823">
        <v>46.4</v>
      </c>
      <c r="E823">
        <v>232</v>
      </c>
      <c r="F823" s="1">
        <v>45692</v>
      </c>
      <c r="G823" s="1">
        <v>45695</v>
      </c>
      <c r="H823" t="s">
        <v>27</v>
      </c>
      <c r="I823" t="s">
        <v>18</v>
      </c>
      <c r="J823">
        <v>4</v>
      </c>
      <c r="K823" t="s">
        <v>19</v>
      </c>
      <c r="L823" t="s">
        <v>33</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x14ac:dyDescent="0.3">
      <c r="A824" t="s">
        <v>917</v>
      </c>
      <c r="B824" t="s">
        <v>39</v>
      </c>
      <c r="C824">
        <v>2</v>
      </c>
      <c r="D824">
        <v>47.2</v>
      </c>
      <c r="E824">
        <v>94.4</v>
      </c>
      <c r="F824" s="1">
        <v>45692</v>
      </c>
      <c r="G824" s="1">
        <v>45694</v>
      </c>
      <c r="H824" t="s">
        <v>27</v>
      </c>
      <c r="I824" t="s">
        <v>18</v>
      </c>
      <c r="J824">
        <v>5</v>
      </c>
      <c r="K824" t="s">
        <v>19</v>
      </c>
      <c r="L824" t="s">
        <v>33</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x14ac:dyDescent="0.3">
      <c r="A825" t="s">
        <v>918</v>
      </c>
      <c r="B825" t="s">
        <v>42</v>
      </c>
      <c r="C825">
        <v>2</v>
      </c>
      <c r="D825">
        <v>58.6</v>
      </c>
      <c r="E825">
        <v>117.2</v>
      </c>
      <c r="F825" s="1">
        <v>45692</v>
      </c>
      <c r="G825" s="1">
        <v>45693</v>
      </c>
      <c r="H825" t="s">
        <v>27</v>
      </c>
      <c r="I825" t="s">
        <v>40</v>
      </c>
      <c r="J825">
        <v>3</v>
      </c>
      <c r="K825" t="s">
        <v>19</v>
      </c>
      <c r="L825" t="s">
        <v>33</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x14ac:dyDescent="0.3">
      <c r="A826" t="s">
        <v>919</v>
      </c>
      <c r="B826" t="s">
        <v>32</v>
      </c>
      <c r="C826">
        <v>3</v>
      </c>
      <c r="D826">
        <v>57</v>
      </c>
      <c r="E826">
        <v>171</v>
      </c>
      <c r="F826" s="1">
        <v>45692</v>
      </c>
      <c r="G826" s="1">
        <v>45693</v>
      </c>
      <c r="H826" t="s">
        <v>23</v>
      </c>
      <c r="I826" t="s">
        <v>18</v>
      </c>
      <c r="J826">
        <v>5</v>
      </c>
      <c r="K826" t="s">
        <v>19</v>
      </c>
      <c r="L826" t="s">
        <v>33</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x14ac:dyDescent="0.3">
      <c r="A827" t="s">
        <v>920</v>
      </c>
      <c r="B827" t="s">
        <v>44</v>
      </c>
      <c r="C827">
        <v>4</v>
      </c>
      <c r="D827">
        <v>28.9</v>
      </c>
      <c r="E827">
        <v>115.6</v>
      </c>
      <c r="F827" s="1">
        <v>45692</v>
      </c>
      <c r="G827" s="1">
        <v>45696</v>
      </c>
      <c r="H827" t="s">
        <v>23</v>
      </c>
      <c r="I827" t="s">
        <v>40</v>
      </c>
      <c r="J827">
        <v>4</v>
      </c>
      <c r="K827" t="s">
        <v>19</v>
      </c>
      <c r="L827" t="s">
        <v>33</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x14ac:dyDescent="0.3">
      <c r="A828" t="s">
        <v>921</v>
      </c>
      <c r="B828" t="s">
        <v>69</v>
      </c>
      <c r="C828">
        <v>5</v>
      </c>
      <c r="D828">
        <v>60.7</v>
      </c>
      <c r="E828">
        <v>303.5</v>
      </c>
      <c r="F828" s="1">
        <v>45692</v>
      </c>
      <c r="G828" s="1">
        <v>45696</v>
      </c>
      <c r="H828" t="s">
        <v>17</v>
      </c>
      <c r="I828" t="s">
        <v>35</v>
      </c>
      <c r="J828">
        <v>3</v>
      </c>
      <c r="K828" t="s">
        <v>19</v>
      </c>
      <c r="L828" t="s">
        <v>33</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x14ac:dyDescent="0.3">
      <c r="A829" t="s">
        <v>922</v>
      </c>
      <c r="B829" t="s">
        <v>39</v>
      </c>
      <c r="C829">
        <v>5</v>
      </c>
      <c r="D829">
        <v>60.8</v>
      </c>
      <c r="E829">
        <v>304</v>
      </c>
      <c r="F829" s="1">
        <v>45692</v>
      </c>
      <c r="G829" s="1">
        <v>45696</v>
      </c>
      <c r="H829" t="s">
        <v>23</v>
      </c>
      <c r="I829" t="s">
        <v>18</v>
      </c>
      <c r="J829">
        <v>3</v>
      </c>
      <c r="K829" t="s">
        <v>19</v>
      </c>
      <c r="L829" t="s">
        <v>33</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x14ac:dyDescent="0.3">
      <c r="A830" t="s">
        <v>923</v>
      </c>
      <c r="B830" t="s">
        <v>39</v>
      </c>
      <c r="C830">
        <v>5</v>
      </c>
      <c r="D830">
        <v>64.599999999999994</v>
      </c>
      <c r="E830">
        <v>323</v>
      </c>
      <c r="F830" s="1">
        <v>45692</v>
      </c>
      <c r="G830" s="1">
        <v>45693</v>
      </c>
      <c r="H830" t="s">
        <v>27</v>
      </c>
      <c r="I830" t="s">
        <v>51</v>
      </c>
      <c r="J830">
        <v>4</v>
      </c>
      <c r="K830" t="s">
        <v>19</v>
      </c>
      <c r="L830" t="s">
        <v>33</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x14ac:dyDescent="0.3">
      <c r="A831" t="s">
        <v>924</v>
      </c>
      <c r="B831" t="s">
        <v>44</v>
      </c>
      <c r="C831">
        <v>1</v>
      </c>
      <c r="D831">
        <v>21.9</v>
      </c>
      <c r="E831">
        <v>21.9</v>
      </c>
      <c r="F831" s="1">
        <v>45692</v>
      </c>
      <c r="G831" s="1">
        <v>45695</v>
      </c>
      <c r="H831" t="s">
        <v>23</v>
      </c>
      <c r="I831" t="s">
        <v>35</v>
      </c>
      <c r="J831">
        <v>5</v>
      </c>
      <c r="K831" t="s">
        <v>19</v>
      </c>
      <c r="L831" t="s">
        <v>49</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x14ac:dyDescent="0.3">
      <c r="A832" t="s">
        <v>925</v>
      </c>
      <c r="B832" t="s">
        <v>32</v>
      </c>
      <c r="C832">
        <v>12</v>
      </c>
      <c r="D832">
        <v>33.4</v>
      </c>
      <c r="E832">
        <v>400.79999999999995</v>
      </c>
      <c r="F832" s="1">
        <v>45692</v>
      </c>
      <c r="G832" s="1">
        <v>45694</v>
      </c>
      <c r="H832" t="s">
        <v>27</v>
      </c>
      <c r="I832" t="s">
        <v>18</v>
      </c>
      <c r="J832">
        <v>4</v>
      </c>
      <c r="K832" t="s">
        <v>19</v>
      </c>
      <c r="L832" t="s">
        <v>158</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x14ac:dyDescent="0.3">
      <c r="A833" t="s">
        <v>926</v>
      </c>
      <c r="B833" t="s">
        <v>26</v>
      </c>
      <c r="C833">
        <v>1</v>
      </c>
      <c r="D833">
        <v>51.7</v>
      </c>
      <c r="E833">
        <v>51.7</v>
      </c>
      <c r="F833" s="1">
        <v>45692</v>
      </c>
      <c r="G833" s="1">
        <v>45693</v>
      </c>
      <c r="H833" t="s">
        <v>17</v>
      </c>
      <c r="I833" t="s">
        <v>18</v>
      </c>
      <c r="J833">
        <v>4</v>
      </c>
      <c r="K833" t="s">
        <v>19</v>
      </c>
      <c r="L833" t="s">
        <v>55</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x14ac:dyDescent="0.3">
      <c r="A834" t="s">
        <v>927</v>
      </c>
      <c r="B834" t="s">
        <v>22</v>
      </c>
      <c r="C834">
        <v>4</v>
      </c>
      <c r="D834">
        <v>84.9</v>
      </c>
      <c r="E834">
        <v>339.6</v>
      </c>
      <c r="F834" s="1">
        <v>45692</v>
      </c>
      <c r="G834" s="1">
        <v>45693</v>
      </c>
      <c r="H834" t="s">
        <v>27</v>
      </c>
      <c r="I834" t="s">
        <v>35</v>
      </c>
      <c r="J834">
        <v>3</v>
      </c>
      <c r="K834" t="s">
        <v>19</v>
      </c>
      <c r="L834" t="s">
        <v>55</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x14ac:dyDescent="0.3">
      <c r="A835" t="s">
        <v>928</v>
      </c>
      <c r="B835" t="s">
        <v>22</v>
      </c>
      <c r="C835">
        <v>11</v>
      </c>
      <c r="D835">
        <v>62.3</v>
      </c>
      <c r="E835">
        <v>685.3</v>
      </c>
      <c r="F835" s="1">
        <v>45692</v>
      </c>
      <c r="G835" s="1">
        <v>45693</v>
      </c>
      <c r="H835" t="s">
        <v>27</v>
      </c>
      <c r="I835" t="s">
        <v>40</v>
      </c>
      <c r="J835">
        <v>5</v>
      </c>
      <c r="K835" t="s">
        <v>19</v>
      </c>
      <c r="L835" t="s">
        <v>59</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x14ac:dyDescent="0.3">
      <c r="A836" t="s">
        <v>929</v>
      </c>
      <c r="B836" t="s">
        <v>32</v>
      </c>
      <c r="C836">
        <v>1</v>
      </c>
      <c r="D836">
        <v>50.7</v>
      </c>
      <c r="E836">
        <v>50.7</v>
      </c>
      <c r="F836" s="1">
        <v>45692</v>
      </c>
      <c r="G836" s="1">
        <v>45694</v>
      </c>
      <c r="H836" t="s">
        <v>23</v>
      </c>
      <c r="I836" t="s">
        <v>40</v>
      </c>
      <c r="J836">
        <v>5</v>
      </c>
      <c r="K836" t="s">
        <v>19</v>
      </c>
      <c r="L836" t="s">
        <v>62</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x14ac:dyDescent="0.3">
      <c r="A837" t="s">
        <v>930</v>
      </c>
      <c r="B837" t="s">
        <v>146</v>
      </c>
      <c r="C837">
        <v>1</v>
      </c>
      <c r="D837">
        <v>39.5</v>
      </c>
      <c r="E837">
        <v>39.5</v>
      </c>
      <c r="F837" s="1">
        <v>45692</v>
      </c>
      <c r="G837" s="1">
        <v>45693</v>
      </c>
      <c r="H837" t="s">
        <v>23</v>
      </c>
      <c r="I837" t="s">
        <v>70</v>
      </c>
      <c r="J837">
        <v>3</v>
      </c>
      <c r="K837" t="s">
        <v>19</v>
      </c>
      <c r="L837" t="s">
        <v>62</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x14ac:dyDescent="0.3">
      <c r="A838" t="s">
        <v>931</v>
      </c>
      <c r="B838" t="s">
        <v>69</v>
      </c>
      <c r="C838">
        <v>3</v>
      </c>
      <c r="D838">
        <v>30.9</v>
      </c>
      <c r="E838">
        <v>92.699999999999989</v>
      </c>
      <c r="F838" s="1">
        <v>45692</v>
      </c>
      <c r="G838" s="1">
        <v>45693</v>
      </c>
      <c r="H838" t="s">
        <v>17</v>
      </c>
      <c r="I838" t="s">
        <v>70</v>
      </c>
      <c r="J838">
        <v>5</v>
      </c>
      <c r="K838" t="s">
        <v>19</v>
      </c>
      <c r="L838" t="s">
        <v>62</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x14ac:dyDescent="0.3">
      <c r="A839" t="s">
        <v>932</v>
      </c>
      <c r="B839" t="s">
        <v>22</v>
      </c>
      <c r="C839">
        <v>7</v>
      </c>
      <c r="D839">
        <v>36.4</v>
      </c>
      <c r="E839">
        <v>254.79999999999998</v>
      </c>
      <c r="F839" s="1">
        <v>45692</v>
      </c>
      <c r="G839" s="1">
        <v>45695</v>
      </c>
      <c r="H839" t="s">
        <v>27</v>
      </c>
      <c r="I839" t="s">
        <v>18</v>
      </c>
      <c r="J839">
        <v>5</v>
      </c>
      <c r="K839" t="s">
        <v>19</v>
      </c>
      <c r="L839" t="s">
        <v>62</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x14ac:dyDescent="0.3">
      <c r="A840" t="s">
        <v>933</v>
      </c>
      <c r="B840" t="s">
        <v>39</v>
      </c>
      <c r="C840">
        <v>8</v>
      </c>
      <c r="D840">
        <v>105.6</v>
      </c>
      <c r="E840">
        <v>844.8</v>
      </c>
      <c r="F840" s="1">
        <v>45692</v>
      </c>
      <c r="G840" s="1">
        <v>45702</v>
      </c>
      <c r="H840" t="s">
        <v>27</v>
      </c>
      <c r="I840" t="s">
        <v>18</v>
      </c>
      <c r="J840">
        <v>4</v>
      </c>
      <c r="K840" t="s">
        <v>19</v>
      </c>
      <c r="L840" t="s">
        <v>62</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x14ac:dyDescent="0.3">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x14ac:dyDescent="0.3">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x14ac:dyDescent="0.3">
      <c r="A843" t="s">
        <v>936</v>
      </c>
      <c r="B843" t="s">
        <v>54</v>
      </c>
      <c r="C843">
        <v>6</v>
      </c>
      <c r="D843">
        <v>26.3</v>
      </c>
      <c r="E843">
        <v>157.80000000000001</v>
      </c>
      <c r="F843" s="1">
        <v>45692</v>
      </c>
      <c r="G843" s="1">
        <v>45692</v>
      </c>
      <c r="H843" t="s">
        <v>27</v>
      </c>
      <c r="I843" t="s">
        <v>40</v>
      </c>
      <c r="J843">
        <v>4</v>
      </c>
      <c r="K843" t="s">
        <v>19</v>
      </c>
      <c r="L843" t="s">
        <v>72</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x14ac:dyDescent="0.3">
      <c r="A844" t="s">
        <v>937</v>
      </c>
      <c r="B844" t="s">
        <v>22</v>
      </c>
      <c r="C844">
        <v>4</v>
      </c>
      <c r="D844">
        <v>37.799999999999997</v>
      </c>
      <c r="E844">
        <v>151.19999999999999</v>
      </c>
      <c r="F844" s="1">
        <v>45692</v>
      </c>
      <c r="G844" s="1">
        <v>45693</v>
      </c>
      <c r="H844" t="s">
        <v>27</v>
      </c>
      <c r="I844" t="s">
        <v>18</v>
      </c>
      <c r="J844">
        <v>5</v>
      </c>
      <c r="K844" t="s">
        <v>19</v>
      </c>
      <c r="L844" t="s">
        <v>77</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x14ac:dyDescent="0.3">
      <c r="A845" t="s">
        <v>938</v>
      </c>
      <c r="B845" t="s">
        <v>39</v>
      </c>
      <c r="C845">
        <v>17</v>
      </c>
      <c r="D845">
        <v>96</v>
      </c>
      <c r="E845">
        <v>1632</v>
      </c>
      <c r="F845" s="1">
        <v>45692</v>
      </c>
      <c r="G845" s="1">
        <v>45695</v>
      </c>
      <c r="H845" t="s">
        <v>27</v>
      </c>
      <c r="I845" t="s">
        <v>70</v>
      </c>
      <c r="J845">
        <v>3</v>
      </c>
      <c r="K845" t="s">
        <v>19</v>
      </c>
      <c r="L845" t="s">
        <v>108</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x14ac:dyDescent="0.3">
      <c r="A846" t="s">
        <v>939</v>
      </c>
      <c r="B846" t="s">
        <v>22</v>
      </c>
      <c r="C846">
        <v>1</v>
      </c>
      <c r="D846">
        <v>83.6</v>
      </c>
      <c r="E846">
        <v>83.6</v>
      </c>
      <c r="F846" s="1">
        <v>45692</v>
      </c>
      <c r="G846" s="1">
        <v>45695</v>
      </c>
      <c r="H846" t="s">
        <v>27</v>
      </c>
      <c r="I846" t="s">
        <v>40</v>
      </c>
      <c r="J846">
        <v>3</v>
      </c>
      <c r="K846" t="s">
        <v>19</v>
      </c>
      <c r="L846" t="s">
        <v>110</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x14ac:dyDescent="0.3">
      <c r="A847" t="s">
        <v>940</v>
      </c>
      <c r="B847" t="s">
        <v>26</v>
      </c>
      <c r="C847">
        <v>6</v>
      </c>
      <c r="D847">
        <v>72.599999999999994</v>
      </c>
      <c r="E847">
        <v>435.59999999999997</v>
      </c>
      <c r="F847" s="1">
        <v>45692</v>
      </c>
      <c r="G847" s="1">
        <v>45693</v>
      </c>
      <c r="H847" t="s">
        <v>27</v>
      </c>
      <c r="I847" t="s">
        <v>18</v>
      </c>
      <c r="J847">
        <v>4</v>
      </c>
      <c r="K847" t="s">
        <v>19</v>
      </c>
      <c r="L847" t="s">
        <v>115</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x14ac:dyDescent="0.3">
      <c r="A848" t="s">
        <v>941</v>
      </c>
      <c r="B848" t="s">
        <v>37</v>
      </c>
      <c r="C848">
        <v>20</v>
      </c>
      <c r="D848">
        <v>69.099999999999994</v>
      </c>
      <c r="E848">
        <v>1382</v>
      </c>
      <c r="F848" s="1">
        <v>45693</v>
      </c>
      <c r="G848" s="1">
        <v>45699</v>
      </c>
      <c r="H848" t="s">
        <v>23</v>
      </c>
      <c r="I848" t="s">
        <v>18</v>
      </c>
      <c r="J848">
        <v>5</v>
      </c>
      <c r="K848" t="s">
        <v>19</v>
      </c>
      <c r="L848" t="s">
        <v>115</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x14ac:dyDescent="0.3">
      <c r="A849" t="s">
        <v>942</v>
      </c>
      <c r="B849" t="s">
        <v>32</v>
      </c>
      <c r="C849">
        <v>2</v>
      </c>
      <c r="D849">
        <v>22.6</v>
      </c>
      <c r="E849">
        <v>45.2</v>
      </c>
      <c r="F849" s="1">
        <v>45693</v>
      </c>
      <c r="G849" s="1">
        <v>45695</v>
      </c>
      <c r="H849" t="s">
        <v>27</v>
      </c>
      <c r="I849" t="s">
        <v>35</v>
      </c>
      <c r="J849">
        <v>5</v>
      </c>
      <c r="K849" t="s">
        <v>19</v>
      </c>
      <c r="L849" t="s">
        <v>115</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x14ac:dyDescent="0.3">
      <c r="A850" t="s">
        <v>943</v>
      </c>
      <c r="B850" t="s">
        <v>39</v>
      </c>
      <c r="C850">
        <v>2</v>
      </c>
      <c r="D850">
        <v>45.3</v>
      </c>
      <c r="E850">
        <v>90.6</v>
      </c>
      <c r="F850" s="1">
        <v>45693</v>
      </c>
      <c r="G850" s="1">
        <v>45697</v>
      </c>
      <c r="H850" t="s">
        <v>23</v>
      </c>
      <c r="I850" t="s">
        <v>70</v>
      </c>
      <c r="J850">
        <v>5</v>
      </c>
      <c r="K850" t="s">
        <v>19</v>
      </c>
      <c r="L850" t="s">
        <v>115</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x14ac:dyDescent="0.3">
      <c r="A851" t="s">
        <v>944</v>
      </c>
      <c r="B851" t="s">
        <v>26</v>
      </c>
      <c r="C851">
        <v>2</v>
      </c>
      <c r="D851">
        <v>115.1</v>
      </c>
      <c r="E851">
        <v>230.2</v>
      </c>
      <c r="F851" s="1">
        <v>45693</v>
      </c>
      <c r="G851" s="1">
        <v>45694</v>
      </c>
      <c r="H851" t="s">
        <v>27</v>
      </c>
      <c r="I851" t="s">
        <v>35</v>
      </c>
      <c r="J851">
        <v>4</v>
      </c>
      <c r="K851" t="s">
        <v>19</v>
      </c>
      <c r="L851" t="s">
        <v>24</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x14ac:dyDescent="0.3">
      <c r="A852" t="s">
        <v>945</v>
      </c>
      <c r="B852" t="s">
        <v>146</v>
      </c>
      <c r="C852">
        <v>4</v>
      </c>
      <c r="D852">
        <v>79</v>
      </c>
      <c r="E852">
        <v>316</v>
      </c>
      <c r="F852" s="1">
        <v>45693</v>
      </c>
      <c r="G852" s="1">
        <v>45695</v>
      </c>
      <c r="H852" t="s">
        <v>23</v>
      </c>
      <c r="I852" t="s">
        <v>40</v>
      </c>
      <c r="J852">
        <v>2</v>
      </c>
      <c r="K852" t="s">
        <v>19</v>
      </c>
      <c r="L852" t="s">
        <v>24</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x14ac:dyDescent="0.3">
      <c r="A853" t="s">
        <v>946</v>
      </c>
      <c r="B853" t="s">
        <v>39</v>
      </c>
      <c r="C853">
        <v>5</v>
      </c>
      <c r="D853">
        <v>52.8</v>
      </c>
      <c r="E853">
        <v>264</v>
      </c>
      <c r="F853" s="1">
        <v>45693</v>
      </c>
      <c r="G853" s="1">
        <v>45694</v>
      </c>
      <c r="H853" t="s">
        <v>27</v>
      </c>
      <c r="I853" t="s">
        <v>18</v>
      </c>
      <c r="J853">
        <v>4</v>
      </c>
      <c r="K853" t="s">
        <v>19</v>
      </c>
      <c r="L853" t="s">
        <v>437</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x14ac:dyDescent="0.3">
      <c r="A854" t="s">
        <v>947</v>
      </c>
      <c r="B854" t="s">
        <v>44</v>
      </c>
      <c r="C854">
        <v>2</v>
      </c>
      <c r="D854">
        <v>34.1</v>
      </c>
      <c r="E854">
        <v>68.2</v>
      </c>
      <c r="F854" s="1">
        <v>45693</v>
      </c>
      <c r="G854" s="1">
        <v>45694</v>
      </c>
      <c r="H854" t="s">
        <v>23</v>
      </c>
      <c r="I854" t="s">
        <v>51</v>
      </c>
      <c r="J854">
        <v>5</v>
      </c>
      <c r="K854" t="s">
        <v>19</v>
      </c>
      <c r="L854" t="s">
        <v>587</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x14ac:dyDescent="0.3">
      <c r="A855" t="s">
        <v>948</v>
      </c>
      <c r="B855" t="s">
        <v>39</v>
      </c>
      <c r="C855">
        <v>5</v>
      </c>
      <c r="D855">
        <v>107.9</v>
      </c>
      <c r="E855">
        <v>539.5</v>
      </c>
      <c r="F855" s="1">
        <v>45693</v>
      </c>
      <c r="G855" s="1">
        <v>45693</v>
      </c>
      <c r="H855" t="s">
        <v>27</v>
      </c>
      <c r="I855" t="s">
        <v>18</v>
      </c>
      <c r="J855">
        <v>5</v>
      </c>
      <c r="K855" t="s">
        <v>19</v>
      </c>
      <c r="L855" t="s">
        <v>949</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x14ac:dyDescent="0.3">
      <c r="A856" t="s">
        <v>950</v>
      </c>
      <c r="B856" t="s">
        <v>44</v>
      </c>
      <c r="C856">
        <v>13</v>
      </c>
      <c r="D856">
        <v>48.5</v>
      </c>
      <c r="E856">
        <v>630.5</v>
      </c>
      <c r="F856" s="1">
        <v>45693</v>
      </c>
      <c r="G856" s="1">
        <v>45693</v>
      </c>
      <c r="H856" t="s">
        <v>23</v>
      </c>
      <c r="I856" t="s">
        <v>40</v>
      </c>
      <c r="J856">
        <v>5</v>
      </c>
      <c r="K856" t="s">
        <v>19</v>
      </c>
      <c r="L856" t="s">
        <v>33</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x14ac:dyDescent="0.3">
      <c r="A857" t="s">
        <v>951</v>
      </c>
      <c r="B857" t="s">
        <v>37</v>
      </c>
      <c r="C857">
        <v>3</v>
      </c>
      <c r="D857">
        <v>34.700000000000003</v>
      </c>
      <c r="E857">
        <v>104.10000000000001</v>
      </c>
      <c r="F857" s="1">
        <v>45693</v>
      </c>
      <c r="G857" s="1">
        <v>45694</v>
      </c>
      <c r="H857" t="s">
        <v>17</v>
      </c>
      <c r="I857" t="s">
        <v>70</v>
      </c>
      <c r="J857">
        <v>3</v>
      </c>
      <c r="K857" t="s">
        <v>19</v>
      </c>
      <c r="L857" t="s">
        <v>33</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x14ac:dyDescent="0.3">
      <c r="A858" t="s">
        <v>952</v>
      </c>
      <c r="B858" t="s">
        <v>44</v>
      </c>
      <c r="C858">
        <v>1</v>
      </c>
      <c r="D858">
        <v>16.8</v>
      </c>
      <c r="E858">
        <v>16.8</v>
      </c>
      <c r="F858" s="1">
        <v>45693</v>
      </c>
      <c r="G858" s="1">
        <v>45695</v>
      </c>
      <c r="H858" t="s">
        <v>27</v>
      </c>
      <c r="I858" t="s">
        <v>51</v>
      </c>
      <c r="J858">
        <v>4</v>
      </c>
      <c r="K858" t="s">
        <v>19</v>
      </c>
      <c r="L858" t="s">
        <v>33</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x14ac:dyDescent="0.3">
      <c r="A859" t="s">
        <v>953</v>
      </c>
      <c r="B859" t="s">
        <v>44</v>
      </c>
      <c r="C859">
        <v>6</v>
      </c>
      <c r="D859">
        <v>18.3</v>
      </c>
      <c r="E859">
        <v>109.80000000000001</v>
      </c>
      <c r="F859" s="1">
        <v>45693</v>
      </c>
      <c r="G859" s="1">
        <v>45696</v>
      </c>
      <c r="H859" t="s">
        <v>27</v>
      </c>
      <c r="I859" t="s">
        <v>18</v>
      </c>
      <c r="J859">
        <v>4</v>
      </c>
      <c r="K859" t="s">
        <v>19</v>
      </c>
      <c r="L859" t="s">
        <v>33</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x14ac:dyDescent="0.3">
      <c r="A860" t="s">
        <v>954</v>
      </c>
      <c r="B860" t="s">
        <v>146</v>
      </c>
      <c r="C860">
        <v>3</v>
      </c>
      <c r="D860">
        <v>55.9</v>
      </c>
      <c r="E860">
        <v>167.7</v>
      </c>
      <c r="F860" s="1">
        <v>45693</v>
      </c>
      <c r="G860" s="1">
        <v>45699</v>
      </c>
      <c r="H860" t="s">
        <v>23</v>
      </c>
      <c r="I860" t="s">
        <v>51</v>
      </c>
      <c r="J860">
        <v>3</v>
      </c>
      <c r="K860" t="s">
        <v>19</v>
      </c>
      <c r="L860" t="s">
        <v>33</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x14ac:dyDescent="0.3">
      <c r="A861" t="s">
        <v>955</v>
      </c>
      <c r="B861" t="s">
        <v>44</v>
      </c>
      <c r="C861">
        <v>3</v>
      </c>
      <c r="D861">
        <v>39.200000000000003</v>
      </c>
      <c r="E861">
        <v>117.60000000000001</v>
      </c>
      <c r="F861" s="1">
        <v>45693</v>
      </c>
      <c r="G861" s="1">
        <v>45695</v>
      </c>
      <c r="H861" t="s">
        <v>27</v>
      </c>
      <c r="I861" t="s">
        <v>18</v>
      </c>
      <c r="J861">
        <v>3</v>
      </c>
      <c r="K861" t="s">
        <v>19</v>
      </c>
      <c r="L861" t="s">
        <v>33</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x14ac:dyDescent="0.3">
      <c r="A862" t="s">
        <v>956</v>
      </c>
      <c r="B862" t="s">
        <v>123</v>
      </c>
      <c r="C862">
        <v>4</v>
      </c>
      <c r="D862">
        <v>66.5</v>
      </c>
      <c r="E862">
        <v>266</v>
      </c>
      <c r="F862" s="1">
        <v>45693</v>
      </c>
      <c r="G862" s="1">
        <v>45695</v>
      </c>
      <c r="H862" t="s">
        <v>17</v>
      </c>
      <c r="I862" t="s">
        <v>51</v>
      </c>
      <c r="J862">
        <v>3</v>
      </c>
      <c r="K862" t="s">
        <v>19</v>
      </c>
      <c r="L862" t="s">
        <v>33</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x14ac:dyDescent="0.3">
      <c r="A863" t="s">
        <v>957</v>
      </c>
      <c r="B863" t="s">
        <v>39</v>
      </c>
      <c r="C863">
        <v>6</v>
      </c>
      <c r="D863">
        <v>52.1</v>
      </c>
      <c r="E863">
        <v>312.60000000000002</v>
      </c>
      <c r="F863" s="1">
        <v>45693</v>
      </c>
      <c r="G863" s="1">
        <v>45695</v>
      </c>
      <c r="H863" t="s">
        <v>23</v>
      </c>
      <c r="I863" t="s">
        <v>35</v>
      </c>
      <c r="J863">
        <v>3</v>
      </c>
      <c r="K863" t="s">
        <v>19</v>
      </c>
      <c r="L863" t="s">
        <v>98</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x14ac:dyDescent="0.3">
      <c r="A864" t="s">
        <v>958</v>
      </c>
      <c r="B864" t="s">
        <v>44</v>
      </c>
      <c r="C864">
        <v>2</v>
      </c>
      <c r="D864">
        <v>19</v>
      </c>
      <c r="E864">
        <v>38</v>
      </c>
      <c r="F864" s="1">
        <v>45693</v>
      </c>
      <c r="G864" s="1">
        <v>45694</v>
      </c>
      <c r="H864" t="s">
        <v>23</v>
      </c>
      <c r="I864" t="s">
        <v>70</v>
      </c>
      <c r="J864">
        <v>5</v>
      </c>
      <c r="K864" t="s">
        <v>19</v>
      </c>
      <c r="L864" t="s">
        <v>55</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x14ac:dyDescent="0.3">
      <c r="A865" t="s">
        <v>959</v>
      </c>
      <c r="B865" t="s">
        <v>42</v>
      </c>
      <c r="C865">
        <v>3</v>
      </c>
      <c r="D865">
        <v>84.8</v>
      </c>
      <c r="E865">
        <v>254.39999999999998</v>
      </c>
      <c r="F865" s="1">
        <v>45693</v>
      </c>
      <c r="G865" s="1">
        <v>45695</v>
      </c>
      <c r="H865" t="s">
        <v>27</v>
      </c>
      <c r="I865" t="s">
        <v>40</v>
      </c>
      <c r="J865">
        <v>4</v>
      </c>
      <c r="K865" t="s">
        <v>19</v>
      </c>
      <c r="L865" t="s">
        <v>62</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x14ac:dyDescent="0.3">
      <c r="A866" t="s">
        <v>960</v>
      </c>
      <c r="B866" t="s">
        <v>26</v>
      </c>
      <c r="C866">
        <v>4</v>
      </c>
      <c r="D866">
        <v>63.9</v>
      </c>
      <c r="E866">
        <v>255.6</v>
      </c>
      <c r="F866" s="1">
        <v>45693</v>
      </c>
      <c r="G866" s="1">
        <v>45696</v>
      </c>
      <c r="H866" t="s">
        <v>27</v>
      </c>
      <c r="I866" t="s">
        <v>18</v>
      </c>
      <c r="J866">
        <v>4</v>
      </c>
      <c r="K866" t="s">
        <v>19</v>
      </c>
      <c r="L866" t="s">
        <v>62</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x14ac:dyDescent="0.3">
      <c r="A867" t="s">
        <v>961</v>
      </c>
      <c r="B867" t="s">
        <v>26</v>
      </c>
      <c r="C867">
        <v>3</v>
      </c>
      <c r="D867">
        <v>65.5</v>
      </c>
      <c r="E867">
        <v>196.5</v>
      </c>
      <c r="F867" s="1">
        <v>45693</v>
      </c>
      <c r="G867" s="1">
        <v>45693</v>
      </c>
      <c r="H867" t="s">
        <v>27</v>
      </c>
      <c r="I867" t="s">
        <v>35</v>
      </c>
      <c r="J867">
        <v>3</v>
      </c>
      <c r="K867" t="s">
        <v>19</v>
      </c>
      <c r="L867" t="s">
        <v>62</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x14ac:dyDescent="0.3">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x14ac:dyDescent="0.3">
      <c r="A869" t="s">
        <v>963</v>
      </c>
      <c r="B869" t="s">
        <v>54</v>
      </c>
      <c r="C869">
        <v>4</v>
      </c>
      <c r="D869">
        <v>22.9</v>
      </c>
      <c r="E869">
        <v>91.6</v>
      </c>
      <c r="F869" s="1">
        <v>45693</v>
      </c>
      <c r="G869" s="1">
        <v>45695</v>
      </c>
      <c r="H869" t="s">
        <v>27</v>
      </c>
      <c r="I869" t="s">
        <v>40</v>
      </c>
      <c r="J869">
        <v>3</v>
      </c>
      <c r="K869" t="s">
        <v>19</v>
      </c>
      <c r="L869" t="s">
        <v>377</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x14ac:dyDescent="0.3">
      <c r="A870" t="s">
        <v>964</v>
      </c>
      <c r="B870" t="s">
        <v>54</v>
      </c>
      <c r="C870">
        <v>3</v>
      </c>
      <c r="D870">
        <v>53.7</v>
      </c>
      <c r="E870">
        <v>161.10000000000002</v>
      </c>
      <c r="F870" s="1">
        <v>45693</v>
      </c>
      <c r="G870" s="1">
        <v>45694</v>
      </c>
      <c r="H870" t="s">
        <v>23</v>
      </c>
      <c r="I870" t="s">
        <v>18</v>
      </c>
      <c r="J870">
        <v>2</v>
      </c>
      <c r="K870" t="s">
        <v>19</v>
      </c>
      <c r="L870" t="s">
        <v>108</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x14ac:dyDescent="0.3">
      <c r="A871" t="s">
        <v>965</v>
      </c>
      <c r="B871" t="s">
        <v>39</v>
      </c>
      <c r="C871">
        <v>5</v>
      </c>
      <c r="D871">
        <v>43.2</v>
      </c>
      <c r="E871">
        <v>216</v>
      </c>
      <c r="F871" s="1">
        <v>45693</v>
      </c>
      <c r="G871" s="1">
        <v>45695</v>
      </c>
      <c r="H871" t="s">
        <v>27</v>
      </c>
      <c r="I871" t="s">
        <v>18</v>
      </c>
      <c r="J871">
        <v>4</v>
      </c>
      <c r="K871" t="s">
        <v>19</v>
      </c>
      <c r="L871" t="s">
        <v>110</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x14ac:dyDescent="0.3">
      <c r="A872" t="s">
        <v>966</v>
      </c>
      <c r="B872" t="s">
        <v>22</v>
      </c>
      <c r="C872">
        <v>3</v>
      </c>
      <c r="D872">
        <v>84.5</v>
      </c>
      <c r="E872">
        <v>253.5</v>
      </c>
      <c r="F872" s="1">
        <v>45693</v>
      </c>
      <c r="G872" s="1">
        <v>45695</v>
      </c>
      <c r="H872" t="s">
        <v>23</v>
      </c>
      <c r="I872" t="s">
        <v>40</v>
      </c>
      <c r="J872">
        <v>5</v>
      </c>
      <c r="K872" t="s">
        <v>19</v>
      </c>
      <c r="L872" t="s">
        <v>967</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x14ac:dyDescent="0.3">
      <c r="A873" t="s">
        <v>968</v>
      </c>
      <c r="B873" t="s">
        <v>30</v>
      </c>
      <c r="C873">
        <v>2</v>
      </c>
      <c r="D873">
        <v>42.2</v>
      </c>
      <c r="E873">
        <v>84.4</v>
      </c>
      <c r="F873" s="1">
        <v>45693</v>
      </c>
      <c r="G873" s="1">
        <v>45694</v>
      </c>
      <c r="H873" t="s">
        <v>27</v>
      </c>
      <c r="I873" t="s">
        <v>35</v>
      </c>
      <c r="J873">
        <v>5</v>
      </c>
      <c r="K873" t="s">
        <v>19</v>
      </c>
      <c r="L873" t="s">
        <v>24</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x14ac:dyDescent="0.3">
      <c r="A874" t="s">
        <v>969</v>
      </c>
      <c r="B874" t="s">
        <v>26</v>
      </c>
      <c r="C874">
        <v>6</v>
      </c>
      <c r="D874">
        <v>94.7</v>
      </c>
      <c r="E874">
        <v>568.20000000000005</v>
      </c>
      <c r="F874" s="1">
        <v>45693</v>
      </c>
      <c r="G874" s="1">
        <v>45696</v>
      </c>
      <c r="H874" t="s">
        <v>27</v>
      </c>
      <c r="I874" t="s">
        <v>35</v>
      </c>
      <c r="J874">
        <v>5</v>
      </c>
      <c r="K874" t="s">
        <v>19</v>
      </c>
      <c r="L874" t="s">
        <v>28</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x14ac:dyDescent="0.3">
      <c r="A875" t="s">
        <v>970</v>
      </c>
      <c r="B875" t="s">
        <v>44</v>
      </c>
      <c r="C875">
        <v>18</v>
      </c>
      <c r="D875">
        <v>16.7</v>
      </c>
      <c r="E875">
        <v>300.59999999999997</v>
      </c>
      <c r="F875" s="1">
        <v>45693</v>
      </c>
      <c r="G875" s="1">
        <v>45705</v>
      </c>
      <c r="H875" t="s">
        <v>27</v>
      </c>
      <c r="I875" t="s">
        <v>18</v>
      </c>
      <c r="J875">
        <v>5</v>
      </c>
      <c r="K875" t="s">
        <v>19</v>
      </c>
      <c r="L875" t="s">
        <v>28</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x14ac:dyDescent="0.3">
      <c r="A876" t="s">
        <v>971</v>
      </c>
      <c r="B876" t="s">
        <v>26</v>
      </c>
      <c r="C876">
        <v>2</v>
      </c>
      <c r="D876">
        <v>83.6</v>
      </c>
      <c r="E876">
        <v>167.2</v>
      </c>
      <c r="F876" s="1">
        <v>45693</v>
      </c>
      <c r="G876" s="1">
        <v>45699</v>
      </c>
      <c r="H876" t="s">
        <v>27</v>
      </c>
      <c r="I876" t="s">
        <v>35</v>
      </c>
      <c r="J876">
        <v>4</v>
      </c>
      <c r="K876" t="s">
        <v>19</v>
      </c>
      <c r="L876" t="s">
        <v>33</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x14ac:dyDescent="0.3">
      <c r="A877" t="s">
        <v>972</v>
      </c>
      <c r="B877" t="s">
        <v>42</v>
      </c>
      <c r="C877">
        <v>6</v>
      </c>
      <c r="D877">
        <v>33.6</v>
      </c>
      <c r="E877">
        <v>201.60000000000002</v>
      </c>
      <c r="F877" s="1">
        <v>45694</v>
      </c>
      <c r="G877" s="1">
        <v>45695</v>
      </c>
      <c r="H877" t="s">
        <v>27</v>
      </c>
      <c r="I877" t="s">
        <v>51</v>
      </c>
      <c r="J877">
        <v>4</v>
      </c>
      <c r="K877" t="s">
        <v>19</v>
      </c>
      <c r="L877" t="s">
        <v>33</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x14ac:dyDescent="0.3">
      <c r="A878" t="s">
        <v>973</v>
      </c>
      <c r="B878" t="s">
        <v>42</v>
      </c>
      <c r="C878">
        <v>2</v>
      </c>
      <c r="D878">
        <v>64.7</v>
      </c>
      <c r="E878">
        <v>129.4</v>
      </c>
      <c r="F878" s="1">
        <v>45694</v>
      </c>
      <c r="G878" s="1">
        <v>45696</v>
      </c>
      <c r="H878" t="s">
        <v>23</v>
      </c>
      <c r="I878" t="s">
        <v>35</v>
      </c>
      <c r="J878">
        <v>5</v>
      </c>
      <c r="K878" t="s">
        <v>19</v>
      </c>
      <c r="L878" t="s">
        <v>33</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x14ac:dyDescent="0.3">
      <c r="A879" t="s">
        <v>974</v>
      </c>
      <c r="B879" t="s">
        <v>16</v>
      </c>
      <c r="C879">
        <v>3</v>
      </c>
      <c r="D879">
        <v>15.7</v>
      </c>
      <c r="E879">
        <v>47.099999999999994</v>
      </c>
      <c r="F879" s="1">
        <v>45694</v>
      </c>
      <c r="G879" s="1">
        <v>45700</v>
      </c>
      <c r="H879" t="s">
        <v>27</v>
      </c>
      <c r="I879" t="s">
        <v>18</v>
      </c>
      <c r="J879">
        <v>4</v>
      </c>
      <c r="K879" t="s">
        <v>19</v>
      </c>
      <c r="L879" t="s">
        <v>33</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x14ac:dyDescent="0.3">
      <c r="A880" t="s">
        <v>975</v>
      </c>
      <c r="B880" t="s">
        <v>123</v>
      </c>
      <c r="C880">
        <v>6</v>
      </c>
      <c r="D880">
        <v>49.4</v>
      </c>
      <c r="E880">
        <v>296.39999999999998</v>
      </c>
      <c r="F880" s="1">
        <v>45694</v>
      </c>
      <c r="G880" s="1">
        <v>45694</v>
      </c>
      <c r="H880" t="s">
        <v>23</v>
      </c>
      <c r="I880" t="s">
        <v>35</v>
      </c>
      <c r="J880">
        <v>4</v>
      </c>
      <c r="K880" t="s">
        <v>19</v>
      </c>
      <c r="L880" t="s">
        <v>33</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x14ac:dyDescent="0.3">
      <c r="A881" t="s">
        <v>976</v>
      </c>
      <c r="B881" t="s">
        <v>54</v>
      </c>
      <c r="C881">
        <v>6</v>
      </c>
      <c r="D881">
        <v>37</v>
      </c>
      <c r="E881">
        <v>222</v>
      </c>
      <c r="F881" s="1">
        <v>45694</v>
      </c>
      <c r="G881" s="1">
        <v>45697</v>
      </c>
      <c r="H881" t="s">
        <v>27</v>
      </c>
      <c r="I881" t="s">
        <v>35</v>
      </c>
      <c r="J881">
        <v>5</v>
      </c>
      <c r="K881" t="s">
        <v>19</v>
      </c>
      <c r="L881" t="s">
        <v>33</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x14ac:dyDescent="0.3">
      <c r="A882" t="s">
        <v>977</v>
      </c>
      <c r="B882" t="s">
        <v>26</v>
      </c>
      <c r="C882">
        <v>2</v>
      </c>
      <c r="D882">
        <v>83.7</v>
      </c>
      <c r="E882">
        <v>167.4</v>
      </c>
      <c r="F882" s="1">
        <v>45694</v>
      </c>
      <c r="G882" s="1">
        <v>45696</v>
      </c>
      <c r="H882" t="s">
        <v>27</v>
      </c>
      <c r="I882" t="s">
        <v>51</v>
      </c>
      <c r="J882">
        <v>5</v>
      </c>
      <c r="K882" t="s">
        <v>19</v>
      </c>
      <c r="L882" t="s">
        <v>33</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x14ac:dyDescent="0.3">
      <c r="A883" t="s">
        <v>978</v>
      </c>
      <c r="B883" t="s">
        <v>22</v>
      </c>
      <c r="C883">
        <v>5</v>
      </c>
      <c r="D883">
        <v>35.1</v>
      </c>
      <c r="E883">
        <v>175.5</v>
      </c>
      <c r="F883" s="1">
        <v>45694</v>
      </c>
      <c r="G883" s="1">
        <v>45695</v>
      </c>
      <c r="H883" t="s">
        <v>27</v>
      </c>
      <c r="I883" t="s">
        <v>18</v>
      </c>
      <c r="J883">
        <v>4</v>
      </c>
      <c r="K883" t="s">
        <v>19</v>
      </c>
      <c r="L883" t="s">
        <v>33</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x14ac:dyDescent="0.3">
      <c r="A884" t="s">
        <v>979</v>
      </c>
      <c r="B884" t="s">
        <v>128</v>
      </c>
      <c r="C884">
        <v>8</v>
      </c>
      <c r="D884">
        <v>74</v>
      </c>
      <c r="E884">
        <v>592</v>
      </c>
      <c r="F884" s="1">
        <v>45694</v>
      </c>
      <c r="G884" s="1">
        <v>45695</v>
      </c>
      <c r="H884" t="s">
        <v>27</v>
      </c>
      <c r="I884" t="s">
        <v>70</v>
      </c>
      <c r="J884">
        <v>4</v>
      </c>
      <c r="K884" t="s">
        <v>19</v>
      </c>
      <c r="L884" t="s">
        <v>364</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x14ac:dyDescent="0.3">
      <c r="A885" t="s">
        <v>980</v>
      </c>
      <c r="B885" t="s">
        <v>39</v>
      </c>
      <c r="C885">
        <v>24</v>
      </c>
      <c r="D885">
        <v>55.5</v>
      </c>
      <c r="E885">
        <v>1332</v>
      </c>
      <c r="F885" s="1">
        <v>45694</v>
      </c>
      <c r="G885" s="1">
        <v>45697</v>
      </c>
      <c r="H885" t="s">
        <v>23</v>
      </c>
      <c r="I885" t="s">
        <v>51</v>
      </c>
      <c r="J885">
        <v>4</v>
      </c>
      <c r="K885" t="s">
        <v>19</v>
      </c>
      <c r="L885" t="s">
        <v>802</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x14ac:dyDescent="0.3">
      <c r="A886" t="s">
        <v>981</v>
      </c>
      <c r="B886" t="s">
        <v>67</v>
      </c>
      <c r="C886">
        <v>2</v>
      </c>
      <c r="D886">
        <v>38.9</v>
      </c>
      <c r="E886">
        <v>77.8</v>
      </c>
      <c r="F886" s="1">
        <v>45694</v>
      </c>
      <c r="G886" s="1">
        <v>45696</v>
      </c>
      <c r="H886" t="s">
        <v>27</v>
      </c>
      <c r="I886" t="s">
        <v>35</v>
      </c>
      <c r="J886">
        <v>5</v>
      </c>
      <c r="K886" t="s">
        <v>19</v>
      </c>
      <c r="L886" t="s">
        <v>188</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x14ac:dyDescent="0.3">
      <c r="A887" t="s">
        <v>982</v>
      </c>
      <c r="B887" t="s">
        <v>128</v>
      </c>
      <c r="C887">
        <v>2</v>
      </c>
      <c r="D887">
        <v>64.599999999999994</v>
      </c>
      <c r="E887">
        <v>129.19999999999999</v>
      </c>
      <c r="F887" s="1">
        <v>45694</v>
      </c>
      <c r="G887" s="1">
        <v>45701</v>
      </c>
      <c r="H887" t="s">
        <v>23</v>
      </c>
      <c r="I887" t="s">
        <v>40</v>
      </c>
      <c r="J887">
        <v>3</v>
      </c>
      <c r="K887" t="s">
        <v>19</v>
      </c>
      <c r="L887" t="s">
        <v>188</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x14ac:dyDescent="0.3">
      <c r="A888" t="s">
        <v>983</v>
      </c>
      <c r="B888" t="s">
        <v>26</v>
      </c>
      <c r="C888">
        <v>3</v>
      </c>
      <c r="D888">
        <v>95.3</v>
      </c>
      <c r="E888">
        <v>285.89999999999998</v>
      </c>
      <c r="F888" s="1">
        <v>45694</v>
      </c>
      <c r="G888" s="1">
        <v>45695</v>
      </c>
      <c r="H888" t="s">
        <v>23</v>
      </c>
      <c r="I888" t="s">
        <v>18</v>
      </c>
      <c r="J888">
        <v>4</v>
      </c>
      <c r="K888" t="s">
        <v>19</v>
      </c>
      <c r="L888" t="s">
        <v>52</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x14ac:dyDescent="0.3">
      <c r="A889" t="s">
        <v>984</v>
      </c>
      <c r="B889" t="s">
        <v>76</v>
      </c>
      <c r="C889">
        <v>3</v>
      </c>
      <c r="D889">
        <v>25.8</v>
      </c>
      <c r="E889">
        <v>77.400000000000006</v>
      </c>
      <c r="F889" s="1">
        <v>45694</v>
      </c>
      <c r="G889" s="1">
        <v>45695</v>
      </c>
      <c r="H889" t="s">
        <v>27</v>
      </c>
      <c r="I889" t="s">
        <v>35</v>
      </c>
      <c r="J889">
        <v>3</v>
      </c>
      <c r="K889" t="s">
        <v>19</v>
      </c>
      <c r="L889" t="s">
        <v>55</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x14ac:dyDescent="0.3">
      <c r="A890" t="s">
        <v>985</v>
      </c>
      <c r="B890" t="s">
        <v>16</v>
      </c>
      <c r="C890">
        <v>2</v>
      </c>
      <c r="D890">
        <v>11.6</v>
      </c>
      <c r="E890">
        <v>23.2</v>
      </c>
      <c r="F890" s="1">
        <v>45694</v>
      </c>
      <c r="G890" s="1">
        <v>45698</v>
      </c>
      <c r="H890" t="s">
        <v>27</v>
      </c>
      <c r="I890" t="s">
        <v>35</v>
      </c>
      <c r="J890">
        <v>3</v>
      </c>
      <c r="K890" t="s">
        <v>19</v>
      </c>
      <c r="L890" t="s">
        <v>55</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x14ac:dyDescent="0.3">
      <c r="A891" t="s">
        <v>986</v>
      </c>
      <c r="B891" t="s">
        <v>42</v>
      </c>
      <c r="C891">
        <v>1</v>
      </c>
      <c r="D891">
        <v>52.3</v>
      </c>
      <c r="E891">
        <v>52.3</v>
      </c>
      <c r="F891" s="1">
        <v>45694</v>
      </c>
      <c r="G891" s="1">
        <v>45695</v>
      </c>
      <c r="H891" t="s">
        <v>27</v>
      </c>
      <c r="I891" t="s">
        <v>35</v>
      </c>
      <c r="J891">
        <v>4</v>
      </c>
      <c r="K891" t="s">
        <v>19</v>
      </c>
      <c r="L891" t="s">
        <v>62</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x14ac:dyDescent="0.3">
      <c r="A892" t="s">
        <v>987</v>
      </c>
      <c r="B892" t="s">
        <v>26</v>
      </c>
      <c r="C892">
        <v>10</v>
      </c>
      <c r="D892">
        <v>112.2</v>
      </c>
      <c r="E892">
        <v>1122</v>
      </c>
      <c r="F892" s="1">
        <v>45694</v>
      </c>
      <c r="G892" s="1">
        <v>45695</v>
      </c>
      <c r="H892" t="s">
        <v>27</v>
      </c>
      <c r="I892" t="s">
        <v>35</v>
      </c>
      <c r="J892">
        <v>3</v>
      </c>
      <c r="K892" t="s">
        <v>19</v>
      </c>
      <c r="L892" t="s">
        <v>62</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x14ac:dyDescent="0.3">
      <c r="A893" t="s">
        <v>988</v>
      </c>
      <c r="B893" t="s">
        <v>32</v>
      </c>
      <c r="C893">
        <v>5</v>
      </c>
      <c r="D893">
        <v>34.6</v>
      </c>
      <c r="E893">
        <v>173</v>
      </c>
      <c r="F893" s="1">
        <v>45694</v>
      </c>
      <c r="G893" s="1">
        <v>45696</v>
      </c>
      <c r="H893" t="s">
        <v>23</v>
      </c>
      <c r="I893" t="s">
        <v>40</v>
      </c>
      <c r="J893">
        <v>4</v>
      </c>
      <c r="K893" t="s">
        <v>19</v>
      </c>
      <c r="L893" t="s">
        <v>62</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x14ac:dyDescent="0.3">
      <c r="A894" t="s">
        <v>989</v>
      </c>
      <c r="B894" t="s">
        <v>81</v>
      </c>
      <c r="C894">
        <v>4</v>
      </c>
      <c r="D894">
        <v>20.100000000000001</v>
      </c>
      <c r="E894">
        <v>80.400000000000006</v>
      </c>
      <c r="F894" s="1">
        <v>45694</v>
      </c>
      <c r="G894" s="1">
        <v>45700</v>
      </c>
      <c r="H894" t="s">
        <v>23</v>
      </c>
      <c r="I894" t="s">
        <v>35</v>
      </c>
      <c r="J894">
        <v>5</v>
      </c>
      <c r="K894" t="s">
        <v>19</v>
      </c>
      <c r="L894" t="s">
        <v>62</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x14ac:dyDescent="0.3">
      <c r="A895" t="s">
        <v>990</v>
      </c>
      <c r="B895" t="s">
        <v>26</v>
      </c>
      <c r="C895">
        <v>4</v>
      </c>
      <c r="D895">
        <v>56.4</v>
      </c>
      <c r="E895">
        <v>225.6</v>
      </c>
      <c r="F895" s="1">
        <v>45694</v>
      </c>
      <c r="G895" s="1">
        <v>45696</v>
      </c>
      <c r="H895" t="s">
        <v>27</v>
      </c>
      <c r="I895" t="s">
        <v>40</v>
      </c>
      <c r="J895">
        <v>4</v>
      </c>
      <c r="K895" t="s">
        <v>19</v>
      </c>
      <c r="L895" t="s">
        <v>74</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x14ac:dyDescent="0.3">
      <c r="A896" t="s">
        <v>991</v>
      </c>
      <c r="B896" t="s">
        <v>76</v>
      </c>
      <c r="C896">
        <v>9</v>
      </c>
      <c r="D896">
        <v>55.3</v>
      </c>
      <c r="E896">
        <v>497.7</v>
      </c>
      <c r="F896" s="1">
        <v>45694</v>
      </c>
      <c r="G896" s="1">
        <v>45696</v>
      </c>
      <c r="H896" t="s">
        <v>27</v>
      </c>
      <c r="I896" t="s">
        <v>35</v>
      </c>
      <c r="J896">
        <v>2</v>
      </c>
      <c r="K896" t="s">
        <v>19</v>
      </c>
      <c r="L896" t="s">
        <v>77</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x14ac:dyDescent="0.3">
      <c r="A897" t="s">
        <v>992</v>
      </c>
      <c r="B897" t="s">
        <v>26</v>
      </c>
      <c r="C897">
        <v>28</v>
      </c>
      <c r="D897">
        <v>75.5</v>
      </c>
      <c r="E897">
        <v>2114</v>
      </c>
      <c r="F897" s="1">
        <v>45694</v>
      </c>
      <c r="G897" s="1">
        <v>45695</v>
      </c>
      <c r="H897" t="s">
        <v>27</v>
      </c>
      <c r="I897" t="s">
        <v>18</v>
      </c>
      <c r="J897">
        <v>4</v>
      </c>
      <c r="K897" t="s">
        <v>19</v>
      </c>
      <c r="L897" t="s">
        <v>77</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x14ac:dyDescent="0.3">
      <c r="A898" t="s">
        <v>993</v>
      </c>
      <c r="B898" t="s">
        <v>44</v>
      </c>
      <c r="C898">
        <v>1</v>
      </c>
      <c r="D898">
        <v>23.6</v>
      </c>
      <c r="E898">
        <v>23.6</v>
      </c>
      <c r="F898" s="1">
        <v>45694</v>
      </c>
      <c r="G898" s="1">
        <v>45699</v>
      </c>
      <c r="H898" t="s">
        <v>27</v>
      </c>
      <c r="I898" t="s">
        <v>18</v>
      </c>
      <c r="J898">
        <v>4</v>
      </c>
      <c r="K898" t="s">
        <v>19</v>
      </c>
      <c r="L898" t="s">
        <v>110</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x14ac:dyDescent="0.3">
      <c r="A899" t="s">
        <v>994</v>
      </c>
      <c r="B899" t="s">
        <v>46</v>
      </c>
      <c r="C899">
        <v>2</v>
      </c>
      <c r="D899">
        <v>70.7</v>
      </c>
      <c r="E899">
        <v>141.4</v>
      </c>
      <c r="F899" s="1">
        <v>45694</v>
      </c>
      <c r="G899" s="1">
        <v>45696</v>
      </c>
      <c r="H899" t="s">
        <v>27</v>
      </c>
      <c r="I899" t="s">
        <v>40</v>
      </c>
      <c r="J899">
        <v>4</v>
      </c>
      <c r="K899" t="s">
        <v>19</v>
      </c>
      <c r="L899" t="s">
        <v>110</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x14ac:dyDescent="0.3">
      <c r="A900" t="s">
        <v>995</v>
      </c>
      <c r="B900" t="s">
        <v>69</v>
      </c>
      <c r="C900">
        <v>2</v>
      </c>
      <c r="D900">
        <v>43.2</v>
      </c>
      <c r="E900">
        <v>86.4</v>
      </c>
      <c r="F900" s="1">
        <v>45694</v>
      </c>
      <c r="G900" s="1">
        <v>45695</v>
      </c>
      <c r="H900" t="s">
        <v>27</v>
      </c>
      <c r="I900" t="s">
        <v>40</v>
      </c>
      <c r="J900">
        <v>4</v>
      </c>
      <c r="K900" t="s">
        <v>19</v>
      </c>
      <c r="L900" t="s">
        <v>292</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x14ac:dyDescent="0.3">
      <c r="A901" t="s">
        <v>996</v>
      </c>
      <c r="B901" t="s">
        <v>46</v>
      </c>
      <c r="C901">
        <v>9</v>
      </c>
      <c r="D901">
        <v>70</v>
      </c>
      <c r="E901">
        <v>630</v>
      </c>
      <c r="F901" s="1">
        <v>45694</v>
      </c>
      <c r="G901" s="1">
        <v>45695</v>
      </c>
      <c r="H901" t="s">
        <v>17</v>
      </c>
      <c r="I901" t="s">
        <v>35</v>
      </c>
      <c r="J901">
        <v>4</v>
      </c>
      <c r="K901" t="s">
        <v>19</v>
      </c>
      <c r="L901" t="s">
        <v>997</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x14ac:dyDescent="0.3">
      <c r="A902" t="s">
        <v>998</v>
      </c>
      <c r="B902" t="s">
        <v>16</v>
      </c>
      <c r="C902">
        <v>2</v>
      </c>
      <c r="D902">
        <v>20.5</v>
      </c>
      <c r="E902">
        <v>41</v>
      </c>
      <c r="F902" s="1">
        <v>45694</v>
      </c>
      <c r="G902" s="1">
        <v>45696</v>
      </c>
      <c r="H902" t="s">
        <v>27</v>
      </c>
      <c r="I902" t="s">
        <v>40</v>
      </c>
      <c r="J902">
        <v>2</v>
      </c>
      <c r="K902" t="s">
        <v>19</v>
      </c>
      <c r="L902" t="s">
        <v>82</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x14ac:dyDescent="0.3">
      <c r="A903" t="s">
        <v>999</v>
      </c>
      <c r="B903" t="s">
        <v>16</v>
      </c>
      <c r="C903">
        <v>4</v>
      </c>
      <c r="D903">
        <v>29.1</v>
      </c>
      <c r="E903">
        <v>116.4</v>
      </c>
      <c r="F903" s="1">
        <v>45694</v>
      </c>
      <c r="G903" s="1">
        <v>45695</v>
      </c>
      <c r="H903" t="s">
        <v>27</v>
      </c>
      <c r="I903" t="s">
        <v>51</v>
      </c>
      <c r="J903">
        <v>4</v>
      </c>
      <c r="K903" t="s">
        <v>19</v>
      </c>
      <c r="L903" t="s">
        <v>243</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x14ac:dyDescent="0.3">
      <c r="A904" t="s">
        <v>1000</v>
      </c>
      <c r="B904" t="s">
        <v>39</v>
      </c>
      <c r="C904">
        <v>9</v>
      </c>
      <c r="D904">
        <v>53.6</v>
      </c>
      <c r="E904">
        <v>482.40000000000003</v>
      </c>
      <c r="F904" s="1">
        <v>45694</v>
      </c>
      <c r="G904" s="1">
        <v>45695</v>
      </c>
      <c r="H904" t="s">
        <v>23</v>
      </c>
      <c r="I904" t="s">
        <v>40</v>
      </c>
      <c r="J904">
        <v>3</v>
      </c>
      <c r="K904" t="s">
        <v>19</v>
      </c>
      <c r="L904" t="s">
        <v>33</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x14ac:dyDescent="0.3">
      <c r="A905" t="s">
        <v>1001</v>
      </c>
      <c r="B905" t="s">
        <v>39</v>
      </c>
      <c r="C905">
        <v>5</v>
      </c>
      <c r="D905">
        <v>72.3</v>
      </c>
      <c r="E905">
        <v>361.5</v>
      </c>
      <c r="F905" s="1">
        <v>45694</v>
      </c>
      <c r="G905" s="1">
        <v>45696</v>
      </c>
      <c r="H905" t="s">
        <v>27</v>
      </c>
      <c r="I905" t="s">
        <v>35</v>
      </c>
      <c r="J905">
        <v>4</v>
      </c>
      <c r="K905" t="s">
        <v>19</v>
      </c>
      <c r="L905" t="s">
        <v>33</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x14ac:dyDescent="0.3">
      <c r="A906" t="s">
        <v>1002</v>
      </c>
      <c r="B906" t="s">
        <v>76</v>
      </c>
      <c r="C906">
        <v>4</v>
      </c>
      <c r="D906">
        <v>22.6</v>
      </c>
      <c r="E906">
        <v>90.4</v>
      </c>
      <c r="F906" s="1">
        <v>45694</v>
      </c>
      <c r="G906" s="1">
        <v>45697</v>
      </c>
      <c r="H906" t="s">
        <v>89</v>
      </c>
      <c r="I906" t="s">
        <v>18</v>
      </c>
      <c r="J906">
        <v>3</v>
      </c>
      <c r="K906" t="s">
        <v>19</v>
      </c>
      <c r="L906" t="s">
        <v>33</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x14ac:dyDescent="0.3">
      <c r="A907" t="s">
        <v>1003</v>
      </c>
      <c r="B907" t="s">
        <v>46</v>
      </c>
      <c r="C907">
        <v>2</v>
      </c>
      <c r="D907">
        <v>44.2</v>
      </c>
      <c r="E907">
        <v>88.4</v>
      </c>
      <c r="F907" s="1">
        <v>45694</v>
      </c>
      <c r="G907" s="1">
        <v>45698</v>
      </c>
      <c r="H907" t="s">
        <v>17</v>
      </c>
      <c r="I907" t="s">
        <v>40</v>
      </c>
      <c r="J907">
        <v>2</v>
      </c>
      <c r="K907" t="s">
        <v>19</v>
      </c>
      <c r="L907" t="s">
        <v>33</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x14ac:dyDescent="0.3">
      <c r="A908" t="s">
        <v>1004</v>
      </c>
      <c r="B908" t="s">
        <v>46</v>
      </c>
      <c r="C908">
        <v>3</v>
      </c>
      <c r="D908">
        <v>94.1</v>
      </c>
      <c r="E908">
        <v>282.29999999999995</v>
      </c>
      <c r="F908" s="1">
        <v>45694</v>
      </c>
      <c r="G908" s="1">
        <v>45707</v>
      </c>
      <c r="H908" t="s">
        <v>27</v>
      </c>
      <c r="I908" t="s">
        <v>40</v>
      </c>
      <c r="J908">
        <v>5</v>
      </c>
      <c r="K908" t="s">
        <v>19</v>
      </c>
      <c r="L908" t="s">
        <v>33</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x14ac:dyDescent="0.3">
      <c r="A909" t="s">
        <v>1005</v>
      </c>
      <c r="B909" t="s">
        <v>44</v>
      </c>
      <c r="C909">
        <v>3</v>
      </c>
      <c r="D909">
        <v>17.899999999999999</v>
      </c>
      <c r="E909">
        <v>53.699999999999996</v>
      </c>
      <c r="F909" s="1">
        <v>45694</v>
      </c>
      <c r="G909" s="1">
        <v>45696</v>
      </c>
      <c r="H909" t="s">
        <v>23</v>
      </c>
      <c r="I909" t="s">
        <v>35</v>
      </c>
      <c r="J909">
        <v>3</v>
      </c>
      <c r="K909" t="s">
        <v>19</v>
      </c>
      <c r="L909" t="s">
        <v>33</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x14ac:dyDescent="0.3">
      <c r="A910" t="s">
        <v>1006</v>
      </c>
      <c r="B910" t="s">
        <v>69</v>
      </c>
      <c r="C910">
        <v>7</v>
      </c>
      <c r="D910">
        <v>52.7</v>
      </c>
      <c r="E910">
        <v>368.90000000000003</v>
      </c>
      <c r="F910" s="1">
        <v>45694</v>
      </c>
      <c r="G910" s="1">
        <v>45695</v>
      </c>
      <c r="H910" t="s">
        <v>23</v>
      </c>
      <c r="I910" t="s">
        <v>35</v>
      </c>
      <c r="J910">
        <v>3</v>
      </c>
      <c r="K910" t="s">
        <v>19</v>
      </c>
      <c r="L910" t="s">
        <v>33</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x14ac:dyDescent="0.3">
      <c r="A911" t="s">
        <v>1007</v>
      </c>
      <c r="B911" t="s">
        <v>44</v>
      </c>
      <c r="C911">
        <v>1</v>
      </c>
      <c r="D911">
        <v>36.799999999999997</v>
      </c>
      <c r="E911">
        <v>36.799999999999997</v>
      </c>
      <c r="F911" s="1">
        <v>45694</v>
      </c>
      <c r="G911" s="1">
        <v>45694</v>
      </c>
      <c r="H911" t="s">
        <v>17</v>
      </c>
      <c r="I911" t="s">
        <v>18</v>
      </c>
      <c r="J911">
        <v>5</v>
      </c>
      <c r="K911" t="s">
        <v>19</v>
      </c>
      <c r="L911" t="s">
        <v>33</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x14ac:dyDescent="0.3">
      <c r="A912" t="s">
        <v>1008</v>
      </c>
      <c r="B912" t="s">
        <v>32</v>
      </c>
      <c r="C912">
        <v>1</v>
      </c>
      <c r="D912">
        <v>52.5</v>
      </c>
      <c r="E912">
        <v>52.5</v>
      </c>
      <c r="F912" s="1">
        <v>45694</v>
      </c>
      <c r="G912" s="1">
        <v>45695</v>
      </c>
      <c r="H912" t="s">
        <v>23</v>
      </c>
      <c r="I912" t="s">
        <v>18</v>
      </c>
      <c r="J912">
        <v>3</v>
      </c>
      <c r="K912" t="s">
        <v>19</v>
      </c>
      <c r="L912" t="s">
        <v>55</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x14ac:dyDescent="0.3">
      <c r="A913" t="s">
        <v>1009</v>
      </c>
      <c r="B913" t="s">
        <v>26</v>
      </c>
      <c r="C913">
        <v>2</v>
      </c>
      <c r="D913">
        <v>133.80000000000001</v>
      </c>
      <c r="E913">
        <v>267.60000000000002</v>
      </c>
      <c r="F913" s="1">
        <v>45694</v>
      </c>
      <c r="G913" s="1">
        <v>45696</v>
      </c>
      <c r="H913" t="s">
        <v>23</v>
      </c>
      <c r="I913" t="s">
        <v>18</v>
      </c>
      <c r="J913">
        <v>3</v>
      </c>
      <c r="K913" t="s">
        <v>19</v>
      </c>
      <c r="L913" t="s">
        <v>59</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x14ac:dyDescent="0.3">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x14ac:dyDescent="0.3">
      <c r="A915" t="s">
        <v>1011</v>
      </c>
      <c r="B915" t="s">
        <v>81</v>
      </c>
      <c r="C915">
        <v>6</v>
      </c>
      <c r="D915">
        <v>18.7</v>
      </c>
      <c r="E915">
        <v>112.19999999999999</v>
      </c>
      <c r="F915" s="1">
        <v>45694</v>
      </c>
      <c r="G915" s="1">
        <v>45696</v>
      </c>
      <c r="H915" t="s">
        <v>17</v>
      </c>
      <c r="I915" t="s">
        <v>18</v>
      </c>
      <c r="J915">
        <v>3</v>
      </c>
      <c r="K915" t="s">
        <v>19</v>
      </c>
      <c r="L915" t="s">
        <v>74</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x14ac:dyDescent="0.3">
      <c r="A916" t="s">
        <v>1012</v>
      </c>
      <c r="B916" t="s">
        <v>39</v>
      </c>
      <c r="C916">
        <v>4</v>
      </c>
      <c r="D916">
        <v>108.8</v>
      </c>
      <c r="E916">
        <v>435.2</v>
      </c>
      <c r="F916" s="1">
        <v>45694</v>
      </c>
      <c r="G916" s="1">
        <v>45695</v>
      </c>
      <c r="H916" t="s">
        <v>27</v>
      </c>
      <c r="I916" t="s">
        <v>51</v>
      </c>
      <c r="J916">
        <v>5</v>
      </c>
      <c r="K916" t="s">
        <v>19</v>
      </c>
      <c r="L916" t="s">
        <v>77</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x14ac:dyDescent="0.3">
      <c r="A917" t="s">
        <v>1013</v>
      </c>
      <c r="B917" t="s">
        <v>123</v>
      </c>
      <c r="C917">
        <v>5</v>
      </c>
      <c r="D917">
        <v>38.5</v>
      </c>
      <c r="E917">
        <v>192.5</v>
      </c>
      <c r="F917" s="1">
        <v>45694</v>
      </c>
      <c r="G917" s="1">
        <v>45698</v>
      </c>
      <c r="H917" t="s">
        <v>27</v>
      </c>
      <c r="I917" t="s">
        <v>18</v>
      </c>
      <c r="J917">
        <v>3</v>
      </c>
      <c r="K917" t="s">
        <v>19</v>
      </c>
      <c r="L917" t="s">
        <v>84</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x14ac:dyDescent="0.3">
      <c r="A918" t="s">
        <v>1014</v>
      </c>
      <c r="B918" t="s">
        <v>54</v>
      </c>
      <c r="C918">
        <v>10</v>
      </c>
      <c r="D918">
        <v>46.5</v>
      </c>
      <c r="E918">
        <v>465</v>
      </c>
      <c r="F918" s="1">
        <v>45694</v>
      </c>
      <c r="G918" s="1">
        <v>45696</v>
      </c>
      <c r="H918" t="s">
        <v>23</v>
      </c>
      <c r="I918" t="s">
        <v>40</v>
      </c>
      <c r="J918">
        <v>3</v>
      </c>
      <c r="K918" t="s">
        <v>19</v>
      </c>
      <c r="L918" t="s">
        <v>28</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x14ac:dyDescent="0.3">
      <c r="A919" t="s">
        <v>1015</v>
      </c>
      <c r="B919" t="s">
        <v>26</v>
      </c>
      <c r="C919">
        <v>3</v>
      </c>
      <c r="D919">
        <v>75.8</v>
      </c>
      <c r="E919">
        <v>227.39999999999998</v>
      </c>
      <c r="F919" s="1">
        <v>45694</v>
      </c>
      <c r="G919" s="1">
        <v>45698</v>
      </c>
      <c r="H919" t="s">
        <v>27</v>
      </c>
      <c r="I919" t="s">
        <v>35</v>
      </c>
      <c r="J919">
        <v>2</v>
      </c>
      <c r="K919" t="s">
        <v>19</v>
      </c>
      <c r="L919" t="s">
        <v>587</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x14ac:dyDescent="0.3">
      <c r="A920" t="s">
        <v>1016</v>
      </c>
      <c r="B920" t="s">
        <v>44</v>
      </c>
      <c r="C920">
        <v>1</v>
      </c>
      <c r="D920">
        <v>20.9</v>
      </c>
      <c r="E920">
        <v>20.9</v>
      </c>
      <c r="F920" s="1">
        <v>45694</v>
      </c>
      <c r="G920" s="1">
        <v>45698</v>
      </c>
      <c r="H920" t="s">
        <v>23</v>
      </c>
      <c r="I920" t="s">
        <v>18</v>
      </c>
      <c r="J920">
        <v>4</v>
      </c>
      <c r="K920" t="s">
        <v>19</v>
      </c>
      <c r="L920" t="s">
        <v>147</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x14ac:dyDescent="0.3">
      <c r="A921" t="s">
        <v>1017</v>
      </c>
      <c r="B921" t="s">
        <v>146</v>
      </c>
      <c r="C921">
        <v>3</v>
      </c>
      <c r="D921">
        <v>47.4</v>
      </c>
      <c r="E921">
        <v>142.19999999999999</v>
      </c>
      <c r="F921" s="1">
        <v>45694</v>
      </c>
      <c r="G921" s="1">
        <v>45697</v>
      </c>
      <c r="H921" t="s">
        <v>27</v>
      </c>
      <c r="I921" t="s">
        <v>18</v>
      </c>
      <c r="J921">
        <v>4</v>
      </c>
      <c r="K921" t="s">
        <v>19</v>
      </c>
      <c r="L921" t="s">
        <v>33</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x14ac:dyDescent="0.3">
      <c r="A922" t="s">
        <v>1018</v>
      </c>
      <c r="B922" t="s">
        <v>46</v>
      </c>
      <c r="C922">
        <v>2</v>
      </c>
      <c r="D922">
        <v>53.8</v>
      </c>
      <c r="E922">
        <v>107.6</v>
      </c>
      <c r="F922" s="1">
        <v>45694</v>
      </c>
      <c r="G922" s="1">
        <v>45695</v>
      </c>
      <c r="H922" t="s">
        <v>17</v>
      </c>
      <c r="I922" t="s">
        <v>18</v>
      </c>
      <c r="J922">
        <v>3</v>
      </c>
      <c r="K922" t="s">
        <v>19</v>
      </c>
      <c r="L922" t="s">
        <v>33</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x14ac:dyDescent="0.3">
      <c r="A923" t="s">
        <v>1019</v>
      </c>
      <c r="B923" t="s">
        <v>44</v>
      </c>
      <c r="C923">
        <v>3</v>
      </c>
      <c r="D923">
        <v>24.6</v>
      </c>
      <c r="E923">
        <v>73.800000000000011</v>
      </c>
      <c r="F923" s="1">
        <v>45694</v>
      </c>
      <c r="G923" s="1">
        <v>45696</v>
      </c>
      <c r="H923" t="s">
        <v>89</v>
      </c>
      <c r="I923" t="s">
        <v>35</v>
      </c>
      <c r="J923">
        <v>5</v>
      </c>
      <c r="K923" t="s">
        <v>19</v>
      </c>
      <c r="L923" t="s">
        <v>33</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x14ac:dyDescent="0.3">
      <c r="A924" t="s">
        <v>1020</v>
      </c>
      <c r="B924" t="s">
        <v>46</v>
      </c>
      <c r="C924">
        <v>3</v>
      </c>
      <c r="D924">
        <v>70.900000000000006</v>
      </c>
      <c r="E924">
        <v>212.70000000000002</v>
      </c>
      <c r="F924" s="1">
        <v>45694</v>
      </c>
      <c r="G924" s="1">
        <v>45699</v>
      </c>
      <c r="H924" t="s">
        <v>27</v>
      </c>
      <c r="I924" t="s">
        <v>40</v>
      </c>
      <c r="J924">
        <v>5</v>
      </c>
      <c r="K924" t="s">
        <v>19</v>
      </c>
      <c r="L924" t="s">
        <v>33</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x14ac:dyDescent="0.3">
      <c r="A925" t="s">
        <v>1021</v>
      </c>
      <c r="B925" t="s">
        <v>135</v>
      </c>
      <c r="C925">
        <v>3</v>
      </c>
      <c r="D925">
        <v>31.9</v>
      </c>
      <c r="E925">
        <v>95.699999999999989</v>
      </c>
      <c r="F925" s="1">
        <v>45694</v>
      </c>
      <c r="G925" s="1">
        <v>45696</v>
      </c>
      <c r="H925" t="s">
        <v>27</v>
      </c>
      <c r="I925" t="s">
        <v>40</v>
      </c>
      <c r="J925">
        <v>5</v>
      </c>
      <c r="K925" t="s">
        <v>19</v>
      </c>
      <c r="L925" t="s">
        <v>33</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x14ac:dyDescent="0.3">
      <c r="A926" t="s">
        <v>1022</v>
      </c>
      <c r="B926" t="s">
        <v>16</v>
      </c>
      <c r="C926">
        <v>2</v>
      </c>
      <c r="D926">
        <v>20.399999999999999</v>
      </c>
      <c r="E926">
        <v>40.799999999999997</v>
      </c>
      <c r="F926" s="1">
        <v>45694</v>
      </c>
      <c r="G926" s="1">
        <v>45698</v>
      </c>
      <c r="H926" t="s">
        <v>23</v>
      </c>
      <c r="I926" t="s">
        <v>51</v>
      </c>
      <c r="J926">
        <v>5</v>
      </c>
      <c r="K926" t="s">
        <v>19</v>
      </c>
      <c r="L926" t="s">
        <v>33</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x14ac:dyDescent="0.3">
      <c r="A927" t="s">
        <v>1023</v>
      </c>
      <c r="B927" t="s">
        <v>44</v>
      </c>
      <c r="C927">
        <v>2</v>
      </c>
      <c r="D927">
        <v>18.600000000000001</v>
      </c>
      <c r="E927">
        <v>37.200000000000003</v>
      </c>
      <c r="F927" s="1">
        <v>45694</v>
      </c>
      <c r="G927" s="1">
        <v>45696</v>
      </c>
      <c r="H927" t="s">
        <v>17</v>
      </c>
      <c r="I927" t="s">
        <v>18</v>
      </c>
      <c r="J927">
        <v>3</v>
      </c>
      <c r="K927" t="s">
        <v>19</v>
      </c>
      <c r="L927" t="s">
        <v>33</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x14ac:dyDescent="0.3">
      <c r="A928" t="s">
        <v>1024</v>
      </c>
      <c r="B928" t="s">
        <v>32</v>
      </c>
      <c r="C928">
        <v>5</v>
      </c>
      <c r="D928">
        <v>48.3</v>
      </c>
      <c r="E928">
        <v>241.5</v>
      </c>
      <c r="F928" s="1">
        <v>45694</v>
      </c>
      <c r="G928" s="1">
        <v>45696</v>
      </c>
      <c r="H928" t="s">
        <v>27</v>
      </c>
      <c r="I928" t="s">
        <v>35</v>
      </c>
      <c r="J928">
        <v>4</v>
      </c>
      <c r="K928" t="s">
        <v>19</v>
      </c>
      <c r="L928" t="s">
        <v>33</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x14ac:dyDescent="0.3">
      <c r="A929" t="s">
        <v>1025</v>
      </c>
      <c r="B929" t="s">
        <v>16</v>
      </c>
      <c r="C929">
        <v>4</v>
      </c>
      <c r="D929">
        <v>27.7</v>
      </c>
      <c r="E929">
        <v>110.8</v>
      </c>
      <c r="F929" s="1">
        <v>45694</v>
      </c>
      <c r="G929" s="1">
        <v>45696</v>
      </c>
      <c r="H929" t="s">
        <v>27</v>
      </c>
      <c r="I929" t="s">
        <v>18</v>
      </c>
      <c r="J929">
        <v>4</v>
      </c>
      <c r="K929" t="s">
        <v>19</v>
      </c>
      <c r="L929" t="s">
        <v>33</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x14ac:dyDescent="0.3">
      <c r="A930" t="s">
        <v>1026</v>
      </c>
      <c r="B930" t="s">
        <v>32</v>
      </c>
      <c r="C930">
        <v>5</v>
      </c>
      <c r="D930">
        <v>22.5</v>
      </c>
      <c r="E930">
        <v>112.5</v>
      </c>
      <c r="F930" s="1">
        <v>45694</v>
      </c>
      <c r="G930" s="1">
        <v>45696</v>
      </c>
      <c r="H930" t="s">
        <v>27</v>
      </c>
      <c r="I930" t="s">
        <v>70</v>
      </c>
      <c r="J930">
        <v>5</v>
      </c>
      <c r="K930" t="s">
        <v>19</v>
      </c>
      <c r="L930" t="s">
        <v>33</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x14ac:dyDescent="0.3">
      <c r="A931" t="s">
        <v>1027</v>
      </c>
      <c r="B931" t="s">
        <v>135</v>
      </c>
      <c r="C931">
        <v>5</v>
      </c>
      <c r="D931">
        <v>21.6</v>
      </c>
      <c r="E931">
        <v>108</v>
      </c>
      <c r="F931" s="1">
        <v>45694</v>
      </c>
      <c r="G931" s="1">
        <v>45702</v>
      </c>
      <c r="H931" t="s">
        <v>27</v>
      </c>
      <c r="I931" t="s">
        <v>18</v>
      </c>
      <c r="J931">
        <v>3</v>
      </c>
      <c r="K931" t="s">
        <v>19</v>
      </c>
      <c r="L931" t="s">
        <v>33</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x14ac:dyDescent="0.3">
      <c r="A932" t="s">
        <v>1028</v>
      </c>
      <c r="B932" t="s">
        <v>54</v>
      </c>
      <c r="C932">
        <v>7</v>
      </c>
      <c r="D932">
        <v>26.3</v>
      </c>
      <c r="E932">
        <v>184.1</v>
      </c>
      <c r="F932" s="1">
        <v>45694</v>
      </c>
      <c r="G932" s="1">
        <v>45694</v>
      </c>
      <c r="H932" t="s">
        <v>27</v>
      </c>
      <c r="I932" t="s">
        <v>40</v>
      </c>
      <c r="J932">
        <v>3</v>
      </c>
      <c r="K932" t="s">
        <v>19</v>
      </c>
      <c r="L932" t="s">
        <v>33</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x14ac:dyDescent="0.3">
      <c r="A933" t="s">
        <v>1029</v>
      </c>
      <c r="B933" t="s">
        <v>39</v>
      </c>
      <c r="C933">
        <v>7</v>
      </c>
      <c r="D933">
        <v>103</v>
      </c>
      <c r="E933">
        <v>721</v>
      </c>
      <c r="F933" s="1">
        <v>45695</v>
      </c>
      <c r="G933" s="1">
        <v>45696</v>
      </c>
      <c r="H933" t="s">
        <v>23</v>
      </c>
      <c r="I933" t="s">
        <v>18</v>
      </c>
      <c r="J933">
        <v>5</v>
      </c>
      <c r="K933" t="s">
        <v>19</v>
      </c>
      <c r="L933" t="s">
        <v>55</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x14ac:dyDescent="0.3">
      <c r="A934" t="s">
        <v>1030</v>
      </c>
      <c r="B934" t="s">
        <v>37</v>
      </c>
      <c r="C934">
        <v>15</v>
      </c>
      <c r="D934">
        <v>46.6</v>
      </c>
      <c r="E934">
        <v>699</v>
      </c>
      <c r="F934" s="1">
        <v>45695</v>
      </c>
      <c r="G934" s="1">
        <v>45696</v>
      </c>
      <c r="H934" t="s">
        <v>27</v>
      </c>
      <c r="I934" t="s">
        <v>18</v>
      </c>
      <c r="J934">
        <v>3</v>
      </c>
      <c r="K934" t="s">
        <v>19</v>
      </c>
      <c r="L934" t="s">
        <v>55</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x14ac:dyDescent="0.3">
      <c r="A935" t="s">
        <v>1031</v>
      </c>
      <c r="B935" t="s">
        <v>16</v>
      </c>
      <c r="C935">
        <v>5</v>
      </c>
      <c r="D935">
        <v>32.200000000000003</v>
      </c>
      <c r="E935">
        <v>161</v>
      </c>
      <c r="F935" s="1">
        <v>45695</v>
      </c>
      <c r="G935" s="1">
        <v>45698</v>
      </c>
      <c r="H935" t="s">
        <v>27</v>
      </c>
      <c r="I935" t="s">
        <v>18</v>
      </c>
      <c r="J935">
        <v>5</v>
      </c>
      <c r="K935" t="s">
        <v>19</v>
      </c>
      <c r="L935" t="s">
        <v>342</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x14ac:dyDescent="0.3">
      <c r="A936" t="s">
        <v>1032</v>
      </c>
      <c r="B936" t="s">
        <v>44</v>
      </c>
      <c r="C936">
        <v>3</v>
      </c>
      <c r="D936">
        <v>22</v>
      </c>
      <c r="E936">
        <v>66</v>
      </c>
      <c r="F936" s="1">
        <v>45695</v>
      </c>
      <c r="G936" s="1">
        <v>45702</v>
      </c>
      <c r="H936" t="s">
        <v>23</v>
      </c>
      <c r="I936" t="s">
        <v>35</v>
      </c>
      <c r="J936">
        <v>4</v>
      </c>
      <c r="K936" t="s">
        <v>19</v>
      </c>
      <c r="L936" t="s">
        <v>59</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x14ac:dyDescent="0.3">
      <c r="A937" t="s">
        <v>1033</v>
      </c>
      <c r="B937" t="s">
        <v>16</v>
      </c>
      <c r="C937">
        <v>2</v>
      </c>
      <c r="D937">
        <v>25.2</v>
      </c>
      <c r="E937">
        <v>50.4</v>
      </c>
      <c r="F937" s="1">
        <v>45695</v>
      </c>
      <c r="G937" s="1">
        <v>45699</v>
      </c>
      <c r="H937" t="s">
        <v>27</v>
      </c>
      <c r="I937" t="s">
        <v>18</v>
      </c>
      <c r="J937">
        <v>4</v>
      </c>
      <c r="K937" t="s">
        <v>19</v>
      </c>
      <c r="L937" t="s">
        <v>59</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x14ac:dyDescent="0.3">
      <c r="A938" t="s">
        <v>1034</v>
      </c>
      <c r="B938" t="s">
        <v>22</v>
      </c>
      <c r="C938">
        <v>6</v>
      </c>
      <c r="D938">
        <v>68.7</v>
      </c>
      <c r="E938">
        <v>412.20000000000005</v>
      </c>
      <c r="F938" s="1">
        <v>45695</v>
      </c>
      <c r="G938" s="1">
        <v>45697</v>
      </c>
      <c r="H938" t="s">
        <v>23</v>
      </c>
      <c r="I938" t="s">
        <v>70</v>
      </c>
      <c r="J938">
        <v>4</v>
      </c>
      <c r="K938" t="s">
        <v>19</v>
      </c>
      <c r="L938" t="s">
        <v>62</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x14ac:dyDescent="0.3">
      <c r="A939" t="s">
        <v>1035</v>
      </c>
      <c r="B939" t="s">
        <v>16</v>
      </c>
      <c r="C939">
        <v>3</v>
      </c>
      <c r="D939">
        <v>22.2</v>
      </c>
      <c r="E939">
        <v>66.599999999999994</v>
      </c>
      <c r="F939" s="1">
        <v>45695</v>
      </c>
      <c r="G939" s="1">
        <v>45698</v>
      </c>
      <c r="H939" t="s">
        <v>23</v>
      </c>
      <c r="I939" t="s">
        <v>40</v>
      </c>
      <c r="J939">
        <v>5</v>
      </c>
      <c r="K939" t="s">
        <v>19</v>
      </c>
      <c r="L939" t="s">
        <v>62</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x14ac:dyDescent="0.3">
      <c r="A940" t="s">
        <v>1036</v>
      </c>
      <c r="B940" t="s">
        <v>22</v>
      </c>
      <c r="C940">
        <v>7</v>
      </c>
      <c r="D940">
        <v>36</v>
      </c>
      <c r="E940">
        <v>252</v>
      </c>
      <c r="F940" s="1">
        <v>45695</v>
      </c>
      <c r="G940" s="1">
        <v>45696</v>
      </c>
      <c r="H940" t="s">
        <v>27</v>
      </c>
      <c r="I940" t="s">
        <v>35</v>
      </c>
      <c r="J940">
        <v>4</v>
      </c>
      <c r="K940" t="s">
        <v>19</v>
      </c>
      <c r="L940" t="s">
        <v>62</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x14ac:dyDescent="0.3">
      <c r="A941" t="s">
        <v>1037</v>
      </c>
      <c r="B941" t="s">
        <v>146</v>
      </c>
      <c r="C941">
        <v>1</v>
      </c>
      <c r="D941">
        <v>50.6</v>
      </c>
      <c r="E941">
        <v>50.6</v>
      </c>
      <c r="F941" s="1">
        <v>45695</v>
      </c>
      <c r="G941" s="1">
        <v>45697</v>
      </c>
      <c r="H941" t="s">
        <v>27</v>
      </c>
      <c r="I941" t="s">
        <v>18</v>
      </c>
      <c r="J941">
        <v>3</v>
      </c>
      <c r="K941" t="s">
        <v>19</v>
      </c>
      <c r="L941" t="s">
        <v>62</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x14ac:dyDescent="0.3">
      <c r="A942" t="s">
        <v>1038</v>
      </c>
      <c r="B942" t="s">
        <v>123</v>
      </c>
      <c r="C942">
        <v>2</v>
      </c>
      <c r="D942">
        <v>44.9</v>
      </c>
      <c r="E942">
        <v>89.8</v>
      </c>
      <c r="F942" s="1">
        <v>45695</v>
      </c>
      <c r="G942" s="1">
        <v>45697</v>
      </c>
      <c r="H942" t="s">
        <v>23</v>
      </c>
      <c r="I942" t="s">
        <v>18</v>
      </c>
      <c r="J942">
        <v>3</v>
      </c>
      <c r="K942" t="s">
        <v>19</v>
      </c>
      <c r="L942" t="s">
        <v>62</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x14ac:dyDescent="0.3">
      <c r="A943" t="s">
        <v>1039</v>
      </c>
      <c r="B943" t="s">
        <v>39</v>
      </c>
      <c r="C943">
        <v>3</v>
      </c>
      <c r="D943">
        <v>71.599999999999994</v>
      </c>
      <c r="E943">
        <v>214.79999999999998</v>
      </c>
      <c r="F943" s="1">
        <v>45695</v>
      </c>
      <c r="G943" s="1">
        <v>45699</v>
      </c>
      <c r="H943" t="s">
        <v>23</v>
      </c>
      <c r="I943" t="s">
        <v>35</v>
      </c>
      <c r="J943">
        <v>5</v>
      </c>
      <c r="K943" t="s">
        <v>19</v>
      </c>
      <c r="L943" t="s">
        <v>74</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x14ac:dyDescent="0.3">
      <c r="A944" t="s">
        <v>1040</v>
      </c>
      <c r="B944" t="s">
        <v>39</v>
      </c>
      <c r="C944">
        <v>6</v>
      </c>
      <c r="D944">
        <v>51.5</v>
      </c>
      <c r="E944">
        <v>309</v>
      </c>
      <c r="F944" s="1">
        <v>45695</v>
      </c>
      <c r="G944" s="1">
        <v>45697</v>
      </c>
      <c r="H944" t="s">
        <v>17</v>
      </c>
      <c r="I944" t="s">
        <v>70</v>
      </c>
      <c r="J944">
        <v>4</v>
      </c>
      <c r="K944" t="s">
        <v>19</v>
      </c>
      <c r="L944" t="s">
        <v>77</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x14ac:dyDescent="0.3">
      <c r="A945" t="s">
        <v>1041</v>
      </c>
      <c r="B945" t="s">
        <v>42</v>
      </c>
      <c r="C945">
        <v>5</v>
      </c>
      <c r="D945">
        <v>55.5</v>
      </c>
      <c r="E945">
        <v>277.5</v>
      </c>
      <c r="F945" s="1">
        <v>45695</v>
      </c>
      <c r="G945" s="1">
        <v>45696</v>
      </c>
      <c r="H945" t="s">
        <v>23</v>
      </c>
      <c r="I945" t="s">
        <v>35</v>
      </c>
      <c r="J945">
        <v>3</v>
      </c>
      <c r="K945" t="s">
        <v>19</v>
      </c>
      <c r="L945" t="s">
        <v>77</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x14ac:dyDescent="0.3">
      <c r="A946" t="s">
        <v>1042</v>
      </c>
      <c r="B946" t="s">
        <v>39</v>
      </c>
      <c r="C946">
        <v>1</v>
      </c>
      <c r="D946">
        <v>51.7</v>
      </c>
      <c r="E946">
        <v>51.7</v>
      </c>
      <c r="F946" s="1">
        <v>45695</v>
      </c>
      <c r="G946" s="1">
        <v>45709</v>
      </c>
      <c r="H946" t="s">
        <v>23</v>
      </c>
      <c r="I946" t="s">
        <v>40</v>
      </c>
      <c r="J946">
        <v>4</v>
      </c>
      <c r="K946" t="s">
        <v>19</v>
      </c>
      <c r="L946" t="s">
        <v>110</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x14ac:dyDescent="0.3">
      <c r="A947" t="s">
        <v>1043</v>
      </c>
      <c r="B947" t="s">
        <v>44</v>
      </c>
      <c r="C947">
        <v>21</v>
      </c>
      <c r="D947">
        <v>45.5</v>
      </c>
      <c r="E947">
        <v>955.5</v>
      </c>
      <c r="F947" s="1">
        <v>45695</v>
      </c>
      <c r="G947" s="1">
        <v>45696</v>
      </c>
      <c r="H947" t="s">
        <v>27</v>
      </c>
      <c r="I947" t="s">
        <v>51</v>
      </c>
      <c r="J947">
        <v>5</v>
      </c>
      <c r="K947" t="s">
        <v>19</v>
      </c>
      <c r="L947" t="s">
        <v>110</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x14ac:dyDescent="0.3">
      <c r="A948" t="s">
        <v>1044</v>
      </c>
      <c r="B948" t="s">
        <v>44</v>
      </c>
      <c r="C948">
        <v>2</v>
      </c>
      <c r="D948">
        <v>33.799999999999997</v>
      </c>
      <c r="E948">
        <v>67.599999999999994</v>
      </c>
      <c r="F948" s="1">
        <v>45695</v>
      </c>
      <c r="G948" s="1">
        <v>45701</v>
      </c>
      <c r="H948" t="s">
        <v>27</v>
      </c>
      <c r="I948" t="s">
        <v>51</v>
      </c>
      <c r="J948">
        <v>4</v>
      </c>
      <c r="K948" t="s">
        <v>19</v>
      </c>
      <c r="L948" t="s">
        <v>113</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x14ac:dyDescent="0.3">
      <c r="A949" t="s">
        <v>1045</v>
      </c>
      <c r="B949" t="s">
        <v>30</v>
      </c>
      <c r="C949">
        <v>3</v>
      </c>
      <c r="D949">
        <v>76.5</v>
      </c>
      <c r="E949">
        <v>229.5</v>
      </c>
      <c r="F949" s="1">
        <v>45695</v>
      </c>
      <c r="G949" s="1">
        <v>45696</v>
      </c>
      <c r="H949" t="s">
        <v>27</v>
      </c>
      <c r="I949" t="s">
        <v>18</v>
      </c>
      <c r="J949">
        <v>3</v>
      </c>
      <c r="K949" t="s">
        <v>19</v>
      </c>
      <c r="L949" t="s">
        <v>115</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x14ac:dyDescent="0.3">
      <c r="A950" t="s">
        <v>1046</v>
      </c>
      <c r="B950" t="s">
        <v>46</v>
      </c>
      <c r="C950">
        <v>3</v>
      </c>
      <c r="D950">
        <v>42.6</v>
      </c>
      <c r="E950">
        <v>127.80000000000001</v>
      </c>
      <c r="F950" s="1">
        <v>45695</v>
      </c>
      <c r="G950" s="1">
        <v>45701</v>
      </c>
      <c r="H950" t="s">
        <v>27</v>
      </c>
      <c r="I950" t="s">
        <v>40</v>
      </c>
      <c r="J950">
        <v>5</v>
      </c>
      <c r="K950" t="s">
        <v>19</v>
      </c>
      <c r="L950" t="s">
        <v>28</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x14ac:dyDescent="0.3">
      <c r="A951" t="s">
        <v>1047</v>
      </c>
      <c r="B951" t="s">
        <v>39</v>
      </c>
      <c r="C951">
        <v>3</v>
      </c>
      <c r="D951">
        <v>44.1</v>
      </c>
      <c r="E951">
        <v>132.30000000000001</v>
      </c>
      <c r="F951" s="1">
        <v>45695</v>
      </c>
      <c r="G951" s="1">
        <v>45697</v>
      </c>
      <c r="H951" t="s">
        <v>27</v>
      </c>
      <c r="I951" t="s">
        <v>35</v>
      </c>
      <c r="J951">
        <v>3</v>
      </c>
      <c r="K951" t="s">
        <v>19</v>
      </c>
      <c r="L951" t="s">
        <v>147</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x14ac:dyDescent="0.3">
      <c r="A952" t="s">
        <v>1048</v>
      </c>
      <c r="B952" t="s">
        <v>44</v>
      </c>
      <c r="C952">
        <v>2</v>
      </c>
      <c r="D952">
        <v>40.9</v>
      </c>
      <c r="E952">
        <v>81.8</v>
      </c>
      <c r="F952" s="1">
        <v>45695</v>
      </c>
      <c r="G952" s="1">
        <v>45699</v>
      </c>
      <c r="H952" t="s">
        <v>23</v>
      </c>
      <c r="I952" t="s">
        <v>18</v>
      </c>
      <c r="J952">
        <v>4</v>
      </c>
      <c r="K952" t="s">
        <v>19</v>
      </c>
      <c r="L952" t="s">
        <v>33</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x14ac:dyDescent="0.3">
      <c r="A953" t="s">
        <v>1049</v>
      </c>
      <c r="B953" t="s">
        <v>46</v>
      </c>
      <c r="C953">
        <v>3</v>
      </c>
      <c r="D953">
        <v>49.1</v>
      </c>
      <c r="E953">
        <v>147.30000000000001</v>
      </c>
      <c r="F953" s="1">
        <v>45695</v>
      </c>
      <c r="G953" s="1">
        <v>45699</v>
      </c>
      <c r="H953" t="s">
        <v>27</v>
      </c>
      <c r="I953" t="s">
        <v>51</v>
      </c>
      <c r="J953">
        <v>3</v>
      </c>
      <c r="K953" t="s">
        <v>19</v>
      </c>
      <c r="L953" t="s">
        <v>33</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x14ac:dyDescent="0.3">
      <c r="A954" t="s">
        <v>1050</v>
      </c>
      <c r="B954" t="s">
        <v>146</v>
      </c>
      <c r="C954">
        <v>1</v>
      </c>
      <c r="D954">
        <v>85.3</v>
      </c>
      <c r="E954">
        <v>85.3</v>
      </c>
      <c r="F954" s="1">
        <v>45695</v>
      </c>
      <c r="G954" s="1">
        <v>45699</v>
      </c>
      <c r="H954" t="s">
        <v>23</v>
      </c>
      <c r="I954" t="s">
        <v>35</v>
      </c>
      <c r="J954">
        <v>3</v>
      </c>
      <c r="K954" t="s">
        <v>19</v>
      </c>
      <c r="L954" t="s">
        <v>33</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x14ac:dyDescent="0.3">
      <c r="A955" t="s">
        <v>1051</v>
      </c>
      <c r="B955" t="s">
        <v>39</v>
      </c>
      <c r="C955">
        <v>4</v>
      </c>
      <c r="D955">
        <v>43.1</v>
      </c>
      <c r="E955">
        <v>172.4</v>
      </c>
      <c r="F955" s="1">
        <v>45696</v>
      </c>
      <c r="G955" s="1">
        <v>45699</v>
      </c>
      <c r="H955" t="s">
        <v>23</v>
      </c>
      <c r="I955" t="s">
        <v>18</v>
      </c>
      <c r="J955">
        <v>4</v>
      </c>
      <c r="K955" t="s">
        <v>19</v>
      </c>
      <c r="L955" t="s">
        <v>33</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x14ac:dyDescent="0.3">
      <c r="A956" t="s">
        <v>1052</v>
      </c>
      <c r="B956" t="s">
        <v>32</v>
      </c>
      <c r="C956">
        <v>4</v>
      </c>
      <c r="D956">
        <v>46.2</v>
      </c>
      <c r="E956">
        <v>184.8</v>
      </c>
      <c r="F956" s="1">
        <v>45696</v>
      </c>
      <c r="G956" s="1">
        <v>45697</v>
      </c>
      <c r="H956" t="s">
        <v>23</v>
      </c>
      <c r="I956" t="s">
        <v>40</v>
      </c>
      <c r="J956">
        <v>4</v>
      </c>
      <c r="K956" t="s">
        <v>19</v>
      </c>
      <c r="L956" t="s">
        <v>33</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x14ac:dyDescent="0.3">
      <c r="A957" t="s">
        <v>1053</v>
      </c>
      <c r="B957" t="s">
        <v>22</v>
      </c>
      <c r="C957">
        <v>1</v>
      </c>
      <c r="D957">
        <v>74.400000000000006</v>
      </c>
      <c r="E957">
        <v>74.400000000000006</v>
      </c>
      <c r="F957" s="1">
        <v>45696</v>
      </c>
      <c r="G957" s="1">
        <v>45698</v>
      </c>
      <c r="H957" t="s">
        <v>23</v>
      </c>
      <c r="I957" t="s">
        <v>70</v>
      </c>
      <c r="J957">
        <v>5</v>
      </c>
      <c r="K957" t="s">
        <v>19</v>
      </c>
      <c r="L957" t="s">
        <v>33</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x14ac:dyDescent="0.3">
      <c r="A958" t="s">
        <v>1054</v>
      </c>
      <c r="B958" t="s">
        <v>135</v>
      </c>
      <c r="C958">
        <v>2</v>
      </c>
      <c r="D958">
        <v>51.2</v>
      </c>
      <c r="E958">
        <v>102.4</v>
      </c>
      <c r="F958" s="1">
        <v>45696</v>
      </c>
      <c r="G958" s="1">
        <v>45697</v>
      </c>
      <c r="H958" t="s">
        <v>23</v>
      </c>
      <c r="I958" t="s">
        <v>35</v>
      </c>
      <c r="J958">
        <v>4</v>
      </c>
      <c r="K958" t="s">
        <v>19</v>
      </c>
      <c r="L958" t="s">
        <v>33</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x14ac:dyDescent="0.3">
      <c r="A959" t="s">
        <v>1055</v>
      </c>
      <c r="B959" t="s">
        <v>81</v>
      </c>
      <c r="C959">
        <v>4</v>
      </c>
      <c r="D959">
        <v>11.8</v>
      </c>
      <c r="E959">
        <v>47.2</v>
      </c>
      <c r="F959" s="1">
        <v>45696</v>
      </c>
      <c r="G959" s="1">
        <v>45696</v>
      </c>
      <c r="H959" t="s">
        <v>23</v>
      </c>
      <c r="I959" t="s">
        <v>40</v>
      </c>
      <c r="J959">
        <v>4</v>
      </c>
      <c r="K959" t="s">
        <v>19</v>
      </c>
      <c r="L959" t="s">
        <v>33</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x14ac:dyDescent="0.3">
      <c r="A960" t="s">
        <v>1056</v>
      </c>
      <c r="B960" t="s">
        <v>54</v>
      </c>
      <c r="C960">
        <v>27</v>
      </c>
      <c r="D960">
        <v>40.799999999999997</v>
      </c>
      <c r="E960">
        <v>1101.5999999999999</v>
      </c>
      <c r="F960" s="1">
        <v>45696</v>
      </c>
      <c r="G960" s="1">
        <v>45697</v>
      </c>
      <c r="H960" t="s">
        <v>27</v>
      </c>
      <c r="I960" t="s">
        <v>51</v>
      </c>
      <c r="J960">
        <v>5</v>
      </c>
      <c r="K960" t="s">
        <v>19</v>
      </c>
      <c r="L960" t="s">
        <v>33</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x14ac:dyDescent="0.3">
      <c r="A961" t="s">
        <v>1057</v>
      </c>
      <c r="B961" t="s">
        <v>44</v>
      </c>
      <c r="C961">
        <v>1</v>
      </c>
      <c r="D961">
        <v>24.7</v>
      </c>
      <c r="E961">
        <v>24.7</v>
      </c>
      <c r="F961" s="1">
        <v>45696</v>
      </c>
      <c r="G961" s="1">
        <v>45698</v>
      </c>
      <c r="H961" t="s">
        <v>27</v>
      </c>
      <c r="I961" t="s">
        <v>40</v>
      </c>
      <c r="J961">
        <v>3</v>
      </c>
      <c r="K961" t="s">
        <v>19</v>
      </c>
      <c r="L961" t="s">
        <v>33</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x14ac:dyDescent="0.3">
      <c r="A962" t="s">
        <v>1058</v>
      </c>
      <c r="B962" t="s">
        <v>44</v>
      </c>
      <c r="C962">
        <v>7</v>
      </c>
      <c r="D962">
        <v>22.1</v>
      </c>
      <c r="E962">
        <v>154.70000000000002</v>
      </c>
      <c r="F962" s="1">
        <v>45696</v>
      </c>
      <c r="G962" s="1">
        <v>45696</v>
      </c>
      <c r="H962" t="s">
        <v>27</v>
      </c>
      <c r="I962" t="s">
        <v>40</v>
      </c>
      <c r="J962">
        <v>2</v>
      </c>
      <c r="K962" t="s">
        <v>19</v>
      </c>
      <c r="L962" t="s">
        <v>33</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x14ac:dyDescent="0.3">
      <c r="A963" t="s">
        <v>1059</v>
      </c>
      <c r="B963" t="s">
        <v>44</v>
      </c>
      <c r="C963">
        <v>1</v>
      </c>
      <c r="D963">
        <v>18.100000000000001</v>
      </c>
      <c r="E963">
        <v>18.100000000000001</v>
      </c>
      <c r="F963" s="1">
        <v>45696</v>
      </c>
      <c r="G963" s="1">
        <v>45700</v>
      </c>
      <c r="H963" t="s">
        <v>23</v>
      </c>
      <c r="I963" t="s">
        <v>51</v>
      </c>
      <c r="J963">
        <v>5</v>
      </c>
      <c r="K963" t="s">
        <v>19</v>
      </c>
      <c r="L963" t="s">
        <v>33</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x14ac:dyDescent="0.3">
      <c r="A964" t="s">
        <v>1060</v>
      </c>
      <c r="B964" t="s">
        <v>135</v>
      </c>
      <c r="C964">
        <v>2</v>
      </c>
      <c r="D964">
        <v>58.8</v>
      </c>
      <c r="E964">
        <v>117.6</v>
      </c>
      <c r="F964" s="1">
        <v>45696</v>
      </c>
      <c r="G964" s="1">
        <v>45699</v>
      </c>
      <c r="H964" t="s">
        <v>27</v>
      </c>
      <c r="I964" t="s">
        <v>18</v>
      </c>
      <c r="J964">
        <v>4</v>
      </c>
      <c r="K964" t="s">
        <v>19</v>
      </c>
      <c r="L964" t="s">
        <v>188</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x14ac:dyDescent="0.3">
      <c r="A965" t="s">
        <v>1061</v>
      </c>
      <c r="B965" t="s">
        <v>146</v>
      </c>
      <c r="C965">
        <v>2</v>
      </c>
      <c r="D965">
        <v>30.8</v>
      </c>
      <c r="E965">
        <v>61.6</v>
      </c>
      <c r="F965" s="1">
        <v>45696</v>
      </c>
      <c r="G965" s="1">
        <v>45697</v>
      </c>
      <c r="H965" t="s">
        <v>27</v>
      </c>
      <c r="I965" t="s">
        <v>18</v>
      </c>
      <c r="J965">
        <v>4</v>
      </c>
      <c r="K965" t="s">
        <v>19</v>
      </c>
      <c r="L965" t="s">
        <v>55</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x14ac:dyDescent="0.3">
      <c r="A966" t="s">
        <v>1062</v>
      </c>
      <c r="B966" t="s">
        <v>16</v>
      </c>
      <c r="C966">
        <v>2</v>
      </c>
      <c r="D966">
        <v>12</v>
      </c>
      <c r="E966">
        <v>24</v>
      </c>
      <c r="F966" s="1">
        <v>45696</v>
      </c>
      <c r="G966" s="1">
        <v>45700</v>
      </c>
      <c r="H966" t="s">
        <v>27</v>
      </c>
      <c r="I966" t="s">
        <v>18</v>
      </c>
      <c r="J966">
        <v>4</v>
      </c>
      <c r="K966" t="s">
        <v>19</v>
      </c>
      <c r="L966" t="s">
        <v>55</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x14ac:dyDescent="0.3">
      <c r="A967" t="s">
        <v>1063</v>
      </c>
      <c r="B967" t="s">
        <v>16</v>
      </c>
      <c r="C967">
        <v>4</v>
      </c>
      <c r="D967">
        <v>13.6</v>
      </c>
      <c r="E967">
        <v>54.4</v>
      </c>
      <c r="F967" s="1">
        <v>45696</v>
      </c>
      <c r="G967" s="1">
        <v>45699</v>
      </c>
      <c r="H967" t="s">
        <v>23</v>
      </c>
      <c r="I967" t="s">
        <v>40</v>
      </c>
      <c r="J967">
        <v>4</v>
      </c>
      <c r="K967" t="s">
        <v>19</v>
      </c>
      <c r="L967" t="s">
        <v>55</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x14ac:dyDescent="0.3">
      <c r="A968" t="s">
        <v>1064</v>
      </c>
      <c r="B968" t="s">
        <v>16</v>
      </c>
      <c r="C968">
        <v>1</v>
      </c>
      <c r="D968">
        <v>17.899999999999999</v>
      </c>
      <c r="E968">
        <v>17.899999999999999</v>
      </c>
      <c r="F968" s="1">
        <v>45696</v>
      </c>
      <c r="G968" s="1">
        <v>45697</v>
      </c>
      <c r="H968" t="s">
        <v>23</v>
      </c>
      <c r="I968" t="s">
        <v>51</v>
      </c>
      <c r="J968">
        <v>4</v>
      </c>
      <c r="K968" t="s">
        <v>19</v>
      </c>
      <c r="L968" t="s">
        <v>55</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x14ac:dyDescent="0.3">
      <c r="A969" t="s">
        <v>1065</v>
      </c>
      <c r="B969" t="s">
        <v>46</v>
      </c>
      <c r="C969">
        <v>2</v>
      </c>
      <c r="D969">
        <v>38.6</v>
      </c>
      <c r="E969">
        <v>77.2</v>
      </c>
      <c r="F969" s="1">
        <v>45696</v>
      </c>
      <c r="G969" s="1">
        <v>45700</v>
      </c>
      <c r="H969" t="s">
        <v>27</v>
      </c>
      <c r="I969" t="s">
        <v>70</v>
      </c>
      <c r="J969">
        <v>4</v>
      </c>
      <c r="K969" t="s">
        <v>19</v>
      </c>
      <c r="L969" t="s">
        <v>59</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x14ac:dyDescent="0.3">
      <c r="A970" t="s">
        <v>1066</v>
      </c>
      <c r="B970" t="s">
        <v>37</v>
      </c>
      <c r="C970">
        <v>5</v>
      </c>
      <c r="D970">
        <v>32.700000000000003</v>
      </c>
      <c r="E970">
        <v>163.5</v>
      </c>
      <c r="F970" s="1">
        <v>45696</v>
      </c>
      <c r="G970" s="1">
        <v>45697</v>
      </c>
      <c r="H970" t="s">
        <v>23</v>
      </c>
      <c r="I970" t="s">
        <v>40</v>
      </c>
      <c r="J970">
        <v>5</v>
      </c>
      <c r="K970" t="s">
        <v>19</v>
      </c>
      <c r="L970" t="s">
        <v>62</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x14ac:dyDescent="0.3">
      <c r="A971" t="s">
        <v>1067</v>
      </c>
      <c r="B971" t="s">
        <v>30</v>
      </c>
      <c r="C971">
        <v>2</v>
      </c>
      <c r="D971">
        <v>111.4</v>
      </c>
      <c r="E971">
        <v>222.8</v>
      </c>
      <c r="F971" s="1">
        <v>45696</v>
      </c>
      <c r="G971" s="1">
        <v>45697</v>
      </c>
      <c r="H971" t="s">
        <v>27</v>
      </c>
      <c r="I971" t="s">
        <v>35</v>
      </c>
      <c r="J971">
        <v>4</v>
      </c>
      <c r="K971" t="s">
        <v>19</v>
      </c>
      <c r="L971" t="s">
        <v>62</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x14ac:dyDescent="0.3">
      <c r="A972" t="s">
        <v>1068</v>
      </c>
      <c r="B972" t="s">
        <v>26</v>
      </c>
      <c r="C972">
        <v>6</v>
      </c>
      <c r="D972">
        <v>80.3</v>
      </c>
      <c r="E972">
        <v>481.79999999999995</v>
      </c>
      <c r="F972" s="1">
        <v>45696</v>
      </c>
      <c r="G972" s="1">
        <v>45698</v>
      </c>
      <c r="H972" t="s">
        <v>27</v>
      </c>
      <c r="I972" t="s">
        <v>35</v>
      </c>
      <c r="J972">
        <v>4</v>
      </c>
      <c r="K972" t="s">
        <v>19</v>
      </c>
      <c r="L972" t="s">
        <v>62</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x14ac:dyDescent="0.3">
      <c r="A973" t="s">
        <v>1069</v>
      </c>
      <c r="B973" t="s">
        <v>39</v>
      </c>
      <c r="C973">
        <v>2</v>
      </c>
      <c r="D973">
        <v>58.9</v>
      </c>
      <c r="E973">
        <v>117.8</v>
      </c>
      <c r="F973" s="1">
        <v>45696</v>
      </c>
      <c r="G973" s="1">
        <v>45697</v>
      </c>
      <c r="H973" t="s">
        <v>23</v>
      </c>
      <c r="I973" t="s">
        <v>35</v>
      </c>
      <c r="J973">
        <v>4</v>
      </c>
      <c r="K973" t="s">
        <v>19</v>
      </c>
      <c r="L973" t="s">
        <v>62</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x14ac:dyDescent="0.3">
      <c r="A974" t="s">
        <v>1070</v>
      </c>
      <c r="B974" t="s">
        <v>39</v>
      </c>
      <c r="C974">
        <v>3</v>
      </c>
      <c r="D974">
        <v>51.9</v>
      </c>
      <c r="E974">
        <v>155.69999999999999</v>
      </c>
      <c r="F974" s="1">
        <v>45696</v>
      </c>
      <c r="G974" s="1">
        <v>45698</v>
      </c>
      <c r="H974" t="s">
        <v>27</v>
      </c>
      <c r="I974" t="s">
        <v>35</v>
      </c>
      <c r="J974">
        <v>2</v>
      </c>
      <c r="K974" t="s">
        <v>19</v>
      </c>
      <c r="L974" t="s">
        <v>62</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x14ac:dyDescent="0.3">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x14ac:dyDescent="0.3">
      <c r="A976" t="s">
        <v>1072</v>
      </c>
      <c r="B976" t="s">
        <v>67</v>
      </c>
      <c r="C976">
        <v>6</v>
      </c>
      <c r="D976">
        <v>45</v>
      </c>
      <c r="E976">
        <v>270</v>
      </c>
      <c r="F976" s="1">
        <v>45696</v>
      </c>
      <c r="G976" s="1">
        <v>45702</v>
      </c>
      <c r="H976" t="s">
        <v>27</v>
      </c>
      <c r="I976" t="s">
        <v>51</v>
      </c>
      <c r="J976">
        <v>4</v>
      </c>
      <c r="K976" t="s">
        <v>19</v>
      </c>
      <c r="L976" t="s">
        <v>72</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x14ac:dyDescent="0.3">
      <c r="A977" t="s">
        <v>1073</v>
      </c>
      <c r="B977" t="s">
        <v>54</v>
      </c>
      <c r="C977">
        <v>6</v>
      </c>
      <c r="D977">
        <v>44.7</v>
      </c>
      <c r="E977">
        <v>268.20000000000005</v>
      </c>
      <c r="F977" s="1">
        <v>45696</v>
      </c>
      <c r="G977" s="1">
        <v>45698</v>
      </c>
      <c r="H977" t="s">
        <v>27</v>
      </c>
      <c r="I977" t="s">
        <v>40</v>
      </c>
      <c r="J977">
        <v>4</v>
      </c>
      <c r="K977" t="s">
        <v>19</v>
      </c>
      <c r="L977" t="s">
        <v>77</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x14ac:dyDescent="0.3">
      <c r="A978" t="s">
        <v>1074</v>
      </c>
      <c r="B978" t="s">
        <v>146</v>
      </c>
      <c r="C978">
        <v>15</v>
      </c>
      <c r="D978">
        <v>33</v>
      </c>
      <c r="E978">
        <v>495</v>
      </c>
      <c r="F978" s="1">
        <v>45696</v>
      </c>
      <c r="G978" s="1">
        <v>45697</v>
      </c>
      <c r="H978" t="s">
        <v>27</v>
      </c>
      <c r="I978" t="s">
        <v>40</v>
      </c>
      <c r="J978">
        <v>4</v>
      </c>
      <c r="K978" t="s">
        <v>19</v>
      </c>
      <c r="L978" t="s">
        <v>77</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x14ac:dyDescent="0.3">
      <c r="A979" t="s">
        <v>1075</v>
      </c>
      <c r="B979" t="s">
        <v>22</v>
      </c>
      <c r="C979">
        <v>5</v>
      </c>
      <c r="D979">
        <v>44.9</v>
      </c>
      <c r="E979">
        <v>224.5</v>
      </c>
      <c r="F979" s="1">
        <v>45696</v>
      </c>
      <c r="G979" s="1">
        <v>45699</v>
      </c>
      <c r="H979" t="s">
        <v>27</v>
      </c>
      <c r="I979" t="s">
        <v>40</v>
      </c>
      <c r="J979">
        <v>5</v>
      </c>
      <c r="K979" t="s">
        <v>19</v>
      </c>
      <c r="L979" t="s">
        <v>108</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x14ac:dyDescent="0.3">
      <c r="A980" t="s">
        <v>1076</v>
      </c>
      <c r="B980" t="s">
        <v>54</v>
      </c>
      <c r="C980">
        <v>2</v>
      </c>
      <c r="D980">
        <v>34.6</v>
      </c>
      <c r="E980">
        <v>69.2</v>
      </c>
      <c r="F980" s="1">
        <v>45696</v>
      </c>
      <c r="G980" s="1">
        <v>45700</v>
      </c>
      <c r="H980" t="s">
        <v>27</v>
      </c>
      <c r="I980" t="s">
        <v>18</v>
      </c>
      <c r="J980">
        <v>3</v>
      </c>
      <c r="K980" t="s">
        <v>19</v>
      </c>
      <c r="L980" t="s">
        <v>110</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x14ac:dyDescent="0.3">
      <c r="A981" t="s">
        <v>1077</v>
      </c>
      <c r="B981" t="s">
        <v>42</v>
      </c>
      <c r="C981">
        <v>7</v>
      </c>
      <c r="D981">
        <v>47.1</v>
      </c>
      <c r="E981">
        <v>329.7</v>
      </c>
      <c r="F981" s="1">
        <v>45696</v>
      </c>
      <c r="G981" s="1">
        <v>45701</v>
      </c>
      <c r="H981" t="s">
        <v>27</v>
      </c>
      <c r="I981" t="s">
        <v>18</v>
      </c>
      <c r="J981">
        <v>4</v>
      </c>
      <c r="K981" t="s">
        <v>19</v>
      </c>
      <c r="L981" t="s">
        <v>82</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x14ac:dyDescent="0.3">
      <c r="A982" t="s">
        <v>1078</v>
      </c>
      <c r="B982" t="s">
        <v>32</v>
      </c>
      <c r="C982">
        <v>5</v>
      </c>
      <c r="D982">
        <v>26.1</v>
      </c>
      <c r="E982">
        <v>130.5</v>
      </c>
      <c r="F982" s="1">
        <v>45696</v>
      </c>
      <c r="G982" s="1">
        <v>45701</v>
      </c>
      <c r="H982" t="s">
        <v>23</v>
      </c>
      <c r="I982" t="s">
        <v>18</v>
      </c>
      <c r="J982">
        <v>5</v>
      </c>
      <c r="K982" t="s">
        <v>19</v>
      </c>
      <c r="L982" t="s">
        <v>115</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x14ac:dyDescent="0.3">
      <c r="A983" t="s">
        <v>1079</v>
      </c>
      <c r="B983" t="s">
        <v>69</v>
      </c>
      <c r="C983">
        <v>5</v>
      </c>
      <c r="D983">
        <v>66.8</v>
      </c>
      <c r="E983">
        <v>334</v>
      </c>
      <c r="F983" s="1">
        <v>45696</v>
      </c>
      <c r="G983" s="1">
        <v>45699</v>
      </c>
      <c r="H983" t="s">
        <v>27</v>
      </c>
      <c r="I983" t="s">
        <v>18</v>
      </c>
      <c r="J983">
        <v>4</v>
      </c>
      <c r="K983" t="s">
        <v>19</v>
      </c>
      <c r="L983" t="s">
        <v>115</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x14ac:dyDescent="0.3">
      <c r="A984" t="s">
        <v>1080</v>
      </c>
      <c r="B984" t="s">
        <v>26</v>
      </c>
      <c r="C984">
        <v>2</v>
      </c>
      <c r="D984">
        <v>167.9</v>
      </c>
      <c r="E984">
        <v>335.8</v>
      </c>
      <c r="F984" s="1">
        <v>45696</v>
      </c>
      <c r="G984" s="1">
        <v>45697</v>
      </c>
      <c r="H984" t="s">
        <v>27</v>
      </c>
      <c r="I984" t="s">
        <v>51</v>
      </c>
      <c r="J984">
        <v>5</v>
      </c>
      <c r="K984" t="s">
        <v>19</v>
      </c>
      <c r="L984" t="s">
        <v>115</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x14ac:dyDescent="0.3">
      <c r="A985" t="s">
        <v>1081</v>
      </c>
      <c r="B985" t="s">
        <v>54</v>
      </c>
      <c r="C985">
        <v>9</v>
      </c>
      <c r="D985">
        <v>34.6</v>
      </c>
      <c r="E985">
        <v>311.40000000000003</v>
      </c>
      <c r="F985" s="1">
        <v>45696</v>
      </c>
      <c r="G985" s="1">
        <v>45697</v>
      </c>
      <c r="H985" t="s">
        <v>27</v>
      </c>
      <c r="I985" t="s">
        <v>40</v>
      </c>
      <c r="J985">
        <v>3</v>
      </c>
      <c r="K985" t="s">
        <v>19</v>
      </c>
      <c r="L985" t="s">
        <v>115</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x14ac:dyDescent="0.3">
      <c r="A986" t="s">
        <v>1082</v>
      </c>
      <c r="B986" t="s">
        <v>44</v>
      </c>
      <c r="C986">
        <v>3</v>
      </c>
      <c r="D986">
        <v>35.1</v>
      </c>
      <c r="E986">
        <v>105.30000000000001</v>
      </c>
      <c r="F986" s="1">
        <v>45697</v>
      </c>
      <c r="G986" s="1">
        <v>45701</v>
      </c>
      <c r="H986" t="s">
        <v>23</v>
      </c>
      <c r="I986" t="s">
        <v>70</v>
      </c>
      <c r="J986">
        <v>5</v>
      </c>
      <c r="K986" t="s">
        <v>19</v>
      </c>
      <c r="L986" t="s">
        <v>24</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x14ac:dyDescent="0.3">
      <c r="A987" t="s">
        <v>1083</v>
      </c>
      <c r="B987" t="s">
        <v>39</v>
      </c>
      <c r="C987">
        <v>4</v>
      </c>
      <c r="D987">
        <v>104.5</v>
      </c>
      <c r="E987">
        <v>418</v>
      </c>
      <c r="F987" s="1">
        <v>45697</v>
      </c>
      <c r="G987" s="1">
        <v>45698</v>
      </c>
      <c r="H987" t="s">
        <v>23</v>
      </c>
      <c r="I987" t="s">
        <v>35</v>
      </c>
      <c r="J987">
        <v>3</v>
      </c>
      <c r="K987" t="s">
        <v>19</v>
      </c>
      <c r="L987" t="s">
        <v>24</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x14ac:dyDescent="0.3">
      <c r="A988" t="s">
        <v>1084</v>
      </c>
      <c r="B988" t="s">
        <v>44</v>
      </c>
      <c r="C988">
        <v>1</v>
      </c>
      <c r="D988">
        <v>37.9</v>
      </c>
      <c r="E988">
        <v>37.9</v>
      </c>
      <c r="F988" s="1">
        <v>45697</v>
      </c>
      <c r="G988" s="1">
        <v>45699</v>
      </c>
      <c r="H988" t="s">
        <v>17</v>
      </c>
      <c r="I988" t="s">
        <v>35</v>
      </c>
      <c r="J988">
        <v>5</v>
      </c>
      <c r="K988" t="s">
        <v>19</v>
      </c>
      <c r="L988" t="s">
        <v>28</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x14ac:dyDescent="0.3">
      <c r="A989" t="s">
        <v>1085</v>
      </c>
      <c r="B989" t="s">
        <v>32</v>
      </c>
      <c r="C989">
        <v>3</v>
      </c>
      <c r="D989">
        <v>25.5</v>
      </c>
      <c r="E989">
        <v>76.5</v>
      </c>
      <c r="F989" s="1">
        <v>45697</v>
      </c>
      <c r="G989" s="1">
        <v>45700</v>
      </c>
      <c r="H989" t="s">
        <v>23</v>
      </c>
      <c r="I989" t="s">
        <v>51</v>
      </c>
      <c r="J989">
        <v>4</v>
      </c>
      <c r="K989" t="s">
        <v>19</v>
      </c>
      <c r="L989" t="s">
        <v>28</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x14ac:dyDescent="0.3">
      <c r="A990" t="s">
        <v>1086</v>
      </c>
      <c r="B990" t="s">
        <v>16</v>
      </c>
      <c r="C990">
        <v>3</v>
      </c>
      <c r="D990">
        <v>32</v>
      </c>
      <c r="E990">
        <v>96</v>
      </c>
      <c r="F990" s="1">
        <v>45697</v>
      </c>
      <c r="G990" s="1">
        <v>45701</v>
      </c>
      <c r="H990" t="s">
        <v>27</v>
      </c>
      <c r="I990" t="s">
        <v>35</v>
      </c>
      <c r="J990">
        <v>4</v>
      </c>
      <c r="K990" t="s">
        <v>19</v>
      </c>
      <c r="L990" t="s">
        <v>147</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x14ac:dyDescent="0.3">
      <c r="A991" t="s">
        <v>1087</v>
      </c>
      <c r="B991" t="s">
        <v>22</v>
      </c>
      <c r="C991">
        <v>1</v>
      </c>
      <c r="D991">
        <v>47.1</v>
      </c>
      <c r="E991">
        <v>47.1</v>
      </c>
      <c r="F991" s="1">
        <v>45697</v>
      </c>
      <c r="G991" s="1">
        <v>45698</v>
      </c>
      <c r="H991" t="s">
        <v>27</v>
      </c>
      <c r="I991" t="s">
        <v>18</v>
      </c>
      <c r="J991">
        <v>4</v>
      </c>
      <c r="K991" t="s">
        <v>19</v>
      </c>
      <c r="L991" t="s">
        <v>334</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x14ac:dyDescent="0.3">
      <c r="A992" t="s">
        <v>1088</v>
      </c>
      <c r="B992" t="s">
        <v>39</v>
      </c>
      <c r="C992">
        <v>2</v>
      </c>
      <c r="D992">
        <v>50.6</v>
      </c>
      <c r="E992">
        <v>101.2</v>
      </c>
      <c r="F992" s="1">
        <v>45697</v>
      </c>
      <c r="G992" s="1">
        <v>45703</v>
      </c>
      <c r="H992" t="s">
        <v>17</v>
      </c>
      <c r="I992" t="s">
        <v>18</v>
      </c>
      <c r="J992">
        <v>4</v>
      </c>
      <c r="K992" t="s">
        <v>19</v>
      </c>
      <c r="L992" t="s">
        <v>33</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x14ac:dyDescent="0.3">
      <c r="A993" t="s">
        <v>1089</v>
      </c>
      <c r="B993" t="s">
        <v>39</v>
      </c>
      <c r="C993">
        <v>5</v>
      </c>
      <c r="D993">
        <v>81.7</v>
      </c>
      <c r="E993">
        <v>408.5</v>
      </c>
      <c r="F993" s="1">
        <v>45697</v>
      </c>
      <c r="G993" s="1">
        <v>45698</v>
      </c>
      <c r="H993" t="s">
        <v>27</v>
      </c>
      <c r="I993" t="s">
        <v>35</v>
      </c>
      <c r="J993">
        <v>5</v>
      </c>
      <c r="K993" t="s">
        <v>19</v>
      </c>
      <c r="L993" t="s">
        <v>33</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x14ac:dyDescent="0.3">
      <c r="A994" t="s">
        <v>1090</v>
      </c>
      <c r="B994" t="s">
        <v>37</v>
      </c>
      <c r="C994">
        <v>2</v>
      </c>
      <c r="D994">
        <v>50.7</v>
      </c>
      <c r="E994">
        <v>101.4</v>
      </c>
      <c r="F994" s="1">
        <v>45697</v>
      </c>
      <c r="G994" s="1">
        <v>45698</v>
      </c>
      <c r="H994" t="s">
        <v>89</v>
      </c>
      <c r="I994" t="s">
        <v>40</v>
      </c>
      <c r="J994">
        <v>5</v>
      </c>
      <c r="K994" t="s">
        <v>19</v>
      </c>
      <c r="L994" t="s">
        <v>33</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x14ac:dyDescent="0.3">
      <c r="A995" t="s">
        <v>1091</v>
      </c>
      <c r="B995" t="s">
        <v>26</v>
      </c>
      <c r="C995">
        <v>19</v>
      </c>
      <c r="D995">
        <v>67.3</v>
      </c>
      <c r="E995">
        <v>1278.7</v>
      </c>
      <c r="F995" s="1">
        <v>45697</v>
      </c>
      <c r="G995" s="1">
        <v>45701</v>
      </c>
      <c r="H995" t="s">
        <v>27</v>
      </c>
      <c r="I995" t="s">
        <v>40</v>
      </c>
      <c r="J995">
        <v>4</v>
      </c>
      <c r="K995" t="s">
        <v>19</v>
      </c>
      <c r="L995" t="s">
        <v>33</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x14ac:dyDescent="0.3">
      <c r="A996" t="s">
        <v>1092</v>
      </c>
      <c r="B996" t="s">
        <v>26</v>
      </c>
      <c r="C996">
        <v>4</v>
      </c>
      <c r="D996">
        <v>64.8</v>
      </c>
      <c r="E996">
        <v>259.2</v>
      </c>
      <c r="F996" s="1">
        <v>45697</v>
      </c>
      <c r="G996" s="1">
        <v>45700</v>
      </c>
      <c r="H996" t="s">
        <v>27</v>
      </c>
      <c r="I996" t="s">
        <v>51</v>
      </c>
      <c r="J996">
        <v>4</v>
      </c>
      <c r="K996" t="s">
        <v>19</v>
      </c>
      <c r="L996" t="s">
        <v>33</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x14ac:dyDescent="0.3">
      <c r="A997" t="s">
        <v>1093</v>
      </c>
      <c r="B997" t="s">
        <v>37</v>
      </c>
      <c r="C997">
        <v>22</v>
      </c>
      <c r="D997">
        <v>61.3</v>
      </c>
      <c r="E997">
        <v>1348.6</v>
      </c>
      <c r="F997" s="1">
        <v>45697</v>
      </c>
      <c r="G997" s="1">
        <v>45698</v>
      </c>
      <c r="H997" t="s">
        <v>27</v>
      </c>
      <c r="I997" t="s">
        <v>18</v>
      </c>
      <c r="J997">
        <v>5</v>
      </c>
      <c r="K997" t="s">
        <v>19</v>
      </c>
      <c r="L997" t="s">
        <v>33</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x14ac:dyDescent="0.3">
      <c r="A998" t="s">
        <v>1094</v>
      </c>
      <c r="B998" t="s">
        <v>81</v>
      </c>
      <c r="C998">
        <v>1</v>
      </c>
      <c r="D998">
        <v>32.9</v>
      </c>
      <c r="E998">
        <v>32.9</v>
      </c>
      <c r="F998" s="1">
        <v>45697</v>
      </c>
      <c r="G998" s="1">
        <v>45700</v>
      </c>
      <c r="H998" t="s">
        <v>27</v>
      </c>
      <c r="I998" t="s">
        <v>70</v>
      </c>
      <c r="J998">
        <v>4</v>
      </c>
      <c r="K998" t="s">
        <v>19</v>
      </c>
      <c r="L998" t="s">
        <v>33</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x14ac:dyDescent="0.3">
      <c r="A999" t="s">
        <v>1095</v>
      </c>
      <c r="B999" t="s">
        <v>39</v>
      </c>
      <c r="C999">
        <v>2</v>
      </c>
      <c r="D999">
        <v>100.8</v>
      </c>
      <c r="E999">
        <v>201.6</v>
      </c>
      <c r="F999" s="1">
        <v>45697</v>
      </c>
      <c r="G999" s="1">
        <v>45700</v>
      </c>
      <c r="H999" t="s">
        <v>27</v>
      </c>
      <c r="I999" t="s">
        <v>18</v>
      </c>
      <c r="J999">
        <v>4</v>
      </c>
      <c r="K999" t="s">
        <v>19</v>
      </c>
      <c r="L999" t="s">
        <v>33</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x14ac:dyDescent="0.3">
      <c r="A1000" t="s">
        <v>1096</v>
      </c>
      <c r="B1000" t="s">
        <v>44</v>
      </c>
      <c r="C1000">
        <v>4</v>
      </c>
      <c r="D1000">
        <v>25.1</v>
      </c>
      <c r="E1000">
        <v>100.4</v>
      </c>
      <c r="F1000" s="1">
        <v>45697</v>
      </c>
      <c r="G1000" s="1">
        <v>45699</v>
      </c>
      <c r="H1000" t="s">
        <v>27</v>
      </c>
      <c r="I1000" t="s">
        <v>35</v>
      </c>
      <c r="J1000">
        <v>4</v>
      </c>
      <c r="K1000" t="s">
        <v>19</v>
      </c>
      <c r="L1000" t="s">
        <v>33</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x14ac:dyDescent="0.3">
      <c r="A1001" t="s">
        <v>1097</v>
      </c>
      <c r="B1001" t="s">
        <v>135</v>
      </c>
      <c r="C1001">
        <v>1</v>
      </c>
      <c r="D1001">
        <v>48.5</v>
      </c>
      <c r="E1001">
        <v>48.5</v>
      </c>
      <c r="F1001" s="1">
        <v>45697</v>
      </c>
      <c r="G1001" s="1">
        <v>45698</v>
      </c>
      <c r="H1001" t="s">
        <v>27</v>
      </c>
      <c r="I1001" t="s">
        <v>18</v>
      </c>
      <c r="J1001">
        <v>3</v>
      </c>
      <c r="K1001" t="s">
        <v>19</v>
      </c>
      <c r="L1001" t="s">
        <v>33</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x14ac:dyDescent="0.3">
      <c r="A1002" t="s">
        <v>1098</v>
      </c>
      <c r="B1002" t="s">
        <v>42</v>
      </c>
      <c r="C1002">
        <v>2</v>
      </c>
      <c r="D1002">
        <v>33.6</v>
      </c>
      <c r="E1002">
        <v>67.2</v>
      </c>
      <c r="F1002" s="1">
        <v>45697</v>
      </c>
      <c r="G1002" s="1">
        <v>45701</v>
      </c>
      <c r="H1002" t="s">
        <v>27</v>
      </c>
      <c r="I1002" t="s">
        <v>40</v>
      </c>
      <c r="J1002">
        <v>5</v>
      </c>
      <c r="K1002" t="s">
        <v>19</v>
      </c>
      <c r="L1002" t="s">
        <v>33</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x14ac:dyDescent="0.3">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x14ac:dyDescent="0.3">
      <c r="A1004" t="s">
        <v>1100</v>
      </c>
      <c r="B1004" t="s">
        <v>32</v>
      </c>
      <c r="C1004">
        <v>10</v>
      </c>
      <c r="D1004">
        <v>48.8</v>
      </c>
      <c r="E1004">
        <v>488</v>
      </c>
      <c r="F1004" s="1">
        <v>45697</v>
      </c>
      <c r="G1004" s="1">
        <v>45699</v>
      </c>
      <c r="H1004" t="s">
        <v>27</v>
      </c>
      <c r="I1004" t="s">
        <v>51</v>
      </c>
      <c r="J1004">
        <v>3</v>
      </c>
      <c r="K1004" t="s">
        <v>19</v>
      </c>
      <c r="L1004" t="s">
        <v>188</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x14ac:dyDescent="0.3">
      <c r="A1005" t="s">
        <v>1101</v>
      </c>
      <c r="B1005" t="s">
        <v>39</v>
      </c>
      <c r="C1005">
        <v>8</v>
      </c>
      <c r="D1005">
        <v>72.8</v>
      </c>
      <c r="E1005">
        <v>582.4</v>
      </c>
      <c r="F1005" s="1">
        <v>45697</v>
      </c>
      <c r="G1005" s="1">
        <v>45699</v>
      </c>
      <c r="H1005" t="s">
        <v>23</v>
      </c>
      <c r="I1005" t="s">
        <v>35</v>
      </c>
      <c r="J1005">
        <v>5</v>
      </c>
      <c r="K1005" t="s">
        <v>19</v>
      </c>
      <c r="L1005" t="s">
        <v>52</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x14ac:dyDescent="0.3">
      <c r="A1006" t="s">
        <v>1102</v>
      </c>
      <c r="B1006" t="s">
        <v>54</v>
      </c>
      <c r="C1006">
        <v>8</v>
      </c>
      <c r="D1006">
        <v>46.2</v>
      </c>
      <c r="E1006">
        <v>369.6</v>
      </c>
      <c r="F1006" s="1">
        <v>45697</v>
      </c>
      <c r="G1006" s="1">
        <v>45698</v>
      </c>
      <c r="H1006" t="s">
        <v>23</v>
      </c>
      <c r="I1006" t="s">
        <v>51</v>
      </c>
      <c r="J1006">
        <v>2</v>
      </c>
      <c r="K1006" t="s">
        <v>19</v>
      </c>
      <c r="L1006" t="s">
        <v>52</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x14ac:dyDescent="0.3">
      <c r="A1007" t="s">
        <v>1103</v>
      </c>
      <c r="B1007" t="s">
        <v>32</v>
      </c>
      <c r="C1007">
        <v>2</v>
      </c>
      <c r="D1007">
        <v>20.7</v>
      </c>
      <c r="E1007">
        <v>41.4</v>
      </c>
      <c r="F1007" s="1">
        <v>45697</v>
      </c>
      <c r="G1007" s="1">
        <v>45698</v>
      </c>
      <c r="H1007" t="s">
        <v>27</v>
      </c>
      <c r="I1007" t="s">
        <v>40</v>
      </c>
      <c r="J1007">
        <v>1</v>
      </c>
      <c r="K1007" t="s">
        <v>19</v>
      </c>
      <c r="L1007" t="s">
        <v>55</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x14ac:dyDescent="0.3">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x14ac:dyDescent="0.3">
      <c r="A1009" t="s">
        <v>1105</v>
      </c>
      <c r="B1009" t="s">
        <v>26</v>
      </c>
      <c r="C1009">
        <v>16</v>
      </c>
      <c r="D1009">
        <v>166.2</v>
      </c>
      <c r="E1009">
        <v>2659.2</v>
      </c>
      <c r="F1009" s="1">
        <v>45697</v>
      </c>
      <c r="G1009" s="1">
        <v>45699</v>
      </c>
      <c r="H1009" t="s">
        <v>17</v>
      </c>
      <c r="I1009" t="s">
        <v>40</v>
      </c>
      <c r="J1009">
        <v>4</v>
      </c>
      <c r="K1009" t="s">
        <v>19</v>
      </c>
      <c r="L1009" t="s">
        <v>59</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x14ac:dyDescent="0.3">
      <c r="A1010" t="s">
        <v>1106</v>
      </c>
      <c r="B1010" t="s">
        <v>39</v>
      </c>
      <c r="C1010">
        <v>4</v>
      </c>
      <c r="D1010">
        <v>85.8</v>
      </c>
      <c r="E1010">
        <v>343.2</v>
      </c>
      <c r="F1010" s="1">
        <v>45697</v>
      </c>
      <c r="G1010" s="1">
        <v>45698</v>
      </c>
      <c r="H1010" t="s">
        <v>27</v>
      </c>
      <c r="I1010" t="s">
        <v>35</v>
      </c>
      <c r="J1010">
        <v>3</v>
      </c>
      <c r="K1010" t="s">
        <v>19</v>
      </c>
      <c r="L1010" t="s">
        <v>59</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x14ac:dyDescent="0.3">
      <c r="A1011" t="s">
        <v>1107</v>
      </c>
      <c r="B1011" t="s">
        <v>44</v>
      </c>
      <c r="C1011">
        <v>3</v>
      </c>
      <c r="D1011">
        <v>26</v>
      </c>
      <c r="E1011">
        <v>78</v>
      </c>
      <c r="F1011" s="1">
        <v>45697</v>
      </c>
      <c r="G1011" s="1">
        <v>45699</v>
      </c>
      <c r="H1011" t="s">
        <v>89</v>
      </c>
      <c r="I1011" t="s">
        <v>35</v>
      </c>
      <c r="J1011">
        <v>4</v>
      </c>
      <c r="K1011" t="s">
        <v>19</v>
      </c>
      <c r="L1011" t="s">
        <v>59</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x14ac:dyDescent="0.3">
      <c r="A1012" t="s">
        <v>1108</v>
      </c>
      <c r="B1012" t="s">
        <v>26</v>
      </c>
      <c r="C1012">
        <v>13</v>
      </c>
      <c r="D1012">
        <v>116.6</v>
      </c>
      <c r="E1012">
        <v>1515.8</v>
      </c>
      <c r="F1012" s="1">
        <v>45697</v>
      </c>
      <c r="G1012" s="1">
        <v>45700</v>
      </c>
      <c r="H1012" t="s">
        <v>27</v>
      </c>
      <c r="I1012" t="s">
        <v>18</v>
      </c>
      <c r="J1012">
        <v>4</v>
      </c>
      <c r="K1012" t="s">
        <v>19</v>
      </c>
      <c r="L1012" t="s">
        <v>62</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x14ac:dyDescent="0.3">
      <c r="A1013" t="s">
        <v>1109</v>
      </c>
      <c r="B1013" t="s">
        <v>46</v>
      </c>
      <c r="C1013">
        <v>7</v>
      </c>
      <c r="D1013">
        <v>53.9</v>
      </c>
      <c r="E1013">
        <v>377.3</v>
      </c>
      <c r="F1013" s="1">
        <v>45697</v>
      </c>
      <c r="G1013" s="1">
        <v>45700</v>
      </c>
      <c r="H1013" t="s">
        <v>89</v>
      </c>
      <c r="I1013" t="s">
        <v>18</v>
      </c>
      <c r="J1013">
        <v>5</v>
      </c>
      <c r="K1013" t="s">
        <v>19</v>
      </c>
      <c r="L1013" t="s">
        <v>62</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x14ac:dyDescent="0.3">
      <c r="A1014" t="s">
        <v>1110</v>
      </c>
      <c r="B1014" t="s">
        <v>69</v>
      </c>
      <c r="C1014">
        <v>5</v>
      </c>
      <c r="D1014">
        <v>72.3</v>
      </c>
      <c r="E1014">
        <v>361.5</v>
      </c>
      <c r="F1014" s="1">
        <v>45697</v>
      </c>
      <c r="G1014" s="1">
        <v>45699</v>
      </c>
      <c r="H1014" t="s">
        <v>17</v>
      </c>
      <c r="I1014" t="s">
        <v>40</v>
      </c>
      <c r="J1014">
        <v>5</v>
      </c>
      <c r="K1014" t="s">
        <v>19</v>
      </c>
      <c r="L1014" t="s">
        <v>62</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x14ac:dyDescent="0.3">
      <c r="A1015" t="s">
        <v>1111</v>
      </c>
      <c r="B1015" t="s">
        <v>37</v>
      </c>
      <c r="C1015">
        <v>2</v>
      </c>
      <c r="D1015">
        <v>31.4</v>
      </c>
      <c r="E1015">
        <v>62.8</v>
      </c>
      <c r="F1015" s="1">
        <v>45697</v>
      </c>
      <c r="G1015" s="1">
        <v>45699</v>
      </c>
      <c r="H1015" t="s">
        <v>27</v>
      </c>
      <c r="I1015" t="s">
        <v>18</v>
      </c>
      <c r="J1015">
        <v>4</v>
      </c>
      <c r="K1015" t="s">
        <v>19</v>
      </c>
      <c r="L1015" t="s">
        <v>62</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x14ac:dyDescent="0.3">
      <c r="A1016" t="s">
        <v>1112</v>
      </c>
      <c r="B1016" t="s">
        <v>76</v>
      </c>
      <c r="C1016">
        <v>2</v>
      </c>
      <c r="D1016">
        <v>53.1</v>
      </c>
      <c r="E1016">
        <v>106.2</v>
      </c>
      <c r="F1016" s="1">
        <v>45697</v>
      </c>
      <c r="G1016" s="1">
        <v>45700</v>
      </c>
      <c r="H1016" t="s">
        <v>23</v>
      </c>
      <c r="I1016" t="s">
        <v>35</v>
      </c>
      <c r="J1016">
        <v>4</v>
      </c>
      <c r="K1016" t="s">
        <v>19</v>
      </c>
      <c r="L1016" t="s">
        <v>62</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x14ac:dyDescent="0.3">
      <c r="A1017" t="s">
        <v>1113</v>
      </c>
      <c r="B1017" t="s">
        <v>26</v>
      </c>
      <c r="C1017">
        <v>4</v>
      </c>
      <c r="D1017">
        <v>56.2</v>
      </c>
      <c r="E1017">
        <v>224.8</v>
      </c>
      <c r="F1017" s="1">
        <v>45697</v>
      </c>
      <c r="G1017" s="1">
        <v>45698</v>
      </c>
      <c r="H1017" t="s">
        <v>27</v>
      </c>
      <c r="I1017" t="s">
        <v>18</v>
      </c>
      <c r="J1017">
        <v>4</v>
      </c>
      <c r="K1017" t="s">
        <v>19</v>
      </c>
      <c r="L1017" t="s">
        <v>62</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x14ac:dyDescent="0.3">
      <c r="A1018" t="s">
        <v>1114</v>
      </c>
      <c r="B1018" t="s">
        <v>22</v>
      </c>
      <c r="C1018">
        <v>10</v>
      </c>
      <c r="D1018">
        <v>77.3</v>
      </c>
      <c r="E1018">
        <v>773</v>
      </c>
      <c r="F1018" s="1">
        <v>45697</v>
      </c>
      <c r="G1018" s="1">
        <v>45698</v>
      </c>
      <c r="H1018" t="s">
        <v>27</v>
      </c>
      <c r="I1018" t="s">
        <v>40</v>
      </c>
      <c r="J1018">
        <v>4</v>
      </c>
      <c r="K1018" t="s">
        <v>19</v>
      </c>
      <c r="L1018" t="s">
        <v>77</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x14ac:dyDescent="0.3">
      <c r="A1019" t="s">
        <v>1115</v>
      </c>
      <c r="B1019" t="s">
        <v>39</v>
      </c>
      <c r="C1019">
        <v>13</v>
      </c>
      <c r="D1019">
        <v>57.8</v>
      </c>
      <c r="E1019">
        <v>751.4</v>
      </c>
      <c r="F1019" s="1">
        <v>45697</v>
      </c>
      <c r="G1019" s="1">
        <v>45698</v>
      </c>
      <c r="H1019" t="s">
        <v>17</v>
      </c>
      <c r="I1019" t="s">
        <v>18</v>
      </c>
      <c r="J1019">
        <v>4</v>
      </c>
      <c r="K1019" t="s">
        <v>19</v>
      </c>
      <c r="L1019" t="s">
        <v>1116</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x14ac:dyDescent="0.3">
      <c r="A1020" t="s">
        <v>1117</v>
      </c>
      <c r="B1020" t="s">
        <v>69</v>
      </c>
      <c r="C1020">
        <v>15</v>
      </c>
      <c r="D1020">
        <v>42.1</v>
      </c>
      <c r="E1020">
        <v>631.5</v>
      </c>
      <c r="F1020" s="1">
        <v>45697</v>
      </c>
      <c r="G1020" s="1">
        <v>45699</v>
      </c>
      <c r="H1020" t="s">
        <v>27</v>
      </c>
      <c r="I1020" t="s">
        <v>35</v>
      </c>
      <c r="J1020">
        <v>3</v>
      </c>
      <c r="K1020" t="s">
        <v>19</v>
      </c>
      <c r="L1020" t="s">
        <v>1116</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x14ac:dyDescent="0.3">
      <c r="A1021" t="s">
        <v>1118</v>
      </c>
      <c r="B1021" t="s">
        <v>44</v>
      </c>
      <c r="C1021">
        <v>9</v>
      </c>
      <c r="D1021">
        <v>22.8</v>
      </c>
      <c r="E1021">
        <v>205.20000000000002</v>
      </c>
      <c r="F1021" s="1">
        <v>45697</v>
      </c>
      <c r="G1021" s="1">
        <v>45701</v>
      </c>
      <c r="H1021" t="s">
        <v>23</v>
      </c>
      <c r="I1021" t="s">
        <v>40</v>
      </c>
      <c r="J1021">
        <v>5</v>
      </c>
      <c r="K1021" t="s">
        <v>19</v>
      </c>
      <c r="L1021" t="s">
        <v>110</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x14ac:dyDescent="0.3">
      <c r="A1022" t="s">
        <v>1119</v>
      </c>
      <c r="B1022" t="s">
        <v>26</v>
      </c>
      <c r="C1022">
        <v>3</v>
      </c>
      <c r="D1022">
        <v>171.1</v>
      </c>
      <c r="E1022">
        <v>513.29999999999995</v>
      </c>
      <c r="F1022" s="1">
        <v>45698</v>
      </c>
      <c r="G1022" s="1">
        <v>45705</v>
      </c>
      <c r="H1022" t="s">
        <v>27</v>
      </c>
      <c r="I1022" t="s">
        <v>40</v>
      </c>
      <c r="J1022">
        <v>3</v>
      </c>
      <c r="K1022" t="s">
        <v>19</v>
      </c>
      <c r="L1022" t="s">
        <v>110</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x14ac:dyDescent="0.3">
      <c r="A1023" t="s">
        <v>1120</v>
      </c>
      <c r="B1023" t="s">
        <v>44</v>
      </c>
      <c r="C1023">
        <v>1</v>
      </c>
      <c r="D1023">
        <v>28</v>
      </c>
      <c r="E1023">
        <v>28</v>
      </c>
      <c r="F1023" s="1">
        <v>45698</v>
      </c>
      <c r="G1023" s="1">
        <v>45700</v>
      </c>
      <c r="H1023" t="s">
        <v>23</v>
      </c>
      <c r="I1023" t="s">
        <v>40</v>
      </c>
      <c r="J1023">
        <v>5</v>
      </c>
      <c r="K1023" t="s">
        <v>19</v>
      </c>
      <c r="L1023" t="s">
        <v>115</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x14ac:dyDescent="0.3">
      <c r="A1024" t="s">
        <v>1121</v>
      </c>
      <c r="B1024" t="s">
        <v>39</v>
      </c>
      <c r="C1024">
        <v>7</v>
      </c>
      <c r="D1024">
        <v>50.2</v>
      </c>
      <c r="E1024">
        <v>351.40000000000003</v>
      </c>
      <c r="F1024" s="1">
        <v>45698</v>
      </c>
      <c r="G1024" s="1">
        <v>45700</v>
      </c>
      <c r="H1024" t="s">
        <v>23</v>
      </c>
      <c r="I1024" t="s">
        <v>40</v>
      </c>
      <c r="J1024">
        <v>4</v>
      </c>
      <c r="K1024" t="s">
        <v>19</v>
      </c>
      <c r="L1024" t="s">
        <v>115</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x14ac:dyDescent="0.3">
      <c r="A1025" t="s">
        <v>1122</v>
      </c>
      <c r="B1025" t="s">
        <v>39</v>
      </c>
      <c r="C1025">
        <v>2</v>
      </c>
      <c r="D1025">
        <v>56</v>
      </c>
      <c r="E1025">
        <v>112</v>
      </c>
      <c r="F1025" s="1">
        <v>45698</v>
      </c>
      <c r="G1025" s="1">
        <v>45698</v>
      </c>
      <c r="H1025" t="s">
        <v>23</v>
      </c>
      <c r="I1025" t="s">
        <v>18</v>
      </c>
      <c r="J1025">
        <v>5</v>
      </c>
      <c r="K1025" t="s">
        <v>19</v>
      </c>
      <c r="L1025" t="s">
        <v>147</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x14ac:dyDescent="0.3">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x14ac:dyDescent="0.3">
      <c r="A1027" t="s">
        <v>1124</v>
      </c>
      <c r="B1027" t="s">
        <v>16</v>
      </c>
      <c r="C1027">
        <v>5</v>
      </c>
      <c r="D1027">
        <v>22.3</v>
      </c>
      <c r="E1027">
        <v>111.5</v>
      </c>
      <c r="F1027" s="1">
        <v>45698</v>
      </c>
      <c r="G1027" s="1">
        <v>45702</v>
      </c>
      <c r="H1027" t="s">
        <v>27</v>
      </c>
      <c r="I1027" t="s">
        <v>40</v>
      </c>
      <c r="J1027">
        <v>3</v>
      </c>
      <c r="K1027" t="s">
        <v>19</v>
      </c>
      <c r="L1027" t="s">
        <v>33</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x14ac:dyDescent="0.3">
      <c r="A1028" t="s">
        <v>1125</v>
      </c>
      <c r="B1028" t="s">
        <v>16</v>
      </c>
      <c r="C1028">
        <v>3</v>
      </c>
      <c r="D1028">
        <v>22.3</v>
      </c>
      <c r="E1028">
        <v>66.900000000000006</v>
      </c>
      <c r="F1028" s="1">
        <v>45698</v>
      </c>
      <c r="G1028" s="1">
        <v>45701</v>
      </c>
      <c r="H1028" t="s">
        <v>27</v>
      </c>
      <c r="I1028" t="s">
        <v>40</v>
      </c>
      <c r="J1028">
        <v>4</v>
      </c>
      <c r="K1028" t="s">
        <v>19</v>
      </c>
      <c r="L1028" t="s">
        <v>33</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x14ac:dyDescent="0.3">
      <c r="A1029" t="s">
        <v>1126</v>
      </c>
      <c r="B1029" t="s">
        <v>22</v>
      </c>
      <c r="C1029">
        <v>1</v>
      </c>
      <c r="D1029">
        <v>32.9</v>
      </c>
      <c r="E1029">
        <v>32.9</v>
      </c>
      <c r="F1029" s="1">
        <v>45698</v>
      </c>
      <c r="G1029" s="1">
        <v>45703</v>
      </c>
      <c r="H1029" t="s">
        <v>27</v>
      </c>
      <c r="I1029" t="s">
        <v>18</v>
      </c>
      <c r="J1029">
        <v>4</v>
      </c>
      <c r="K1029" t="s">
        <v>19</v>
      </c>
      <c r="L1029" t="s">
        <v>33</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x14ac:dyDescent="0.3">
      <c r="A1030" t="s">
        <v>1127</v>
      </c>
      <c r="B1030" t="s">
        <v>54</v>
      </c>
      <c r="C1030">
        <v>3</v>
      </c>
      <c r="D1030">
        <v>31.9</v>
      </c>
      <c r="E1030">
        <v>95.699999999999989</v>
      </c>
      <c r="F1030" s="1">
        <v>45698</v>
      </c>
      <c r="G1030" s="1">
        <v>45703</v>
      </c>
      <c r="H1030" t="s">
        <v>27</v>
      </c>
      <c r="I1030" t="s">
        <v>18</v>
      </c>
      <c r="J1030">
        <v>4</v>
      </c>
      <c r="K1030" t="s">
        <v>19</v>
      </c>
      <c r="L1030" t="s">
        <v>33</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x14ac:dyDescent="0.3">
      <c r="A1031" t="s">
        <v>1128</v>
      </c>
      <c r="B1031" t="s">
        <v>39</v>
      </c>
      <c r="C1031">
        <v>2</v>
      </c>
      <c r="D1031">
        <v>94</v>
      </c>
      <c r="E1031">
        <v>188</v>
      </c>
      <c r="F1031" s="1">
        <v>45698</v>
      </c>
      <c r="G1031" s="1">
        <v>45699</v>
      </c>
      <c r="H1031" t="s">
        <v>23</v>
      </c>
      <c r="I1031" t="s">
        <v>40</v>
      </c>
      <c r="J1031">
        <v>5</v>
      </c>
      <c r="K1031" t="s">
        <v>19</v>
      </c>
      <c r="L1031" t="s">
        <v>33</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x14ac:dyDescent="0.3">
      <c r="A1032" t="s">
        <v>1129</v>
      </c>
      <c r="B1032" t="s">
        <v>54</v>
      </c>
      <c r="C1032">
        <v>2</v>
      </c>
      <c r="D1032">
        <v>30.7</v>
      </c>
      <c r="E1032">
        <v>61.4</v>
      </c>
      <c r="F1032" s="1">
        <v>45698</v>
      </c>
      <c r="G1032" s="1">
        <v>45699</v>
      </c>
      <c r="H1032" t="s">
        <v>27</v>
      </c>
      <c r="I1032" t="s">
        <v>18</v>
      </c>
      <c r="J1032">
        <v>3</v>
      </c>
      <c r="K1032" t="s">
        <v>19</v>
      </c>
      <c r="L1032" t="s">
        <v>33</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x14ac:dyDescent="0.3">
      <c r="A1033" t="s">
        <v>1130</v>
      </c>
      <c r="B1033" t="s">
        <v>37</v>
      </c>
      <c r="C1033">
        <v>5</v>
      </c>
      <c r="D1033">
        <v>90.5</v>
      </c>
      <c r="E1033">
        <v>452.5</v>
      </c>
      <c r="F1033" s="1">
        <v>45698</v>
      </c>
      <c r="G1033" s="1">
        <v>45705</v>
      </c>
      <c r="H1033" t="s">
        <v>23</v>
      </c>
      <c r="I1033" t="s">
        <v>18</v>
      </c>
      <c r="J1033">
        <v>5</v>
      </c>
      <c r="K1033" t="s">
        <v>19</v>
      </c>
      <c r="L1033" t="s">
        <v>33</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x14ac:dyDescent="0.3">
      <c r="A1034" t="s">
        <v>1131</v>
      </c>
      <c r="B1034" t="s">
        <v>44</v>
      </c>
      <c r="C1034">
        <v>5</v>
      </c>
      <c r="D1034">
        <v>25.3</v>
      </c>
      <c r="E1034">
        <v>126.5</v>
      </c>
      <c r="F1034" s="1">
        <v>45698</v>
      </c>
      <c r="G1034" s="1">
        <v>45702</v>
      </c>
      <c r="H1034" t="s">
        <v>27</v>
      </c>
      <c r="I1034" t="s">
        <v>18</v>
      </c>
      <c r="J1034">
        <v>5</v>
      </c>
      <c r="K1034" t="s">
        <v>19</v>
      </c>
      <c r="L1034" t="s">
        <v>33</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x14ac:dyDescent="0.3">
      <c r="A1035" t="s">
        <v>1132</v>
      </c>
      <c r="B1035" t="s">
        <v>39</v>
      </c>
      <c r="C1035">
        <v>3</v>
      </c>
      <c r="D1035">
        <v>58.1</v>
      </c>
      <c r="E1035">
        <v>174.3</v>
      </c>
      <c r="F1035" s="1">
        <v>45698</v>
      </c>
      <c r="G1035" s="1">
        <v>45702</v>
      </c>
      <c r="H1035" t="s">
        <v>17</v>
      </c>
      <c r="I1035" t="s">
        <v>18</v>
      </c>
      <c r="J1035">
        <v>5</v>
      </c>
      <c r="K1035" t="s">
        <v>19</v>
      </c>
      <c r="L1035" t="s">
        <v>33</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x14ac:dyDescent="0.3">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x14ac:dyDescent="0.3">
      <c r="A1037" t="s">
        <v>1134</v>
      </c>
      <c r="B1037" t="s">
        <v>32</v>
      </c>
      <c r="C1037">
        <v>2</v>
      </c>
      <c r="D1037">
        <v>32.5</v>
      </c>
      <c r="E1037">
        <v>65</v>
      </c>
      <c r="F1037" s="1">
        <v>45698</v>
      </c>
      <c r="G1037" s="1">
        <v>45699</v>
      </c>
      <c r="H1037" t="s">
        <v>23</v>
      </c>
      <c r="I1037" t="s">
        <v>40</v>
      </c>
      <c r="J1037">
        <v>5</v>
      </c>
      <c r="K1037" t="s">
        <v>19</v>
      </c>
      <c r="L1037" t="s">
        <v>545</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x14ac:dyDescent="0.3">
      <c r="A1038" t="s">
        <v>1135</v>
      </c>
      <c r="B1038" t="s">
        <v>32</v>
      </c>
      <c r="C1038">
        <v>5</v>
      </c>
      <c r="D1038">
        <v>62</v>
      </c>
      <c r="E1038">
        <v>310</v>
      </c>
      <c r="F1038" s="1">
        <v>45698</v>
      </c>
      <c r="G1038" s="1">
        <v>45699</v>
      </c>
      <c r="H1038" t="s">
        <v>23</v>
      </c>
      <c r="I1038" t="s">
        <v>70</v>
      </c>
      <c r="J1038">
        <v>5</v>
      </c>
      <c r="K1038" t="s">
        <v>19</v>
      </c>
      <c r="L1038" t="s">
        <v>188</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x14ac:dyDescent="0.3">
      <c r="A1039" t="s">
        <v>1136</v>
      </c>
      <c r="B1039" t="s">
        <v>76</v>
      </c>
      <c r="C1039">
        <v>6</v>
      </c>
      <c r="D1039">
        <v>28.9</v>
      </c>
      <c r="E1039">
        <v>173.39999999999998</v>
      </c>
      <c r="F1039" s="1">
        <v>45698</v>
      </c>
      <c r="G1039" s="1">
        <v>45701</v>
      </c>
      <c r="H1039" t="s">
        <v>27</v>
      </c>
      <c r="I1039" t="s">
        <v>18</v>
      </c>
      <c r="J1039">
        <v>3</v>
      </c>
      <c r="K1039" t="s">
        <v>19</v>
      </c>
      <c r="L1039" t="s">
        <v>55</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x14ac:dyDescent="0.3">
      <c r="A1040" t="s">
        <v>1137</v>
      </c>
      <c r="B1040" t="s">
        <v>39</v>
      </c>
      <c r="C1040">
        <v>8</v>
      </c>
      <c r="D1040">
        <v>42.8</v>
      </c>
      <c r="E1040">
        <v>342.4</v>
      </c>
      <c r="F1040" s="1">
        <v>45698</v>
      </c>
      <c r="G1040" s="1">
        <v>45700</v>
      </c>
      <c r="H1040" t="s">
        <v>27</v>
      </c>
      <c r="I1040" t="s">
        <v>18</v>
      </c>
      <c r="J1040">
        <v>5</v>
      </c>
      <c r="K1040" t="s">
        <v>19</v>
      </c>
      <c r="L1040" t="s">
        <v>55</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x14ac:dyDescent="0.3">
      <c r="A1041" t="s">
        <v>1138</v>
      </c>
      <c r="B1041" t="s">
        <v>44</v>
      </c>
      <c r="C1041">
        <v>8</v>
      </c>
      <c r="D1041">
        <v>39.4</v>
      </c>
      <c r="E1041">
        <v>315.2</v>
      </c>
      <c r="F1041" s="1">
        <v>45698</v>
      </c>
      <c r="G1041" s="1">
        <v>45700</v>
      </c>
      <c r="H1041" t="s">
        <v>23</v>
      </c>
      <c r="I1041" t="s">
        <v>18</v>
      </c>
      <c r="J1041">
        <v>4</v>
      </c>
      <c r="K1041" t="s">
        <v>19</v>
      </c>
      <c r="L1041" t="s">
        <v>342</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x14ac:dyDescent="0.3">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x14ac:dyDescent="0.3">
      <c r="A1043" t="s">
        <v>1140</v>
      </c>
      <c r="B1043" t="s">
        <v>135</v>
      </c>
      <c r="C1043">
        <v>4</v>
      </c>
      <c r="D1043">
        <v>35.9</v>
      </c>
      <c r="E1043">
        <v>143.6</v>
      </c>
      <c r="F1043" s="1">
        <v>45698</v>
      </c>
      <c r="G1043" s="1">
        <v>45705</v>
      </c>
      <c r="H1043" t="s">
        <v>27</v>
      </c>
      <c r="I1043" t="s">
        <v>35</v>
      </c>
      <c r="J1043">
        <v>4</v>
      </c>
      <c r="K1043" t="s">
        <v>19</v>
      </c>
      <c r="L1043" t="s">
        <v>59</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x14ac:dyDescent="0.3">
      <c r="A1044" t="s">
        <v>1141</v>
      </c>
      <c r="B1044" t="s">
        <v>16</v>
      </c>
      <c r="C1044">
        <v>4</v>
      </c>
      <c r="D1044">
        <v>26.9</v>
      </c>
      <c r="E1044">
        <v>107.6</v>
      </c>
      <c r="F1044" s="1">
        <v>45698</v>
      </c>
      <c r="G1044" s="1">
        <v>45699</v>
      </c>
      <c r="H1044" t="s">
        <v>23</v>
      </c>
      <c r="I1044" t="s">
        <v>35</v>
      </c>
      <c r="J1044">
        <v>4</v>
      </c>
      <c r="K1044" t="s">
        <v>19</v>
      </c>
      <c r="L1044" t="s">
        <v>59</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x14ac:dyDescent="0.3">
      <c r="A1045" t="s">
        <v>1142</v>
      </c>
      <c r="B1045" t="s">
        <v>26</v>
      </c>
      <c r="C1045">
        <v>1</v>
      </c>
      <c r="D1045">
        <v>55.1</v>
      </c>
      <c r="E1045">
        <v>55.1</v>
      </c>
      <c r="F1045" s="1">
        <v>45698</v>
      </c>
      <c r="G1045" s="1">
        <v>45699</v>
      </c>
      <c r="H1045" t="s">
        <v>27</v>
      </c>
      <c r="I1045" t="s">
        <v>18</v>
      </c>
      <c r="J1045">
        <v>4</v>
      </c>
      <c r="K1045" t="s">
        <v>19</v>
      </c>
      <c r="L1045" t="s">
        <v>59</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x14ac:dyDescent="0.3">
      <c r="A1046" t="s">
        <v>1143</v>
      </c>
      <c r="B1046" t="s">
        <v>32</v>
      </c>
      <c r="C1046">
        <v>2</v>
      </c>
      <c r="D1046">
        <v>23.9</v>
      </c>
      <c r="E1046">
        <v>47.8</v>
      </c>
      <c r="F1046" s="1">
        <v>45698</v>
      </c>
      <c r="G1046" s="1">
        <v>45699</v>
      </c>
      <c r="H1046" t="s">
        <v>23</v>
      </c>
      <c r="I1046" t="s">
        <v>18</v>
      </c>
      <c r="J1046">
        <v>5</v>
      </c>
      <c r="K1046" t="s">
        <v>19</v>
      </c>
      <c r="L1046" t="s">
        <v>62</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x14ac:dyDescent="0.3">
      <c r="A1047" t="s">
        <v>1144</v>
      </c>
      <c r="B1047" t="s">
        <v>46</v>
      </c>
      <c r="C1047">
        <v>13</v>
      </c>
      <c r="D1047">
        <v>21.1</v>
      </c>
      <c r="E1047">
        <v>274.3</v>
      </c>
      <c r="F1047" s="1">
        <v>45698</v>
      </c>
      <c r="G1047" s="1">
        <v>45706</v>
      </c>
      <c r="H1047" t="s">
        <v>27</v>
      </c>
      <c r="I1047" t="s">
        <v>18</v>
      </c>
      <c r="J1047">
        <v>3</v>
      </c>
      <c r="K1047" t="s">
        <v>19</v>
      </c>
      <c r="L1047" t="s">
        <v>62</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x14ac:dyDescent="0.3">
      <c r="A1048" t="s">
        <v>1145</v>
      </c>
      <c r="B1048" t="s">
        <v>44</v>
      </c>
      <c r="C1048">
        <v>5</v>
      </c>
      <c r="D1048">
        <v>33.799999999999997</v>
      </c>
      <c r="E1048">
        <v>169</v>
      </c>
      <c r="F1048" s="1">
        <v>45698</v>
      </c>
      <c r="G1048" s="1">
        <v>45700</v>
      </c>
      <c r="H1048" t="s">
        <v>27</v>
      </c>
      <c r="I1048" t="s">
        <v>18</v>
      </c>
      <c r="J1048">
        <v>4</v>
      </c>
      <c r="K1048" t="s">
        <v>19</v>
      </c>
      <c r="L1048" t="s">
        <v>62</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x14ac:dyDescent="0.3">
      <c r="A1049" t="s">
        <v>1146</v>
      </c>
      <c r="B1049" t="s">
        <v>26</v>
      </c>
      <c r="C1049">
        <v>4</v>
      </c>
      <c r="D1049">
        <v>56.1</v>
      </c>
      <c r="E1049">
        <v>224.4</v>
      </c>
      <c r="F1049" s="1">
        <v>45698</v>
      </c>
      <c r="G1049" s="1">
        <v>45698</v>
      </c>
      <c r="H1049" t="s">
        <v>27</v>
      </c>
      <c r="I1049" t="s">
        <v>51</v>
      </c>
      <c r="J1049">
        <v>5</v>
      </c>
      <c r="K1049" t="s">
        <v>19</v>
      </c>
      <c r="L1049" t="s">
        <v>72</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x14ac:dyDescent="0.3">
      <c r="A1050" t="s">
        <v>1147</v>
      </c>
      <c r="B1050" t="s">
        <v>30</v>
      </c>
      <c r="C1050">
        <v>1</v>
      </c>
      <c r="D1050">
        <v>58.5</v>
      </c>
      <c r="E1050">
        <v>58.5</v>
      </c>
      <c r="F1050" s="1">
        <v>45699</v>
      </c>
      <c r="G1050" s="1">
        <v>45703</v>
      </c>
      <c r="H1050" t="s">
        <v>27</v>
      </c>
      <c r="I1050" t="s">
        <v>35</v>
      </c>
      <c r="J1050">
        <v>5</v>
      </c>
      <c r="K1050" t="s">
        <v>19</v>
      </c>
      <c r="L1050" t="s">
        <v>72</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x14ac:dyDescent="0.3">
      <c r="A1051" t="s">
        <v>1148</v>
      </c>
      <c r="B1051" t="s">
        <v>39</v>
      </c>
      <c r="C1051">
        <v>1</v>
      </c>
      <c r="D1051">
        <v>84.2</v>
      </c>
      <c r="E1051">
        <v>84.2</v>
      </c>
      <c r="F1051" s="1">
        <v>45699</v>
      </c>
      <c r="G1051" s="1">
        <v>45701</v>
      </c>
      <c r="H1051" t="s">
        <v>23</v>
      </c>
      <c r="I1051" t="s">
        <v>51</v>
      </c>
      <c r="J1051">
        <v>4</v>
      </c>
      <c r="K1051" t="s">
        <v>19</v>
      </c>
      <c r="L1051" t="s">
        <v>77</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x14ac:dyDescent="0.3">
      <c r="A1052" t="s">
        <v>1149</v>
      </c>
      <c r="B1052" t="s">
        <v>67</v>
      </c>
      <c r="C1052">
        <v>4</v>
      </c>
      <c r="D1052">
        <v>52</v>
      </c>
      <c r="E1052">
        <v>208</v>
      </c>
      <c r="F1052" s="1">
        <v>45699</v>
      </c>
      <c r="G1052" s="1">
        <v>45702</v>
      </c>
      <c r="H1052" t="s">
        <v>23</v>
      </c>
      <c r="I1052" t="s">
        <v>18</v>
      </c>
      <c r="J1052">
        <v>4</v>
      </c>
      <c r="K1052" t="s">
        <v>19</v>
      </c>
      <c r="L1052" t="s">
        <v>77</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x14ac:dyDescent="0.3">
      <c r="A1053" t="s">
        <v>1150</v>
      </c>
      <c r="B1053" t="s">
        <v>32</v>
      </c>
      <c r="C1053">
        <v>5</v>
      </c>
      <c r="D1053">
        <v>31.5</v>
      </c>
      <c r="E1053">
        <v>157.5</v>
      </c>
      <c r="F1053" s="1">
        <v>45699</v>
      </c>
      <c r="G1053" s="1">
        <v>45700</v>
      </c>
      <c r="H1053" t="s">
        <v>27</v>
      </c>
      <c r="I1053" t="s">
        <v>18</v>
      </c>
      <c r="J1053">
        <v>5</v>
      </c>
      <c r="K1053" t="s">
        <v>19</v>
      </c>
      <c r="L1053" t="s">
        <v>77</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x14ac:dyDescent="0.3">
      <c r="A1054" t="s">
        <v>1151</v>
      </c>
      <c r="B1054" t="s">
        <v>128</v>
      </c>
      <c r="C1054">
        <v>3</v>
      </c>
      <c r="D1054">
        <v>46.2</v>
      </c>
      <c r="E1054">
        <v>138.60000000000002</v>
      </c>
      <c r="F1054" s="1">
        <v>45699</v>
      </c>
      <c r="G1054" s="1">
        <v>45700</v>
      </c>
      <c r="H1054" t="s">
        <v>23</v>
      </c>
      <c r="I1054" t="s">
        <v>18</v>
      </c>
      <c r="J1054">
        <v>4</v>
      </c>
      <c r="K1054" t="s">
        <v>19</v>
      </c>
      <c r="L1054" t="s">
        <v>1116</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x14ac:dyDescent="0.3">
      <c r="A1055" t="s">
        <v>1152</v>
      </c>
      <c r="B1055" t="s">
        <v>26</v>
      </c>
      <c r="C1055">
        <v>6</v>
      </c>
      <c r="D1055">
        <v>135</v>
      </c>
      <c r="E1055">
        <v>810</v>
      </c>
      <c r="F1055" s="1">
        <v>45699</v>
      </c>
      <c r="G1055" s="1">
        <v>45700</v>
      </c>
      <c r="H1055" t="s">
        <v>27</v>
      </c>
      <c r="I1055" t="s">
        <v>35</v>
      </c>
      <c r="J1055">
        <v>5</v>
      </c>
      <c r="K1055" t="s">
        <v>19</v>
      </c>
      <c r="L1055" t="s">
        <v>108</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x14ac:dyDescent="0.3">
      <c r="A1056" t="s">
        <v>1153</v>
      </c>
      <c r="B1056" t="s">
        <v>69</v>
      </c>
      <c r="C1056">
        <v>3</v>
      </c>
      <c r="D1056">
        <v>92.2</v>
      </c>
      <c r="E1056">
        <v>276.60000000000002</v>
      </c>
      <c r="F1056" s="1">
        <v>45699</v>
      </c>
      <c r="G1056" s="1">
        <v>45703</v>
      </c>
      <c r="H1056" t="s">
        <v>23</v>
      </c>
      <c r="I1056" t="s">
        <v>18</v>
      </c>
      <c r="J1056">
        <v>4</v>
      </c>
      <c r="K1056" t="s">
        <v>19</v>
      </c>
      <c r="L1056" t="s">
        <v>115</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x14ac:dyDescent="0.3">
      <c r="A1057" t="s">
        <v>1154</v>
      </c>
      <c r="B1057" t="s">
        <v>44</v>
      </c>
      <c r="C1057">
        <v>1</v>
      </c>
      <c r="D1057">
        <v>36.6</v>
      </c>
      <c r="E1057">
        <v>36.6</v>
      </c>
      <c r="F1057" s="1">
        <v>45699</v>
      </c>
      <c r="G1057" s="1">
        <v>45701</v>
      </c>
      <c r="H1057" t="s">
        <v>23</v>
      </c>
      <c r="I1057" t="s">
        <v>40</v>
      </c>
      <c r="J1057">
        <v>5</v>
      </c>
      <c r="K1057" t="s">
        <v>19</v>
      </c>
      <c r="L1057" t="s">
        <v>115</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x14ac:dyDescent="0.3">
      <c r="A1058" t="s">
        <v>1155</v>
      </c>
      <c r="B1058" t="s">
        <v>46</v>
      </c>
      <c r="C1058">
        <v>2</v>
      </c>
      <c r="D1058">
        <v>50.6</v>
      </c>
      <c r="E1058">
        <v>101.2</v>
      </c>
      <c r="F1058" s="1">
        <v>45699</v>
      </c>
      <c r="G1058" s="1">
        <v>45702</v>
      </c>
      <c r="H1058" t="s">
        <v>27</v>
      </c>
      <c r="I1058" t="s">
        <v>18</v>
      </c>
      <c r="J1058">
        <v>4</v>
      </c>
      <c r="K1058" t="s">
        <v>19</v>
      </c>
      <c r="L1058" t="s">
        <v>28</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x14ac:dyDescent="0.3">
      <c r="A1059" t="s">
        <v>1156</v>
      </c>
      <c r="B1059" t="s">
        <v>146</v>
      </c>
      <c r="C1059">
        <v>7</v>
      </c>
      <c r="D1059">
        <v>56.7</v>
      </c>
      <c r="E1059">
        <v>396.90000000000003</v>
      </c>
      <c r="F1059" s="1">
        <v>45699</v>
      </c>
      <c r="G1059" s="1">
        <v>45702</v>
      </c>
      <c r="H1059" t="s">
        <v>27</v>
      </c>
      <c r="I1059" t="s">
        <v>18</v>
      </c>
      <c r="J1059">
        <v>4</v>
      </c>
      <c r="K1059" t="s">
        <v>19</v>
      </c>
      <c r="L1059" t="s">
        <v>28</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x14ac:dyDescent="0.3">
      <c r="A1060" t="s">
        <v>1157</v>
      </c>
      <c r="B1060" t="s">
        <v>46</v>
      </c>
      <c r="C1060">
        <v>13</v>
      </c>
      <c r="D1060">
        <v>22.9</v>
      </c>
      <c r="E1060">
        <v>297.7</v>
      </c>
      <c r="F1060" s="1">
        <v>45699</v>
      </c>
      <c r="G1060" s="1">
        <v>45700</v>
      </c>
      <c r="H1060" t="s">
        <v>27</v>
      </c>
      <c r="I1060" t="s">
        <v>18</v>
      </c>
      <c r="J1060">
        <v>3</v>
      </c>
      <c r="K1060" t="s">
        <v>19</v>
      </c>
      <c r="L1060" t="s">
        <v>587</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x14ac:dyDescent="0.3">
      <c r="A1061" t="s">
        <v>1158</v>
      </c>
      <c r="B1061" t="s">
        <v>123</v>
      </c>
      <c r="C1061">
        <v>19</v>
      </c>
      <c r="D1061">
        <v>53.6</v>
      </c>
      <c r="E1061">
        <v>1018.4</v>
      </c>
      <c r="F1061" s="1">
        <v>45699</v>
      </c>
      <c r="G1061" s="1">
        <v>45700</v>
      </c>
      <c r="H1061" t="s">
        <v>23</v>
      </c>
      <c r="I1061" t="s">
        <v>18</v>
      </c>
      <c r="J1061">
        <v>4</v>
      </c>
      <c r="K1061" t="s">
        <v>19</v>
      </c>
      <c r="L1061" t="s">
        <v>147</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x14ac:dyDescent="0.3">
      <c r="A1062" t="s">
        <v>1159</v>
      </c>
      <c r="B1062" t="s">
        <v>146</v>
      </c>
      <c r="C1062">
        <v>2</v>
      </c>
      <c r="D1062">
        <v>30.2</v>
      </c>
      <c r="E1062">
        <v>60.4</v>
      </c>
      <c r="F1062" s="1">
        <v>45699</v>
      </c>
      <c r="G1062" s="1">
        <v>45701</v>
      </c>
      <c r="H1062" t="s">
        <v>17</v>
      </c>
      <c r="I1062" t="s">
        <v>40</v>
      </c>
      <c r="J1062">
        <v>5</v>
      </c>
      <c r="K1062" t="s">
        <v>19</v>
      </c>
      <c r="L1062" t="s">
        <v>33</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x14ac:dyDescent="0.3">
      <c r="A1063" t="s">
        <v>1160</v>
      </c>
      <c r="B1063" t="s">
        <v>123</v>
      </c>
      <c r="C1063">
        <v>6</v>
      </c>
      <c r="D1063">
        <v>83.4</v>
      </c>
      <c r="E1063">
        <v>500.40000000000003</v>
      </c>
      <c r="F1063" s="1">
        <v>45699</v>
      </c>
      <c r="G1063" s="1">
        <v>45700</v>
      </c>
      <c r="H1063" t="s">
        <v>23</v>
      </c>
      <c r="I1063" t="s">
        <v>35</v>
      </c>
      <c r="J1063">
        <v>5</v>
      </c>
      <c r="K1063" t="s">
        <v>19</v>
      </c>
      <c r="L1063" t="s">
        <v>33</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x14ac:dyDescent="0.3">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x14ac:dyDescent="0.3">
      <c r="A1065" t="s">
        <v>1162</v>
      </c>
      <c r="B1065" t="s">
        <v>44</v>
      </c>
      <c r="C1065">
        <v>17</v>
      </c>
      <c r="D1065">
        <v>21.9</v>
      </c>
      <c r="E1065">
        <v>372.29999999999995</v>
      </c>
      <c r="F1065" s="1">
        <v>45699</v>
      </c>
      <c r="G1065" s="1">
        <v>45701</v>
      </c>
      <c r="H1065" t="s">
        <v>27</v>
      </c>
      <c r="I1065" t="s">
        <v>70</v>
      </c>
      <c r="J1065">
        <v>3</v>
      </c>
      <c r="K1065" t="s">
        <v>19</v>
      </c>
      <c r="L1065" t="s">
        <v>33</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x14ac:dyDescent="0.3">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x14ac:dyDescent="0.3">
      <c r="A1067" t="s">
        <v>1164</v>
      </c>
      <c r="B1067" t="s">
        <v>146</v>
      </c>
      <c r="C1067">
        <v>2</v>
      </c>
      <c r="D1067">
        <v>53.2</v>
      </c>
      <c r="E1067">
        <v>106.4</v>
      </c>
      <c r="F1067" s="1">
        <v>45699</v>
      </c>
      <c r="G1067" s="1">
        <v>45699</v>
      </c>
      <c r="H1067" t="s">
        <v>23</v>
      </c>
      <c r="I1067" t="s">
        <v>35</v>
      </c>
      <c r="J1067">
        <v>4</v>
      </c>
      <c r="K1067" t="s">
        <v>19</v>
      </c>
      <c r="L1067" t="s">
        <v>33</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x14ac:dyDescent="0.3">
      <c r="A1068" t="s">
        <v>1165</v>
      </c>
      <c r="B1068" t="s">
        <v>26</v>
      </c>
      <c r="C1068">
        <v>2</v>
      </c>
      <c r="D1068">
        <v>176.7</v>
      </c>
      <c r="E1068">
        <v>353.4</v>
      </c>
      <c r="F1068" s="1">
        <v>45699</v>
      </c>
      <c r="G1068" s="1">
        <v>45702</v>
      </c>
      <c r="H1068" t="s">
        <v>27</v>
      </c>
      <c r="I1068" t="s">
        <v>40</v>
      </c>
      <c r="J1068">
        <v>4</v>
      </c>
      <c r="K1068" t="s">
        <v>19</v>
      </c>
      <c r="L1068" t="s">
        <v>33</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x14ac:dyDescent="0.3">
      <c r="A1069" t="s">
        <v>1166</v>
      </c>
      <c r="B1069" t="s">
        <v>69</v>
      </c>
      <c r="C1069">
        <v>3</v>
      </c>
      <c r="D1069">
        <v>54</v>
      </c>
      <c r="E1069">
        <v>162</v>
      </c>
      <c r="F1069" s="1">
        <v>45699</v>
      </c>
      <c r="G1069" s="1">
        <v>45702</v>
      </c>
      <c r="H1069" t="s">
        <v>23</v>
      </c>
      <c r="I1069" t="s">
        <v>18</v>
      </c>
      <c r="J1069">
        <v>3</v>
      </c>
      <c r="K1069" t="s">
        <v>19</v>
      </c>
      <c r="L1069" t="s">
        <v>33</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x14ac:dyDescent="0.3">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x14ac:dyDescent="0.3">
      <c r="A1071" t="s">
        <v>1168</v>
      </c>
      <c r="B1071" t="s">
        <v>44</v>
      </c>
      <c r="C1071">
        <v>1</v>
      </c>
      <c r="D1071">
        <v>26.5</v>
      </c>
      <c r="E1071">
        <v>26.5</v>
      </c>
      <c r="F1071" s="1">
        <v>45699</v>
      </c>
      <c r="G1071" s="1">
        <v>45701</v>
      </c>
      <c r="H1071" t="s">
        <v>27</v>
      </c>
      <c r="I1071" t="s">
        <v>35</v>
      </c>
      <c r="J1071">
        <v>4</v>
      </c>
      <c r="K1071" t="s">
        <v>19</v>
      </c>
      <c r="L1071" t="s">
        <v>33</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x14ac:dyDescent="0.3">
      <c r="A1072" t="s">
        <v>1169</v>
      </c>
      <c r="B1072" t="s">
        <v>42</v>
      </c>
      <c r="C1072">
        <v>5</v>
      </c>
      <c r="D1072">
        <v>89</v>
      </c>
      <c r="E1072">
        <v>445</v>
      </c>
      <c r="F1072" s="1">
        <v>45699</v>
      </c>
      <c r="G1072" s="1">
        <v>45701</v>
      </c>
      <c r="H1072" t="s">
        <v>23</v>
      </c>
      <c r="I1072" t="s">
        <v>40</v>
      </c>
      <c r="J1072">
        <v>2</v>
      </c>
      <c r="K1072" t="s">
        <v>19</v>
      </c>
      <c r="L1072" t="s">
        <v>33</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x14ac:dyDescent="0.3">
      <c r="A1073" t="s">
        <v>1170</v>
      </c>
      <c r="B1073" t="s">
        <v>22</v>
      </c>
      <c r="C1073">
        <v>6</v>
      </c>
      <c r="D1073">
        <v>47</v>
      </c>
      <c r="E1073">
        <v>282</v>
      </c>
      <c r="F1073" s="1">
        <v>45699</v>
      </c>
      <c r="G1073" s="1">
        <v>45702</v>
      </c>
      <c r="H1073" t="s">
        <v>27</v>
      </c>
      <c r="I1073" t="s">
        <v>51</v>
      </c>
      <c r="J1073">
        <v>4</v>
      </c>
      <c r="K1073" t="s">
        <v>19</v>
      </c>
      <c r="L1073" t="s">
        <v>186</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x14ac:dyDescent="0.3">
      <c r="A1074" t="s">
        <v>1171</v>
      </c>
      <c r="B1074" t="s">
        <v>30</v>
      </c>
      <c r="C1074">
        <v>2</v>
      </c>
      <c r="D1074">
        <v>55.2</v>
      </c>
      <c r="E1074">
        <v>110.4</v>
      </c>
      <c r="F1074" s="1">
        <v>45699</v>
      </c>
      <c r="G1074" s="1">
        <v>45702</v>
      </c>
      <c r="H1074" t="s">
        <v>23</v>
      </c>
      <c r="I1074" t="s">
        <v>35</v>
      </c>
      <c r="J1074">
        <v>3</v>
      </c>
      <c r="K1074" t="s">
        <v>19</v>
      </c>
      <c r="L1074" t="s">
        <v>55</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x14ac:dyDescent="0.3">
      <c r="A1075" t="s">
        <v>1172</v>
      </c>
      <c r="B1075" t="s">
        <v>44</v>
      </c>
      <c r="C1075">
        <v>42</v>
      </c>
      <c r="D1075">
        <v>33.299999999999997</v>
      </c>
      <c r="E1075">
        <v>1398.6</v>
      </c>
      <c r="F1075" s="1">
        <v>45699</v>
      </c>
      <c r="G1075" s="1">
        <v>45713</v>
      </c>
      <c r="H1075" t="s">
        <v>23</v>
      </c>
      <c r="I1075" t="s">
        <v>35</v>
      </c>
      <c r="J1075">
        <v>5</v>
      </c>
      <c r="K1075" t="s">
        <v>19</v>
      </c>
      <c r="L1075" t="s">
        <v>55</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x14ac:dyDescent="0.3">
      <c r="A1076" t="s">
        <v>1173</v>
      </c>
      <c r="B1076" t="s">
        <v>26</v>
      </c>
      <c r="C1076">
        <v>4</v>
      </c>
      <c r="D1076">
        <v>110.9</v>
      </c>
      <c r="E1076">
        <v>443.6</v>
      </c>
      <c r="F1076" s="1">
        <v>45700</v>
      </c>
      <c r="G1076" s="1">
        <v>45700</v>
      </c>
      <c r="H1076" t="s">
        <v>23</v>
      </c>
      <c r="I1076" t="s">
        <v>40</v>
      </c>
      <c r="J1076">
        <v>2</v>
      </c>
      <c r="K1076" t="s">
        <v>19</v>
      </c>
      <c r="L1076" t="s">
        <v>55</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x14ac:dyDescent="0.3">
      <c r="A1077" t="s">
        <v>1174</v>
      </c>
      <c r="B1077" t="s">
        <v>26</v>
      </c>
      <c r="C1077">
        <v>6</v>
      </c>
      <c r="D1077">
        <v>67.3</v>
      </c>
      <c r="E1077">
        <v>403.79999999999995</v>
      </c>
      <c r="F1077" s="1">
        <v>45700</v>
      </c>
      <c r="G1077" s="1">
        <v>45701</v>
      </c>
      <c r="H1077" t="s">
        <v>23</v>
      </c>
      <c r="I1077" t="s">
        <v>18</v>
      </c>
      <c r="J1077">
        <v>4</v>
      </c>
      <c r="K1077" t="s">
        <v>19</v>
      </c>
      <c r="L1077" t="s">
        <v>62</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x14ac:dyDescent="0.3">
      <c r="A1078" t="s">
        <v>1175</v>
      </c>
      <c r="B1078" t="s">
        <v>39</v>
      </c>
      <c r="C1078">
        <v>3</v>
      </c>
      <c r="D1078">
        <v>69.7</v>
      </c>
      <c r="E1078">
        <v>209.10000000000002</v>
      </c>
      <c r="F1078" s="1">
        <v>45700</v>
      </c>
      <c r="G1078" s="1">
        <v>45701</v>
      </c>
      <c r="H1078" t="s">
        <v>23</v>
      </c>
      <c r="I1078" t="s">
        <v>40</v>
      </c>
      <c r="J1078">
        <v>3</v>
      </c>
      <c r="K1078" t="s">
        <v>19</v>
      </c>
      <c r="L1078" t="s">
        <v>62</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x14ac:dyDescent="0.3">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x14ac:dyDescent="0.3">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x14ac:dyDescent="0.3">
      <c r="A1081" t="s">
        <v>1178</v>
      </c>
      <c r="B1081" t="s">
        <v>123</v>
      </c>
      <c r="C1081">
        <v>3</v>
      </c>
      <c r="D1081">
        <v>27.8</v>
      </c>
      <c r="E1081">
        <v>83.4</v>
      </c>
      <c r="F1081" s="1">
        <v>45700</v>
      </c>
      <c r="G1081" s="1">
        <v>45701</v>
      </c>
      <c r="H1081" t="s">
        <v>23</v>
      </c>
      <c r="I1081" t="s">
        <v>51</v>
      </c>
      <c r="J1081">
        <v>3</v>
      </c>
      <c r="K1081" t="s">
        <v>19</v>
      </c>
      <c r="L1081" t="s">
        <v>77</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x14ac:dyDescent="0.3">
      <c r="A1082" t="s">
        <v>1179</v>
      </c>
      <c r="B1082" t="s">
        <v>54</v>
      </c>
      <c r="C1082">
        <v>5</v>
      </c>
      <c r="D1082">
        <v>29.4</v>
      </c>
      <c r="E1082">
        <v>147</v>
      </c>
      <c r="F1082" s="1">
        <v>45700</v>
      </c>
      <c r="G1082" s="1">
        <v>45702</v>
      </c>
      <c r="H1082" t="s">
        <v>27</v>
      </c>
      <c r="I1082" t="s">
        <v>18</v>
      </c>
      <c r="J1082">
        <v>4</v>
      </c>
      <c r="K1082" t="s">
        <v>19</v>
      </c>
      <c r="L1082" t="s">
        <v>77</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x14ac:dyDescent="0.3">
      <c r="A1083" t="s">
        <v>1180</v>
      </c>
      <c r="B1083" t="s">
        <v>46</v>
      </c>
      <c r="C1083">
        <v>2</v>
      </c>
      <c r="D1083">
        <v>29.2</v>
      </c>
      <c r="E1083">
        <v>58.4</v>
      </c>
      <c r="F1083" s="1">
        <v>45700</v>
      </c>
      <c r="G1083" s="1">
        <v>45702</v>
      </c>
      <c r="H1083" t="s">
        <v>27</v>
      </c>
      <c r="I1083" t="s">
        <v>35</v>
      </c>
      <c r="J1083">
        <v>5</v>
      </c>
      <c r="K1083" t="s">
        <v>19</v>
      </c>
      <c r="L1083" t="s">
        <v>113</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x14ac:dyDescent="0.3">
      <c r="A1084" t="s">
        <v>1181</v>
      </c>
      <c r="B1084" t="s">
        <v>54</v>
      </c>
      <c r="C1084">
        <v>5</v>
      </c>
      <c r="D1084">
        <v>26.5</v>
      </c>
      <c r="E1084">
        <v>132.5</v>
      </c>
      <c r="F1084" s="1">
        <v>45700</v>
      </c>
      <c r="G1084" s="1">
        <v>45702</v>
      </c>
      <c r="H1084" t="s">
        <v>27</v>
      </c>
      <c r="I1084" t="s">
        <v>18</v>
      </c>
      <c r="J1084">
        <v>4</v>
      </c>
      <c r="K1084" t="s">
        <v>19</v>
      </c>
      <c r="L1084" t="s">
        <v>997</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x14ac:dyDescent="0.3">
      <c r="A1085" t="s">
        <v>1182</v>
      </c>
      <c r="B1085" t="s">
        <v>37</v>
      </c>
      <c r="C1085">
        <v>1</v>
      </c>
      <c r="D1085">
        <v>30.3</v>
      </c>
      <c r="E1085">
        <v>30.3</v>
      </c>
      <c r="F1085" s="1">
        <v>45700</v>
      </c>
      <c r="G1085" s="1">
        <v>45701</v>
      </c>
      <c r="H1085" t="s">
        <v>27</v>
      </c>
      <c r="I1085" t="s">
        <v>70</v>
      </c>
      <c r="J1085">
        <v>3</v>
      </c>
      <c r="K1085" t="s">
        <v>19</v>
      </c>
      <c r="L1085" t="s">
        <v>82</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x14ac:dyDescent="0.3">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x14ac:dyDescent="0.3">
      <c r="A1087" t="s">
        <v>1184</v>
      </c>
      <c r="B1087" t="s">
        <v>42</v>
      </c>
      <c r="C1087">
        <v>10</v>
      </c>
      <c r="D1087">
        <v>58.9</v>
      </c>
      <c r="E1087">
        <v>589</v>
      </c>
      <c r="F1087" s="1">
        <v>45700</v>
      </c>
      <c r="G1087" s="1">
        <v>45702</v>
      </c>
      <c r="H1087" t="s">
        <v>27</v>
      </c>
      <c r="I1087" t="s">
        <v>35</v>
      </c>
      <c r="J1087">
        <v>2</v>
      </c>
      <c r="K1087" t="s">
        <v>19</v>
      </c>
      <c r="L1087" t="s">
        <v>115</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x14ac:dyDescent="0.3">
      <c r="A1088" t="s">
        <v>1185</v>
      </c>
      <c r="B1088" t="s">
        <v>26</v>
      </c>
      <c r="C1088">
        <v>2</v>
      </c>
      <c r="D1088">
        <v>174.1</v>
      </c>
      <c r="E1088">
        <v>348.2</v>
      </c>
      <c r="F1088" s="1">
        <v>45700</v>
      </c>
      <c r="G1088" s="1">
        <v>45702</v>
      </c>
      <c r="H1088" t="s">
        <v>27</v>
      </c>
      <c r="I1088" t="s">
        <v>18</v>
      </c>
      <c r="J1088">
        <v>3</v>
      </c>
      <c r="K1088" t="s">
        <v>19</v>
      </c>
      <c r="L1088" t="s">
        <v>641</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x14ac:dyDescent="0.3">
      <c r="A1089" t="s">
        <v>1186</v>
      </c>
      <c r="B1089" t="s">
        <v>39</v>
      </c>
      <c r="C1089">
        <v>2</v>
      </c>
      <c r="D1089">
        <v>70.8</v>
      </c>
      <c r="E1089">
        <v>141.6</v>
      </c>
      <c r="F1089" s="1">
        <v>45700</v>
      </c>
      <c r="G1089" s="1">
        <v>45703</v>
      </c>
      <c r="H1089" t="s">
        <v>23</v>
      </c>
      <c r="I1089" t="s">
        <v>40</v>
      </c>
      <c r="J1089">
        <v>4</v>
      </c>
      <c r="K1089" t="s">
        <v>19</v>
      </c>
      <c r="L1089" t="s">
        <v>147</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x14ac:dyDescent="0.3">
      <c r="A1090" t="s">
        <v>1187</v>
      </c>
      <c r="B1090" t="s">
        <v>42</v>
      </c>
      <c r="C1090">
        <v>2</v>
      </c>
      <c r="D1090">
        <v>57.4</v>
      </c>
      <c r="E1090">
        <v>114.8</v>
      </c>
      <c r="F1090" s="1">
        <v>45700</v>
      </c>
      <c r="G1090" s="1">
        <v>45702</v>
      </c>
      <c r="H1090" t="s">
        <v>27</v>
      </c>
      <c r="I1090" t="s">
        <v>35</v>
      </c>
      <c r="J1090">
        <v>3</v>
      </c>
      <c r="K1090" t="s">
        <v>19</v>
      </c>
      <c r="L1090" t="s">
        <v>334</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x14ac:dyDescent="0.3">
      <c r="A1091" t="s">
        <v>1188</v>
      </c>
      <c r="B1091" t="s">
        <v>16</v>
      </c>
      <c r="C1091">
        <v>2</v>
      </c>
      <c r="D1091">
        <v>28.5</v>
      </c>
      <c r="E1091">
        <v>57</v>
      </c>
      <c r="F1091" s="1">
        <v>45700</v>
      </c>
      <c r="G1091" s="1">
        <v>45702</v>
      </c>
      <c r="H1091" t="s">
        <v>23</v>
      </c>
      <c r="I1091" t="s">
        <v>51</v>
      </c>
      <c r="J1091">
        <v>3</v>
      </c>
      <c r="K1091" t="s">
        <v>19</v>
      </c>
      <c r="L1091" t="s">
        <v>33</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x14ac:dyDescent="0.3">
      <c r="A1092" t="s">
        <v>1189</v>
      </c>
      <c r="B1092" t="s">
        <v>26</v>
      </c>
      <c r="C1092">
        <v>20</v>
      </c>
      <c r="D1092">
        <v>106.6</v>
      </c>
      <c r="E1092">
        <v>2132</v>
      </c>
      <c r="F1092" s="1">
        <v>45700</v>
      </c>
      <c r="G1092" s="1">
        <v>45701</v>
      </c>
      <c r="H1092" t="s">
        <v>17</v>
      </c>
      <c r="I1092" t="s">
        <v>35</v>
      </c>
      <c r="J1092">
        <v>2</v>
      </c>
      <c r="K1092" t="s">
        <v>19</v>
      </c>
      <c r="L1092" t="s">
        <v>33</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x14ac:dyDescent="0.3">
      <c r="A1093" t="s">
        <v>1190</v>
      </c>
      <c r="B1093" t="s">
        <v>26</v>
      </c>
      <c r="C1093">
        <v>3</v>
      </c>
      <c r="D1093">
        <v>119.7</v>
      </c>
      <c r="E1093">
        <v>359.1</v>
      </c>
      <c r="F1093" s="1">
        <v>45700</v>
      </c>
      <c r="G1093" s="1">
        <v>45701</v>
      </c>
      <c r="H1093" t="s">
        <v>27</v>
      </c>
      <c r="I1093" t="s">
        <v>35</v>
      </c>
      <c r="J1093">
        <v>2</v>
      </c>
      <c r="K1093" t="s">
        <v>19</v>
      </c>
      <c r="L1093" t="s">
        <v>33</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x14ac:dyDescent="0.3">
      <c r="A1094" t="s">
        <v>1191</v>
      </c>
      <c r="B1094" t="s">
        <v>146</v>
      </c>
      <c r="C1094">
        <v>1</v>
      </c>
      <c r="D1094">
        <v>73.3</v>
      </c>
      <c r="E1094">
        <v>73.3</v>
      </c>
      <c r="F1094" s="1">
        <v>45700</v>
      </c>
      <c r="G1094" s="1">
        <v>45705</v>
      </c>
      <c r="H1094" t="s">
        <v>27</v>
      </c>
      <c r="I1094" t="s">
        <v>18</v>
      </c>
      <c r="J1094">
        <v>5</v>
      </c>
      <c r="K1094" t="s">
        <v>19</v>
      </c>
      <c r="L1094" t="s">
        <v>33</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x14ac:dyDescent="0.3">
      <c r="A1095" t="s">
        <v>1192</v>
      </c>
      <c r="B1095" t="s">
        <v>16</v>
      </c>
      <c r="C1095">
        <v>2</v>
      </c>
      <c r="D1095">
        <v>25.8</v>
      </c>
      <c r="E1095">
        <v>51.6</v>
      </c>
      <c r="F1095" s="1">
        <v>45700</v>
      </c>
      <c r="G1095" s="1">
        <v>45714</v>
      </c>
      <c r="H1095" t="s">
        <v>23</v>
      </c>
      <c r="I1095" t="s">
        <v>40</v>
      </c>
      <c r="J1095">
        <v>4</v>
      </c>
      <c r="K1095" t="s">
        <v>19</v>
      </c>
      <c r="L1095" t="s">
        <v>33</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x14ac:dyDescent="0.3">
      <c r="A1096" t="s">
        <v>1193</v>
      </c>
      <c r="B1096" t="s">
        <v>135</v>
      </c>
      <c r="C1096">
        <v>3</v>
      </c>
      <c r="D1096">
        <v>49.1</v>
      </c>
      <c r="E1096">
        <v>147.30000000000001</v>
      </c>
      <c r="F1096" s="1">
        <v>45700</v>
      </c>
      <c r="G1096" s="1">
        <v>45702</v>
      </c>
      <c r="H1096" t="s">
        <v>27</v>
      </c>
      <c r="I1096" t="s">
        <v>18</v>
      </c>
      <c r="J1096">
        <v>4</v>
      </c>
      <c r="K1096" t="s">
        <v>19</v>
      </c>
      <c r="L1096" t="s">
        <v>186</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x14ac:dyDescent="0.3">
      <c r="A1097" t="s">
        <v>1194</v>
      </c>
      <c r="B1097" t="s">
        <v>22</v>
      </c>
      <c r="C1097">
        <v>1</v>
      </c>
      <c r="D1097">
        <v>44.9</v>
      </c>
      <c r="E1097">
        <v>44.9</v>
      </c>
      <c r="F1097" s="1">
        <v>45700</v>
      </c>
      <c r="G1097" s="1">
        <v>45703</v>
      </c>
      <c r="H1097" t="s">
        <v>27</v>
      </c>
      <c r="I1097" t="s">
        <v>51</v>
      </c>
      <c r="J1097">
        <v>5</v>
      </c>
      <c r="K1097" t="s">
        <v>19</v>
      </c>
      <c r="L1097" t="s">
        <v>55</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x14ac:dyDescent="0.3">
      <c r="A1098" t="s">
        <v>1195</v>
      </c>
      <c r="B1098" t="s">
        <v>123</v>
      </c>
      <c r="C1098">
        <v>7</v>
      </c>
      <c r="D1098">
        <v>29.9</v>
      </c>
      <c r="E1098">
        <v>209.29999999999998</v>
      </c>
      <c r="F1098" s="1">
        <v>45700</v>
      </c>
      <c r="G1098" s="1">
        <v>45701</v>
      </c>
      <c r="H1098" t="s">
        <v>27</v>
      </c>
      <c r="I1098" t="s">
        <v>18</v>
      </c>
      <c r="J1098">
        <v>4</v>
      </c>
      <c r="K1098" t="s">
        <v>19</v>
      </c>
      <c r="L1098" t="s">
        <v>55</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x14ac:dyDescent="0.3">
      <c r="A1099" t="s">
        <v>1196</v>
      </c>
      <c r="B1099" t="s">
        <v>42</v>
      </c>
      <c r="C1099">
        <v>2</v>
      </c>
      <c r="D1099">
        <v>54.3</v>
      </c>
      <c r="E1099">
        <v>108.6</v>
      </c>
      <c r="F1099" s="1">
        <v>45701</v>
      </c>
      <c r="G1099" s="1">
        <v>45702</v>
      </c>
      <c r="H1099" t="s">
        <v>23</v>
      </c>
      <c r="I1099" t="s">
        <v>51</v>
      </c>
      <c r="J1099">
        <v>4</v>
      </c>
      <c r="K1099" t="s">
        <v>19</v>
      </c>
      <c r="L1099" t="s">
        <v>342</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x14ac:dyDescent="0.3">
      <c r="A1100" t="s">
        <v>1197</v>
      </c>
      <c r="B1100" t="s">
        <v>46</v>
      </c>
      <c r="C1100">
        <v>4</v>
      </c>
      <c r="D1100">
        <v>57</v>
      </c>
      <c r="E1100">
        <v>228</v>
      </c>
      <c r="F1100" s="1">
        <v>45701</v>
      </c>
      <c r="G1100" s="1">
        <v>45703</v>
      </c>
      <c r="H1100" t="s">
        <v>27</v>
      </c>
      <c r="I1100" t="s">
        <v>18</v>
      </c>
      <c r="J1100">
        <v>4</v>
      </c>
      <c r="K1100" t="s">
        <v>19</v>
      </c>
      <c r="L1100" t="s">
        <v>62</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x14ac:dyDescent="0.3">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x14ac:dyDescent="0.3">
      <c r="A1102" t="s">
        <v>1199</v>
      </c>
      <c r="B1102" t="s">
        <v>54</v>
      </c>
      <c r="C1102">
        <v>1</v>
      </c>
      <c r="D1102">
        <v>33</v>
      </c>
      <c r="E1102">
        <v>33</v>
      </c>
      <c r="F1102" s="1">
        <v>45701</v>
      </c>
      <c r="G1102" s="1">
        <v>45704</v>
      </c>
      <c r="H1102" t="s">
        <v>27</v>
      </c>
      <c r="I1102" t="s">
        <v>18</v>
      </c>
      <c r="J1102">
        <v>5</v>
      </c>
      <c r="K1102" t="s">
        <v>19</v>
      </c>
      <c r="L1102" t="s">
        <v>62</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x14ac:dyDescent="0.3">
      <c r="A1103" t="s">
        <v>1200</v>
      </c>
      <c r="B1103" t="s">
        <v>67</v>
      </c>
      <c r="C1103">
        <v>6</v>
      </c>
      <c r="D1103">
        <v>80.2</v>
      </c>
      <c r="E1103">
        <v>481.20000000000005</v>
      </c>
      <c r="F1103" s="1">
        <v>45701</v>
      </c>
      <c r="G1103" s="1">
        <v>45703</v>
      </c>
      <c r="H1103" t="s">
        <v>23</v>
      </c>
      <c r="I1103" t="s">
        <v>35</v>
      </c>
      <c r="J1103">
        <v>2</v>
      </c>
      <c r="K1103" t="s">
        <v>19</v>
      </c>
      <c r="L1103" t="s">
        <v>62</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x14ac:dyDescent="0.3">
      <c r="A1104" t="s">
        <v>1201</v>
      </c>
      <c r="B1104" t="s">
        <v>146</v>
      </c>
      <c r="C1104">
        <v>8</v>
      </c>
      <c r="D1104">
        <v>49</v>
      </c>
      <c r="E1104">
        <v>392</v>
      </c>
      <c r="F1104" s="1">
        <v>45701</v>
      </c>
      <c r="G1104" s="1">
        <v>45702</v>
      </c>
      <c r="H1104" t="s">
        <v>17</v>
      </c>
      <c r="I1104" t="s">
        <v>40</v>
      </c>
      <c r="J1104">
        <v>3</v>
      </c>
      <c r="K1104" t="s">
        <v>19</v>
      </c>
      <c r="L1104" t="s">
        <v>72</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x14ac:dyDescent="0.3">
      <c r="A1105" t="s">
        <v>1202</v>
      </c>
      <c r="B1105" t="s">
        <v>22</v>
      </c>
      <c r="C1105">
        <v>4</v>
      </c>
      <c r="D1105">
        <v>104.4</v>
      </c>
      <c r="E1105">
        <v>417.6</v>
      </c>
      <c r="F1105" s="1">
        <v>45701</v>
      </c>
      <c r="G1105" s="1">
        <v>45701</v>
      </c>
      <c r="H1105" t="s">
        <v>27</v>
      </c>
      <c r="I1105" t="s">
        <v>18</v>
      </c>
      <c r="J1105">
        <v>4</v>
      </c>
      <c r="K1105" t="s">
        <v>19</v>
      </c>
      <c r="L1105" t="s">
        <v>72</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x14ac:dyDescent="0.3">
      <c r="A1106" t="s">
        <v>1203</v>
      </c>
      <c r="B1106" t="s">
        <v>30</v>
      </c>
      <c r="C1106">
        <v>1</v>
      </c>
      <c r="D1106">
        <v>41.6</v>
      </c>
      <c r="E1106">
        <v>41.6</v>
      </c>
      <c r="F1106" s="1">
        <v>45701</v>
      </c>
      <c r="G1106" s="1">
        <v>45704</v>
      </c>
      <c r="H1106" t="s">
        <v>23</v>
      </c>
      <c r="I1106" t="s">
        <v>51</v>
      </c>
      <c r="J1106">
        <v>4</v>
      </c>
      <c r="K1106" t="s">
        <v>19</v>
      </c>
      <c r="L1106" t="s">
        <v>77</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x14ac:dyDescent="0.3">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x14ac:dyDescent="0.3">
      <c r="A1108" t="s">
        <v>1205</v>
      </c>
      <c r="B1108" t="s">
        <v>44</v>
      </c>
      <c r="C1108">
        <v>2</v>
      </c>
      <c r="D1108">
        <v>22</v>
      </c>
      <c r="E1108">
        <v>44</v>
      </c>
      <c r="F1108" s="1">
        <v>45701</v>
      </c>
      <c r="G1108" s="1">
        <v>45702</v>
      </c>
      <c r="H1108" t="s">
        <v>23</v>
      </c>
      <c r="I1108" t="s">
        <v>40</v>
      </c>
      <c r="J1108">
        <v>5</v>
      </c>
      <c r="K1108" t="s">
        <v>19</v>
      </c>
      <c r="L1108" t="s">
        <v>1116</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x14ac:dyDescent="0.3">
      <c r="A1109" t="s">
        <v>1206</v>
      </c>
      <c r="B1109" t="s">
        <v>123</v>
      </c>
      <c r="C1109">
        <v>2</v>
      </c>
      <c r="D1109">
        <v>33.6</v>
      </c>
      <c r="E1109">
        <v>67.2</v>
      </c>
      <c r="F1109" s="1">
        <v>45701</v>
      </c>
      <c r="G1109" s="1">
        <v>45706</v>
      </c>
      <c r="H1109" t="s">
        <v>27</v>
      </c>
      <c r="I1109" t="s">
        <v>18</v>
      </c>
      <c r="J1109">
        <v>4</v>
      </c>
      <c r="K1109" t="s">
        <v>19</v>
      </c>
      <c r="L1109" t="s">
        <v>115</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x14ac:dyDescent="0.3">
      <c r="A1110" t="s">
        <v>1207</v>
      </c>
      <c r="B1110" t="s">
        <v>67</v>
      </c>
      <c r="C1110">
        <v>6</v>
      </c>
      <c r="D1110">
        <v>43</v>
      </c>
      <c r="E1110">
        <v>258</v>
      </c>
      <c r="F1110" s="1">
        <v>45701</v>
      </c>
      <c r="G1110" s="1">
        <v>45702</v>
      </c>
      <c r="H1110" t="s">
        <v>27</v>
      </c>
      <c r="I1110" t="s">
        <v>40</v>
      </c>
      <c r="J1110">
        <v>4</v>
      </c>
      <c r="K1110" t="s">
        <v>19</v>
      </c>
      <c r="L1110" t="s">
        <v>115</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x14ac:dyDescent="0.3">
      <c r="A1111" t="s">
        <v>1208</v>
      </c>
      <c r="B1111" t="s">
        <v>39</v>
      </c>
      <c r="C1111">
        <v>5</v>
      </c>
      <c r="D1111">
        <v>108.8</v>
      </c>
      <c r="E1111">
        <v>544</v>
      </c>
      <c r="F1111" s="1">
        <v>45701</v>
      </c>
      <c r="G1111" s="1">
        <v>45704</v>
      </c>
      <c r="H1111" t="s">
        <v>27</v>
      </c>
      <c r="I1111" t="s">
        <v>70</v>
      </c>
      <c r="J1111">
        <v>5</v>
      </c>
      <c r="K1111" t="s">
        <v>19</v>
      </c>
      <c r="L1111" t="s">
        <v>115</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x14ac:dyDescent="0.3">
      <c r="A1112" t="s">
        <v>1209</v>
      </c>
      <c r="B1112" t="s">
        <v>16</v>
      </c>
      <c r="C1112">
        <v>9</v>
      </c>
      <c r="D1112">
        <v>29.3</v>
      </c>
      <c r="E1112">
        <v>263.7</v>
      </c>
      <c r="F1112" s="1">
        <v>45701</v>
      </c>
      <c r="G1112" s="1">
        <v>45703</v>
      </c>
      <c r="H1112" t="s">
        <v>23</v>
      </c>
      <c r="I1112" t="s">
        <v>70</v>
      </c>
      <c r="J1112">
        <v>5</v>
      </c>
      <c r="K1112" t="s">
        <v>19</v>
      </c>
      <c r="L1112" t="s">
        <v>115</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x14ac:dyDescent="0.3">
      <c r="A1113" t="s">
        <v>1210</v>
      </c>
      <c r="B1113" t="s">
        <v>26</v>
      </c>
      <c r="C1113">
        <v>1</v>
      </c>
      <c r="D1113">
        <v>122.7</v>
      </c>
      <c r="E1113">
        <v>122.7</v>
      </c>
      <c r="F1113" s="1">
        <v>45701</v>
      </c>
      <c r="G1113" s="1">
        <v>45704</v>
      </c>
      <c r="H1113" t="s">
        <v>89</v>
      </c>
      <c r="I1113" t="s">
        <v>18</v>
      </c>
      <c r="J1113">
        <v>5</v>
      </c>
      <c r="K1113" t="s">
        <v>19</v>
      </c>
      <c r="L1113" t="s">
        <v>24</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x14ac:dyDescent="0.3">
      <c r="A1114" t="s">
        <v>1211</v>
      </c>
      <c r="B1114" t="s">
        <v>32</v>
      </c>
      <c r="C1114">
        <v>7</v>
      </c>
      <c r="D1114">
        <v>22.9</v>
      </c>
      <c r="E1114">
        <v>160.29999999999998</v>
      </c>
      <c r="F1114" s="1">
        <v>45701</v>
      </c>
      <c r="G1114" s="1">
        <v>45702</v>
      </c>
      <c r="H1114" t="s">
        <v>27</v>
      </c>
      <c r="I1114" t="s">
        <v>18</v>
      </c>
      <c r="J1114">
        <v>4</v>
      </c>
      <c r="K1114" t="s">
        <v>19</v>
      </c>
      <c r="L1114" t="s">
        <v>437</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x14ac:dyDescent="0.3">
      <c r="A1115" t="s">
        <v>1212</v>
      </c>
      <c r="B1115" t="s">
        <v>44</v>
      </c>
      <c r="C1115">
        <v>10</v>
      </c>
      <c r="D1115">
        <v>25.5</v>
      </c>
      <c r="E1115">
        <v>255</v>
      </c>
      <c r="F1115" s="1">
        <v>45701</v>
      </c>
      <c r="G1115" s="1">
        <v>45708</v>
      </c>
      <c r="H1115" t="s">
        <v>27</v>
      </c>
      <c r="I1115" t="s">
        <v>18</v>
      </c>
      <c r="J1115">
        <v>4</v>
      </c>
      <c r="K1115" t="s">
        <v>19</v>
      </c>
      <c r="L1115" t="s">
        <v>331</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x14ac:dyDescent="0.3">
      <c r="A1116" t="s">
        <v>1213</v>
      </c>
      <c r="B1116" t="s">
        <v>135</v>
      </c>
      <c r="C1116">
        <v>3</v>
      </c>
      <c r="D1116">
        <v>23.4</v>
      </c>
      <c r="E1116">
        <v>70.199999999999989</v>
      </c>
      <c r="F1116" s="1">
        <v>45701</v>
      </c>
      <c r="G1116" s="1">
        <v>45705</v>
      </c>
      <c r="H1116" t="s">
        <v>27</v>
      </c>
      <c r="I1116" t="s">
        <v>18</v>
      </c>
      <c r="J1116">
        <v>5</v>
      </c>
      <c r="K1116" t="s">
        <v>19</v>
      </c>
      <c r="L1116" t="s">
        <v>33</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x14ac:dyDescent="0.3">
      <c r="A1117" t="s">
        <v>1214</v>
      </c>
      <c r="B1117" t="s">
        <v>37</v>
      </c>
      <c r="C1117">
        <v>8</v>
      </c>
      <c r="D1117">
        <v>27.4</v>
      </c>
      <c r="E1117">
        <v>219.2</v>
      </c>
      <c r="F1117" s="1">
        <v>45701</v>
      </c>
      <c r="G1117" s="1">
        <v>45704</v>
      </c>
      <c r="H1117" t="s">
        <v>27</v>
      </c>
      <c r="I1117" t="s">
        <v>40</v>
      </c>
      <c r="J1117">
        <v>4</v>
      </c>
      <c r="K1117" t="s">
        <v>19</v>
      </c>
      <c r="L1117" t="s">
        <v>33</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x14ac:dyDescent="0.3">
      <c r="A1118" t="s">
        <v>1215</v>
      </c>
      <c r="B1118" t="s">
        <v>37</v>
      </c>
      <c r="C1118">
        <v>5</v>
      </c>
      <c r="D1118">
        <v>68.400000000000006</v>
      </c>
      <c r="E1118">
        <v>342</v>
      </c>
      <c r="F1118" s="1">
        <v>45701</v>
      </c>
      <c r="G1118" s="1">
        <v>45702</v>
      </c>
      <c r="H1118" t="s">
        <v>27</v>
      </c>
      <c r="I1118" t="s">
        <v>18</v>
      </c>
      <c r="J1118">
        <v>4</v>
      </c>
      <c r="K1118" t="s">
        <v>19</v>
      </c>
      <c r="L1118" t="s">
        <v>33</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x14ac:dyDescent="0.3">
      <c r="A1119" t="s">
        <v>1216</v>
      </c>
      <c r="B1119" t="s">
        <v>39</v>
      </c>
      <c r="C1119">
        <v>1</v>
      </c>
      <c r="D1119">
        <v>51.9</v>
      </c>
      <c r="E1119">
        <v>51.9</v>
      </c>
      <c r="F1119" s="1">
        <v>45701</v>
      </c>
      <c r="G1119" s="1">
        <v>45701</v>
      </c>
      <c r="H1119" t="s">
        <v>27</v>
      </c>
      <c r="I1119" t="s">
        <v>18</v>
      </c>
      <c r="J1119">
        <v>4</v>
      </c>
      <c r="K1119" t="s">
        <v>19</v>
      </c>
      <c r="L1119" t="s">
        <v>33</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x14ac:dyDescent="0.3">
      <c r="A1120" t="s">
        <v>1217</v>
      </c>
      <c r="B1120" t="s">
        <v>16</v>
      </c>
      <c r="C1120">
        <v>5</v>
      </c>
      <c r="D1120">
        <v>26.4</v>
      </c>
      <c r="E1120">
        <v>132</v>
      </c>
      <c r="F1120" s="1">
        <v>45701</v>
      </c>
      <c r="G1120" s="1">
        <v>45704</v>
      </c>
      <c r="H1120" t="s">
        <v>27</v>
      </c>
      <c r="I1120" t="s">
        <v>18</v>
      </c>
      <c r="J1120">
        <v>5</v>
      </c>
      <c r="K1120" t="s">
        <v>19</v>
      </c>
      <c r="L1120" t="s">
        <v>33</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x14ac:dyDescent="0.3">
      <c r="A1121" t="s">
        <v>1218</v>
      </c>
      <c r="B1121" t="s">
        <v>69</v>
      </c>
      <c r="C1121">
        <v>2</v>
      </c>
      <c r="D1121">
        <v>117</v>
      </c>
      <c r="E1121">
        <v>234</v>
      </c>
      <c r="F1121" s="1">
        <v>45701</v>
      </c>
      <c r="G1121" s="1">
        <v>45702</v>
      </c>
      <c r="H1121" t="s">
        <v>27</v>
      </c>
      <c r="I1121" t="s">
        <v>35</v>
      </c>
      <c r="J1121">
        <v>3</v>
      </c>
      <c r="K1121" t="s">
        <v>19</v>
      </c>
      <c r="L1121" t="s">
        <v>33</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x14ac:dyDescent="0.3">
      <c r="A1122" t="s">
        <v>1219</v>
      </c>
      <c r="B1122" t="s">
        <v>42</v>
      </c>
      <c r="C1122">
        <v>3</v>
      </c>
      <c r="D1122">
        <v>49.6</v>
      </c>
      <c r="E1122">
        <v>148.80000000000001</v>
      </c>
      <c r="F1122" s="1">
        <v>45702</v>
      </c>
      <c r="G1122" s="1">
        <v>45704</v>
      </c>
      <c r="H1122" t="s">
        <v>27</v>
      </c>
      <c r="I1122" t="s">
        <v>18</v>
      </c>
      <c r="J1122">
        <v>4</v>
      </c>
      <c r="K1122" t="s">
        <v>19</v>
      </c>
      <c r="L1122" t="s">
        <v>33</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x14ac:dyDescent="0.3">
      <c r="A1123" t="s">
        <v>1220</v>
      </c>
      <c r="B1123" t="s">
        <v>32</v>
      </c>
      <c r="C1123">
        <v>3</v>
      </c>
      <c r="D1123">
        <v>38</v>
      </c>
      <c r="E1123">
        <v>114</v>
      </c>
      <c r="F1123" s="1">
        <v>45702</v>
      </c>
      <c r="G1123" s="1">
        <v>45705</v>
      </c>
      <c r="H1123" t="s">
        <v>23</v>
      </c>
      <c r="I1123" t="s">
        <v>40</v>
      </c>
      <c r="J1123">
        <v>2</v>
      </c>
      <c r="K1123" t="s">
        <v>19</v>
      </c>
      <c r="L1123" t="s">
        <v>33</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x14ac:dyDescent="0.3">
      <c r="A1124" t="s">
        <v>1221</v>
      </c>
      <c r="B1124" t="s">
        <v>16</v>
      </c>
      <c r="C1124">
        <v>3</v>
      </c>
      <c r="D1124">
        <v>20.6</v>
      </c>
      <c r="E1124">
        <v>61.800000000000004</v>
      </c>
      <c r="F1124" s="1">
        <v>45702</v>
      </c>
      <c r="G1124" s="1">
        <v>45704</v>
      </c>
      <c r="H1124" t="s">
        <v>27</v>
      </c>
      <c r="I1124" t="s">
        <v>70</v>
      </c>
      <c r="J1124">
        <v>5</v>
      </c>
      <c r="K1124" t="s">
        <v>19</v>
      </c>
      <c r="L1124" t="s">
        <v>33</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x14ac:dyDescent="0.3">
      <c r="A1125" t="s">
        <v>1222</v>
      </c>
      <c r="B1125" t="s">
        <v>16</v>
      </c>
      <c r="C1125">
        <v>2</v>
      </c>
      <c r="D1125">
        <v>16</v>
      </c>
      <c r="E1125">
        <v>32</v>
      </c>
      <c r="F1125" s="1">
        <v>45702</v>
      </c>
      <c r="G1125" s="1">
        <v>45703</v>
      </c>
      <c r="H1125" t="s">
        <v>23</v>
      </c>
      <c r="I1125" t="s">
        <v>35</v>
      </c>
      <c r="J1125">
        <v>3</v>
      </c>
      <c r="K1125" t="s">
        <v>19</v>
      </c>
      <c r="L1125" t="s">
        <v>802</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x14ac:dyDescent="0.3">
      <c r="A1126" t="s">
        <v>1223</v>
      </c>
      <c r="B1126" t="s">
        <v>123</v>
      </c>
      <c r="C1126">
        <v>4</v>
      </c>
      <c r="D1126">
        <v>49.3</v>
      </c>
      <c r="E1126">
        <v>197.2</v>
      </c>
      <c r="F1126" s="1">
        <v>45702</v>
      </c>
      <c r="G1126" s="1">
        <v>45703</v>
      </c>
      <c r="H1126" t="s">
        <v>27</v>
      </c>
      <c r="I1126" t="s">
        <v>40</v>
      </c>
      <c r="J1126">
        <v>4</v>
      </c>
      <c r="K1126" t="s">
        <v>19</v>
      </c>
      <c r="L1126" t="s">
        <v>158</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x14ac:dyDescent="0.3">
      <c r="A1127" t="s">
        <v>1224</v>
      </c>
      <c r="B1127" t="s">
        <v>46</v>
      </c>
      <c r="C1127">
        <v>2</v>
      </c>
      <c r="D1127">
        <v>24.1</v>
      </c>
      <c r="E1127">
        <v>48.2</v>
      </c>
      <c r="F1127" s="1">
        <v>45702</v>
      </c>
      <c r="G1127" s="1">
        <v>45706</v>
      </c>
      <c r="H1127" t="s">
        <v>27</v>
      </c>
      <c r="I1127" t="s">
        <v>18</v>
      </c>
      <c r="J1127">
        <v>4</v>
      </c>
      <c r="K1127" t="s">
        <v>19</v>
      </c>
      <c r="L1127" t="s">
        <v>55</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x14ac:dyDescent="0.3">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x14ac:dyDescent="0.3">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x14ac:dyDescent="0.3">
      <c r="A1130" t="s">
        <v>1227</v>
      </c>
      <c r="B1130" t="s">
        <v>69</v>
      </c>
      <c r="C1130">
        <v>1</v>
      </c>
      <c r="D1130">
        <v>45.6</v>
      </c>
      <c r="E1130">
        <v>45.6</v>
      </c>
      <c r="F1130" s="1">
        <v>45702</v>
      </c>
      <c r="G1130" s="1">
        <v>45706</v>
      </c>
      <c r="H1130" t="s">
        <v>27</v>
      </c>
      <c r="I1130" t="s">
        <v>70</v>
      </c>
      <c r="J1130">
        <v>4</v>
      </c>
      <c r="K1130" t="s">
        <v>19</v>
      </c>
      <c r="L1130" t="s">
        <v>62</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x14ac:dyDescent="0.3">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x14ac:dyDescent="0.3">
      <c r="A1132" t="s">
        <v>1229</v>
      </c>
      <c r="B1132" t="s">
        <v>46</v>
      </c>
      <c r="C1132">
        <v>1</v>
      </c>
      <c r="D1132">
        <v>51.8</v>
      </c>
      <c r="E1132">
        <v>51.8</v>
      </c>
      <c r="F1132" s="1">
        <v>45702</v>
      </c>
      <c r="G1132" s="1">
        <v>45703</v>
      </c>
      <c r="H1132" t="s">
        <v>27</v>
      </c>
      <c r="I1132" t="s">
        <v>35</v>
      </c>
      <c r="J1132">
        <v>4</v>
      </c>
      <c r="K1132" t="s">
        <v>19</v>
      </c>
      <c r="L1132" t="s">
        <v>62</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x14ac:dyDescent="0.3">
      <c r="A1133" t="s">
        <v>1230</v>
      </c>
      <c r="B1133" t="s">
        <v>39</v>
      </c>
      <c r="C1133">
        <v>1</v>
      </c>
      <c r="D1133">
        <v>74.7</v>
      </c>
      <c r="E1133">
        <v>74.7</v>
      </c>
      <c r="F1133" s="1">
        <v>45702</v>
      </c>
      <c r="G1133" s="1">
        <v>45703</v>
      </c>
      <c r="H1133" t="s">
        <v>23</v>
      </c>
      <c r="I1133" t="s">
        <v>18</v>
      </c>
      <c r="J1133">
        <v>3</v>
      </c>
      <c r="K1133" t="s">
        <v>19</v>
      </c>
      <c r="L1133" t="s">
        <v>62</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x14ac:dyDescent="0.3">
      <c r="A1134" t="s">
        <v>1231</v>
      </c>
      <c r="B1134" t="s">
        <v>171</v>
      </c>
      <c r="C1134">
        <v>3</v>
      </c>
      <c r="D1134">
        <v>22.4</v>
      </c>
      <c r="E1134">
        <v>67.199999999999989</v>
      </c>
      <c r="F1134" s="1">
        <v>45702</v>
      </c>
      <c r="G1134" s="1">
        <v>45703</v>
      </c>
      <c r="H1134" t="s">
        <v>27</v>
      </c>
      <c r="I1134" t="s">
        <v>35</v>
      </c>
      <c r="J1134">
        <v>5</v>
      </c>
      <c r="K1134" t="s">
        <v>19</v>
      </c>
      <c r="L1134" t="s">
        <v>72</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x14ac:dyDescent="0.3">
      <c r="A1135" t="s">
        <v>1232</v>
      </c>
      <c r="B1135" t="s">
        <v>22</v>
      </c>
      <c r="C1135">
        <v>4</v>
      </c>
      <c r="D1135">
        <v>31.4</v>
      </c>
      <c r="E1135">
        <v>125.6</v>
      </c>
      <c r="F1135" s="1">
        <v>45702</v>
      </c>
      <c r="G1135" s="1">
        <v>45703</v>
      </c>
      <c r="H1135" t="s">
        <v>27</v>
      </c>
      <c r="I1135" t="s">
        <v>35</v>
      </c>
      <c r="J1135">
        <v>4</v>
      </c>
      <c r="K1135" t="s">
        <v>19</v>
      </c>
      <c r="L1135" t="s">
        <v>72</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x14ac:dyDescent="0.3">
      <c r="A1136" t="s">
        <v>1233</v>
      </c>
      <c r="B1136" t="s">
        <v>39</v>
      </c>
      <c r="C1136">
        <v>1</v>
      </c>
      <c r="D1136">
        <v>94</v>
      </c>
      <c r="E1136">
        <v>94</v>
      </c>
      <c r="F1136" s="1">
        <v>45702</v>
      </c>
      <c r="G1136" s="1">
        <v>45702</v>
      </c>
      <c r="H1136" t="s">
        <v>27</v>
      </c>
      <c r="I1136" t="s">
        <v>35</v>
      </c>
      <c r="J1136">
        <v>5</v>
      </c>
      <c r="K1136" t="s">
        <v>19</v>
      </c>
      <c r="L1136" t="s">
        <v>74</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x14ac:dyDescent="0.3">
      <c r="A1137" t="s">
        <v>1234</v>
      </c>
      <c r="B1137" t="s">
        <v>54</v>
      </c>
      <c r="C1137">
        <v>1</v>
      </c>
      <c r="D1137">
        <v>22.3</v>
      </c>
      <c r="E1137">
        <v>22.3</v>
      </c>
      <c r="F1137" s="1">
        <v>45702</v>
      </c>
      <c r="G1137" s="1">
        <v>45703</v>
      </c>
      <c r="H1137" t="s">
        <v>23</v>
      </c>
      <c r="I1137" t="s">
        <v>70</v>
      </c>
      <c r="J1137">
        <v>4</v>
      </c>
      <c r="K1137" t="s">
        <v>19</v>
      </c>
      <c r="L1137" t="s">
        <v>113</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x14ac:dyDescent="0.3">
      <c r="A1138" t="s">
        <v>1235</v>
      </c>
      <c r="B1138" t="s">
        <v>16</v>
      </c>
      <c r="C1138">
        <v>1</v>
      </c>
      <c r="D1138">
        <v>21.9</v>
      </c>
      <c r="E1138">
        <v>21.9</v>
      </c>
      <c r="F1138" s="1">
        <v>45702</v>
      </c>
      <c r="G1138" s="1">
        <v>45705</v>
      </c>
      <c r="H1138" t="s">
        <v>27</v>
      </c>
      <c r="I1138" t="s">
        <v>40</v>
      </c>
      <c r="J1138">
        <v>4</v>
      </c>
      <c r="K1138" t="s">
        <v>19</v>
      </c>
      <c r="L1138" t="s">
        <v>115</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x14ac:dyDescent="0.3">
      <c r="A1139" t="s">
        <v>1236</v>
      </c>
      <c r="B1139" t="s">
        <v>135</v>
      </c>
      <c r="C1139">
        <v>3</v>
      </c>
      <c r="D1139">
        <v>27</v>
      </c>
      <c r="E1139">
        <v>81</v>
      </c>
      <c r="F1139" s="1">
        <v>45702</v>
      </c>
      <c r="G1139" s="1">
        <v>45704</v>
      </c>
      <c r="H1139" t="s">
        <v>27</v>
      </c>
      <c r="I1139" t="s">
        <v>70</v>
      </c>
      <c r="J1139">
        <v>5</v>
      </c>
      <c r="K1139" t="s">
        <v>19</v>
      </c>
      <c r="L1139" t="s">
        <v>28</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x14ac:dyDescent="0.3">
      <c r="A1140" t="s">
        <v>1237</v>
      </c>
      <c r="B1140" t="s">
        <v>26</v>
      </c>
      <c r="C1140">
        <v>4</v>
      </c>
      <c r="D1140">
        <v>149.6</v>
      </c>
      <c r="E1140">
        <v>598.4</v>
      </c>
      <c r="F1140" s="1">
        <v>45702</v>
      </c>
      <c r="G1140" s="1">
        <v>45702</v>
      </c>
      <c r="H1140" t="s">
        <v>27</v>
      </c>
      <c r="I1140" t="s">
        <v>70</v>
      </c>
      <c r="J1140">
        <v>4</v>
      </c>
      <c r="K1140" t="s">
        <v>19</v>
      </c>
      <c r="L1140" t="s">
        <v>147</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x14ac:dyDescent="0.3">
      <c r="A1141" t="s">
        <v>1238</v>
      </c>
      <c r="B1141" t="s">
        <v>26</v>
      </c>
      <c r="C1141">
        <v>4</v>
      </c>
      <c r="D1141">
        <v>129.1</v>
      </c>
      <c r="E1141">
        <v>516.4</v>
      </c>
      <c r="F1141" s="1">
        <v>45702</v>
      </c>
      <c r="G1141" s="1">
        <v>45712</v>
      </c>
      <c r="H1141" t="s">
        <v>23</v>
      </c>
      <c r="I1141" t="s">
        <v>18</v>
      </c>
      <c r="J1141">
        <v>3</v>
      </c>
      <c r="K1141" t="s">
        <v>19</v>
      </c>
      <c r="L1141" t="s">
        <v>33</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x14ac:dyDescent="0.3">
      <c r="A1142" t="s">
        <v>1239</v>
      </c>
      <c r="B1142" t="s">
        <v>22</v>
      </c>
      <c r="C1142">
        <v>12</v>
      </c>
      <c r="D1142">
        <v>40.4</v>
      </c>
      <c r="E1142">
        <v>484.79999999999995</v>
      </c>
      <c r="F1142" s="1">
        <v>45702</v>
      </c>
      <c r="G1142" s="1">
        <v>45703</v>
      </c>
      <c r="H1142" t="s">
        <v>23</v>
      </c>
      <c r="I1142" t="s">
        <v>35</v>
      </c>
      <c r="J1142">
        <v>3</v>
      </c>
      <c r="K1142" t="s">
        <v>19</v>
      </c>
      <c r="L1142" t="s">
        <v>33</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x14ac:dyDescent="0.3">
      <c r="A1143" t="s">
        <v>1240</v>
      </c>
      <c r="B1143" t="s">
        <v>32</v>
      </c>
      <c r="C1143">
        <v>3</v>
      </c>
      <c r="D1143">
        <v>48.5</v>
      </c>
      <c r="E1143">
        <v>145.5</v>
      </c>
      <c r="F1143" s="1">
        <v>45702</v>
      </c>
      <c r="G1143" s="1">
        <v>45704</v>
      </c>
      <c r="H1143" t="s">
        <v>27</v>
      </c>
      <c r="I1143" t="s">
        <v>18</v>
      </c>
      <c r="J1143">
        <v>2</v>
      </c>
      <c r="K1143" t="s">
        <v>19</v>
      </c>
      <c r="L1143" t="s">
        <v>33</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x14ac:dyDescent="0.3">
      <c r="A1144" t="s">
        <v>1241</v>
      </c>
      <c r="B1144" t="s">
        <v>46</v>
      </c>
      <c r="C1144">
        <v>2</v>
      </c>
      <c r="D1144">
        <v>37.6</v>
      </c>
      <c r="E1144">
        <v>75.2</v>
      </c>
      <c r="F1144" s="1">
        <v>45702</v>
      </c>
      <c r="G1144" s="1">
        <v>45704</v>
      </c>
      <c r="H1144" t="s">
        <v>27</v>
      </c>
      <c r="I1144" t="s">
        <v>35</v>
      </c>
      <c r="J1144">
        <v>5</v>
      </c>
      <c r="K1144" t="s">
        <v>19</v>
      </c>
      <c r="L1144" t="s">
        <v>33</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x14ac:dyDescent="0.3">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x14ac:dyDescent="0.3">
      <c r="A1146" t="s">
        <v>1243</v>
      </c>
      <c r="B1146" t="s">
        <v>44</v>
      </c>
      <c r="C1146">
        <v>5</v>
      </c>
      <c r="D1146">
        <v>18.5</v>
      </c>
      <c r="E1146">
        <v>92.5</v>
      </c>
      <c r="F1146" s="1">
        <v>45702</v>
      </c>
      <c r="G1146" s="1">
        <v>45703</v>
      </c>
      <c r="H1146" t="s">
        <v>27</v>
      </c>
      <c r="I1146" t="s">
        <v>40</v>
      </c>
      <c r="J1146">
        <v>3</v>
      </c>
      <c r="K1146" t="s">
        <v>19</v>
      </c>
      <c r="L1146" t="s">
        <v>55</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x14ac:dyDescent="0.3">
      <c r="A1147" t="s">
        <v>1244</v>
      </c>
      <c r="B1147" t="s">
        <v>37</v>
      </c>
      <c r="C1147">
        <v>3</v>
      </c>
      <c r="D1147">
        <v>25.5</v>
      </c>
      <c r="E1147">
        <v>76.5</v>
      </c>
      <c r="F1147" s="1">
        <v>45702</v>
      </c>
      <c r="G1147" s="1">
        <v>45704</v>
      </c>
      <c r="H1147" t="s">
        <v>27</v>
      </c>
      <c r="I1147" t="s">
        <v>70</v>
      </c>
      <c r="J1147">
        <v>3</v>
      </c>
      <c r="K1147" t="s">
        <v>19</v>
      </c>
      <c r="L1147" t="s">
        <v>55</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x14ac:dyDescent="0.3">
      <c r="A1148" t="s">
        <v>1245</v>
      </c>
      <c r="B1148" t="s">
        <v>26</v>
      </c>
      <c r="C1148">
        <v>2</v>
      </c>
      <c r="D1148">
        <v>94.7</v>
      </c>
      <c r="E1148">
        <v>189.4</v>
      </c>
      <c r="F1148" s="1">
        <v>45702</v>
      </c>
      <c r="G1148" s="1">
        <v>45703</v>
      </c>
      <c r="H1148" t="s">
        <v>27</v>
      </c>
      <c r="I1148" t="s">
        <v>40</v>
      </c>
      <c r="J1148">
        <v>4</v>
      </c>
      <c r="K1148" t="s">
        <v>19</v>
      </c>
      <c r="L1148" t="s">
        <v>342</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x14ac:dyDescent="0.3">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x14ac:dyDescent="0.3">
      <c r="A1150" t="s">
        <v>1247</v>
      </c>
      <c r="B1150" t="s">
        <v>46</v>
      </c>
      <c r="C1150">
        <v>2</v>
      </c>
      <c r="D1150">
        <v>49.4</v>
      </c>
      <c r="E1150">
        <v>98.8</v>
      </c>
      <c r="F1150" s="1">
        <v>45703</v>
      </c>
      <c r="G1150" s="1">
        <v>45711</v>
      </c>
      <c r="H1150" t="s">
        <v>23</v>
      </c>
      <c r="I1150" t="s">
        <v>70</v>
      </c>
      <c r="J1150">
        <v>3</v>
      </c>
      <c r="K1150" t="s">
        <v>19</v>
      </c>
      <c r="L1150" t="s">
        <v>62</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x14ac:dyDescent="0.3">
      <c r="A1151" t="s">
        <v>1248</v>
      </c>
      <c r="B1151" t="s">
        <v>42</v>
      </c>
      <c r="C1151">
        <v>3</v>
      </c>
      <c r="D1151">
        <v>68</v>
      </c>
      <c r="E1151">
        <v>204</v>
      </c>
      <c r="F1151" s="1">
        <v>45703</v>
      </c>
      <c r="G1151" s="1">
        <v>45706</v>
      </c>
      <c r="H1151" t="s">
        <v>23</v>
      </c>
      <c r="I1151" t="s">
        <v>18</v>
      </c>
      <c r="J1151">
        <v>5</v>
      </c>
      <c r="K1151" t="s">
        <v>19</v>
      </c>
      <c r="L1151" t="s">
        <v>62</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x14ac:dyDescent="0.3">
      <c r="A1152" t="s">
        <v>1249</v>
      </c>
      <c r="B1152" t="s">
        <v>123</v>
      </c>
      <c r="C1152">
        <v>7</v>
      </c>
      <c r="D1152">
        <v>63.7</v>
      </c>
      <c r="E1152">
        <v>445.90000000000003</v>
      </c>
      <c r="F1152" s="1">
        <v>45703</v>
      </c>
      <c r="G1152" s="1">
        <v>45704</v>
      </c>
      <c r="H1152" t="s">
        <v>27</v>
      </c>
      <c r="I1152" t="s">
        <v>40</v>
      </c>
      <c r="J1152">
        <v>5</v>
      </c>
      <c r="K1152" t="s">
        <v>19</v>
      </c>
      <c r="L1152" t="s">
        <v>62</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x14ac:dyDescent="0.3">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x14ac:dyDescent="0.3">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x14ac:dyDescent="0.3">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x14ac:dyDescent="0.3">
      <c r="A1156" t="s">
        <v>1253</v>
      </c>
      <c r="B1156" t="s">
        <v>32</v>
      </c>
      <c r="C1156">
        <v>12</v>
      </c>
      <c r="D1156">
        <v>25.2</v>
      </c>
      <c r="E1156">
        <v>302.39999999999998</v>
      </c>
      <c r="F1156" s="1">
        <v>45703</v>
      </c>
      <c r="G1156" s="1">
        <v>45707</v>
      </c>
      <c r="H1156" t="s">
        <v>27</v>
      </c>
      <c r="I1156" t="s">
        <v>18</v>
      </c>
      <c r="J1156">
        <v>3</v>
      </c>
      <c r="K1156" t="s">
        <v>19</v>
      </c>
      <c r="L1156" t="s">
        <v>77</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x14ac:dyDescent="0.3">
      <c r="A1157" t="s">
        <v>1254</v>
      </c>
      <c r="B1157" t="s">
        <v>54</v>
      </c>
      <c r="C1157">
        <v>6</v>
      </c>
      <c r="D1157">
        <v>29.5</v>
      </c>
      <c r="E1157">
        <v>177</v>
      </c>
      <c r="F1157" s="1">
        <v>45703</v>
      </c>
      <c r="G1157" s="1">
        <v>45704</v>
      </c>
      <c r="H1157" t="s">
        <v>23</v>
      </c>
      <c r="I1157" t="s">
        <v>40</v>
      </c>
      <c r="J1157">
        <v>4</v>
      </c>
      <c r="K1157" t="s">
        <v>19</v>
      </c>
      <c r="L1157" t="s">
        <v>77</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x14ac:dyDescent="0.3">
      <c r="A1158" t="s">
        <v>1255</v>
      </c>
      <c r="B1158" t="s">
        <v>44</v>
      </c>
      <c r="C1158">
        <v>5</v>
      </c>
      <c r="D1158">
        <v>21.6</v>
      </c>
      <c r="E1158">
        <v>108</v>
      </c>
      <c r="F1158" s="1">
        <v>45703</v>
      </c>
      <c r="G1158" s="1">
        <v>45705</v>
      </c>
      <c r="H1158" t="s">
        <v>27</v>
      </c>
      <c r="I1158" t="s">
        <v>18</v>
      </c>
      <c r="J1158">
        <v>5</v>
      </c>
      <c r="K1158" t="s">
        <v>19</v>
      </c>
      <c r="L1158" t="s">
        <v>309</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x14ac:dyDescent="0.3">
      <c r="A1159" t="s">
        <v>1256</v>
      </c>
      <c r="B1159" t="s">
        <v>69</v>
      </c>
      <c r="C1159">
        <v>3</v>
      </c>
      <c r="D1159">
        <v>69</v>
      </c>
      <c r="E1159">
        <v>207</v>
      </c>
      <c r="F1159" s="1">
        <v>45703</v>
      </c>
      <c r="G1159" s="1">
        <v>45704</v>
      </c>
      <c r="H1159" t="s">
        <v>27</v>
      </c>
      <c r="I1159" t="s">
        <v>18</v>
      </c>
      <c r="J1159">
        <v>4</v>
      </c>
      <c r="K1159" t="s">
        <v>19</v>
      </c>
      <c r="L1159" t="s">
        <v>108</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x14ac:dyDescent="0.3">
      <c r="A1160" t="s">
        <v>1257</v>
      </c>
      <c r="B1160" t="s">
        <v>42</v>
      </c>
      <c r="C1160">
        <v>2</v>
      </c>
      <c r="D1160">
        <v>115</v>
      </c>
      <c r="E1160">
        <v>230</v>
      </c>
      <c r="F1160" s="1">
        <v>45703</v>
      </c>
      <c r="G1160" s="1">
        <v>45707</v>
      </c>
      <c r="H1160" t="s">
        <v>23</v>
      </c>
      <c r="I1160" t="s">
        <v>18</v>
      </c>
      <c r="J1160">
        <v>5</v>
      </c>
      <c r="K1160" t="s">
        <v>19</v>
      </c>
      <c r="L1160" t="s">
        <v>108</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x14ac:dyDescent="0.3">
      <c r="A1161" t="s">
        <v>1258</v>
      </c>
      <c r="B1161" t="s">
        <v>26</v>
      </c>
      <c r="C1161">
        <v>2</v>
      </c>
      <c r="D1161">
        <v>109.3</v>
      </c>
      <c r="E1161">
        <v>218.6</v>
      </c>
      <c r="F1161" s="1">
        <v>45703</v>
      </c>
      <c r="G1161" s="1">
        <v>45705</v>
      </c>
      <c r="H1161" t="s">
        <v>17</v>
      </c>
      <c r="I1161" t="s">
        <v>51</v>
      </c>
      <c r="J1161">
        <v>3</v>
      </c>
      <c r="K1161" t="s">
        <v>19</v>
      </c>
      <c r="L1161" t="s">
        <v>110</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x14ac:dyDescent="0.3">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x14ac:dyDescent="0.3">
      <c r="A1163" t="s">
        <v>1260</v>
      </c>
      <c r="B1163" t="s">
        <v>69</v>
      </c>
      <c r="C1163">
        <v>5</v>
      </c>
      <c r="D1163">
        <v>47.7</v>
      </c>
      <c r="E1163">
        <v>238.5</v>
      </c>
      <c r="F1163" s="1">
        <v>45703</v>
      </c>
      <c r="G1163" s="1">
        <v>45704</v>
      </c>
      <c r="H1163" t="s">
        <v>23</v>
      </c>
      <c r="I1163" t="s">
        <v>51</v>
      </c>
      <c r="J1163">
        <v>5</v>
      </c>
      <c r="K1163" t="s">
        <v>19</v>
      </c>
      <c r="L1163" t="s">
        <v>115</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x14ac:dyDescent="0.3">
      <c r="A1164" t="s">
        <v>1261</v>
      </c>
      <c r="B1164" t="s">
        <v>44</v>
      </c>
      <c r="C1164">
        <v>2</v>
      </c>
      <c r="D1164">
        <v>46</v>
      </c>
      <c r="E1164">
        <v>92</v>
      </c>
      <c r="F1164" s="1">
        <v>45703</v>
      </c>
      <c r="G1164" s="1">
        <v>45704</v>
      </c>
      <c r="H1164" t="s">
        <v>27</v>
      </c>
      <c r="I1164" t="s">
        <v>70</v>
      </c>
      <c r="J1164">
        <v>2</v>
      </c>
      <c r="K1164" t="s">
        <v>19</v>
      </c>
      <c r="L1164" t="s">
        <v>147</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x14ac:dyDescent="0.3">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x14ac:dyDescent="0.3">
      <c r="A1166" t="s">
        <v>1263</v>
      </c>
      <c r="B1166" t="s">
        <v>46</v>
      </c>
      <c r="C1166">
        <v>1</v>
      </c>
      <c r="D1166">
        <v>70.2</v>
      </c>
      <c r="E1166">
        <v>70.2</v>
      </c>
      <c r="F1166" s="1">
        <v>45703</v>
      </c>
      <c r="G1166" s="1">
        <v>45704</v>
      </c>
      <c r="H1166" t="s">
        <v>27</v>
      </c>
      <c r="I1166" t="s">
        <v>18</v>
      </c>
      <c r="J1166">
        <v>2</v>
      </c>
      <c r="K1166" t="s">
        <v>19</v>
      </c>
      <c r="L1166" t="s">
        <v>33</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x14ac:dyDescent="0.3">
      <c r="A1167" t="s">
        <v>1264</v>
      </c>
      <c r="B1167" t="s">
        <v>30</v>
      </c>
      <c r="C1167">
        <v>4</v>
      </c>
      <c r="D1167">
        <v>71.5</v>
      </c>
      <c r="E1167">
        <v>286</v>
      </c>
      <c r="F1167" s="1">
        <v>45703</v>
      </c>
      <c r="G1167" s="1">
        <v>45703</v>
      </c>
      <c r="H1167" t="s">
        <v>27</v>
      </c>
      <c r="I1167" t="s">
        <v>35</v>
      </c>
      <c r="J1167">
        <v>5</v>
      </c>
      <c r="K1167" t="s">
        <v>19</v>
      </c>
      <c r="L1167" t="s">
        <v>33</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x14ac:dyDescent="0.3">
      <c r="A1168" t="s">
        <v>1265</v>
      </c>
      <c r="B1168" t="s">
        <v>54</v>
      </c>
      <c r="C1168">
        <v>7</v>
      </c>
      <c r="D1168">
        <v>31</v>
      </c>
      <c r="E1168">
        <v>217</v>
      </c>
      <c r="F1168" s="1">
        <v>45703</v>
      </c>
      <c r="G1168" s="1">
        <v>45710</v>
      </c>
      <c r="H1168" t="s">
        <v>27</v>
      </c>
      <c r="I1168" t="s">
        <v>51</v>
      </c>
      <c r="J1168">
        <v>5</v>
      </c>
      <c r="K1168" t="s">
        <v>19</v>
      </c>
      <c r="L1168" t="s">
        <v>33</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x14ac:dyDescent="0.3">
      <c r="A1169" t="s">
        <v>1266</v>
      </c>
      <c r="B1169" t="s">
        <v>26</v>
      </c>
      <c r="C1169">
        <v>5</v>
      </c>
      <c r="D1169">
        <v>68.2</v>
      </c>
      <c r="E1169">
        <v>341</v>
      </c>
      <c r="F1169" s="1">
        <v>45703</v>
      </c>
      <c r="G1169" s="1">
        <v>45708</v>
      </c>
      <c r="H1169" t="s">
        <v>27</v>
      </c>
      <c r="I1169" t="s">
        <v>18</v>
      </c>
      <c r="J1169">
        <v>5</v>
      </c>
      <c r="K1169" t="s">
        <v>19</v>
      </c>
      <c r="L1169" t="s">
        <v>33</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x14ac:dyDescent="0.3">
      <c r="A1170" t="s">
        <v>1267</v>
      </c>
      <c r="B1170" t="s">
        <v>26</v>
      </c>
      <c r="C1170">
        <v>1</v>
      </c>
      <c r="D1170">
        <v>91.4</v>
      </c>
      <c r="E1170">
        <v>91.4</v>
      </c>
      <c r="F1170" s="1">
        <v>45703</v>
      </c>
      <c r="G1170" s="1">
        <v>45707</v>
      </c>
      <c r="H1170" t="s">
        <v>27</v>
      </c>
      <c r="I1170" t="s">
        <v>35</v>
      </c>
      <c r="J1170">
        <v>5</v>
      </c>
      <c r="K1170" t="s">
        <v>19</v>
      </c>
      <c r="L1170" t="s">
        <v>55</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x14ac:dyDescent="0.3">
      <c r="A1171" t="s">
        <v>1268</v>
      </c>
      <c r="B1171" t="s">
        <v>39</v>
      </c>
      <c r="C1171">
        <v>10</v>
      </c>
      <c r="D1171">
        <v>112.9</v>
      </c>
      <c r="E1171">
        <v>1129</v>
      </c>
      <c r="F1171" s="1">
        <v>45703</v>
      </c>
      <c r="G1171" s="1">
        <v>45704</v>
      </c>
      <c r="H1171" t="s">
        <v>27</v>
      </c>
      <c r="I1171" t="s">
        <v>18</v>
      </c>
      <c r="J1171">
        <v>4</v>
      </c>
      <c r="K1171" t="s">
        <v>19</v>
      </c>
      <c r="L1171" t="s">
        <v>55</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x14ac:dyDescent="0.3">
      <c r="A1172" t="s">
        <v>1269</v>
      </c>
      <c r="B1172" t="s">
        <v>135</v>
      </c>
      <c r="C1172">
        <v>9</v>
      </c>
      <c r="D1172">
        <v>33.700000000000003</v>
      </c>
      <c r="E1172">
        <v>303.3</v>
      </c>
      <c r="F1172" s="1">
        <v>45703</v>
      </c>
      <c r="G1172" s="1">
        <v>45704</v>
      </c>
      <c r="H1172" t="s">
        <v>27</v>
      </c>
      <c r="I1172" t="s">
        <v>35</v>
      </c>
      <c r="J1172">
        <v>5</v>
      </c>
      <c r="K1172" t="s">
        <v>19</v>
      </c>
      <c r="L1172" t="s">
        <v>62</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x14ac:dyDescent="0.3">
      <c r="A1173" t="s">
        <v>1270</v>
      </c>
      <c r="B1173" t="s">
        <v>123</v>
      </c>
      <c r="C1173">
        <v>10</v>
      </c>
      <c r="D1173">
        <v>35.299999999999997</v>
      </c>
      <c r="E1173">
        <v>353</v>
      </c>
      <c r="F1173" s="1">
        <v>45703</v>
      </c>
      <c r="G1173" s="1">
        <v>45705</v>
      </c>
      <c r="H1173" t="s">
        <v>23</v>
      </c>
      <c r="I1173" t="s">
        <v>40</v>
      </c>
      <c r="J1173">
        <v>4</v>
      </c>
      <c r="K1173" t="s">
        <v>19</v>
      </c>
      <c r="L1173" t="s">
        <v>62</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x14ac:dyDescent="0.3">
      <c r="A1174" t="s">
        <v>1271</v>
      </c>
      <c r="B1174" t="s">
        <v>146</v>
      </c>
      <c r="C1174">
        <v>3</v>
      </c>
      <c r="D1174">
        <v>45.6</v>
      </c>
      <c r="E1174">
        <v>136.80000000000001</v>
      </c>
      <c r="F1174" s="1">
        <v>45703</v>
      </c>
      <c r="G1174" s="1">
        <v>45707</v>
      </c>
      <c r="H1174" t="s">
        <v>23</v>
      </c>
      <c r="I1174" t="s">
        <v>51</v>
      </c>
      <c r="J1174">
        <v>4</v>
      </c>
      <c r="K1174" t="s">
        <v>19</v>
      </c>
      <c r="L1174" t="s">
        <v>62</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x14ac:dyDescent="0.3">
      <c r="A1175" t="s">
        <v>1272</v>
      </c>
      <c r="B1175" t="s">
        <v>42</v>
      </c>
      <c r="C1175">
        <v>7</v>
      </c>
      <c r="D1175">
        <v>47.1</v>
      </c>
      <c r="E1175">
        <v>329.7</v>
      </c>
      <c r="F1175" s="1">
        <v>45703</v>
      </c>
      <c r="G1175" s="1">
        <v>45704</v>
      </c>
      <c r="H1175" t="s">
        <v>27</v>
      </c>
      <c r="I1175" t="s">
        <v>70</v>
      </c>
      <c r="J1175">
        <v>5</v>
      </c>
      <c r="K1175" t="s">
        <v>19</v>
      </c>
      <c r="L1175" t="s">
        <v>72</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x14ac:dyDescent="0.3">
      <c r="A1176" t="s">
        <v>1273</v>
      </c>
      <c r="B1176" t="s">
        <v>44</v>
      </c>
      <c r="C1176">
        <v>5</v>
      </c>
      <c r="D1176">
        <v>16.2</v>
      </c>
      <c r="E1176">
        <v>81</v>
      </c>
      <c r="F1176" s="1">
        <v>45703</v>
      </c>
      <c r="G1176" s="1">
        <v>45705</v>
      </c>
      <c r="H1176" t="s">
        <v>27</v>
      </c>
      <c r="I1176" t="s">
        <v>51</v>
      </c>
      <c r="J1176">
        <v>5</v>
      </c>
      <c r="K1176" t="s">
        <v>19</v>
      </c>
      <c r="L1176" t="s">
        <v>110</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x14ac:dyDescent="0.3">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x14ac:dyDescent="0.3">
      <c r="A1178" t="s">
        <v>1275</v>
      </c>
      <c r="B1178" t="s">
        <v>44</v>
      </c>
      <c r="C1178">
        <v>4</v>
      </c>
      <c r="D1178">
        <v>19</v>
      </c>
      <c r="E1178">
        <v>76</v>
      </c>
      <c r="F1178" s="1">
        <v>45704</v>
      </c>
      <c r="G1178" s="1">
        <v>45711</v>
      </c>
      <c r="H1178" t="s">
        <v>27</v>
      </c>
      <c r="I1178" t="s">
        <v>40</v>
      </c>
      <c r="J1178">
        <v>5</v>
      </c>
      <c r="K1178" t="s">
        <v>19</v>
      </c>
      <c r="L1178" t="s">
        <v>115</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x14ac:dyDescent="0.3">
      <c r="A1179" t="s">
        <v>1276</v>
      </c>
      <c r="B1179" t="s">
        <v>39</v>
      </c>
      <c r="C1179">
        <v>6</v>
      </c>
      <c r="D1179">
        <v>91.1</v>
      </c>
      <c r="E1179">
        <v>546.59999999999991</v>
      </c>
      <c r="F1179" s="1">
        <v>45704</v>
      </c>
      <c r="G1179" s="1">
        <v>45713</v>
      </c>
      <c r="H1179" t="s">
        <v>27</v>
      </c>
      <c r="I1179" t="s">
        <v>70</v>
      </c>
      <c r="J1179">
        <v>4</v>
      </c>
      <c r="K1179" t="s">
        <v>19</v>
      </c>
      <c r="L1179" t="s">
        <v>115</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x14ac:dyDescent="0.3">
      <c r="A1180" t="s">
        <v>1277</v>
      </c>
      <c r="B1180" t="s">
        <v>26</v>
      </c>
      <c r="C1180">
        <v>5</v>
      </c>
      <c r="D1180">
        <v>94.1</v>
      </c>
      <c r="E1180">
        <v>470.5</v>
      </c>
      <c r="F1180" s="1">
        <v>45704</v>
      </c>
      <c r="G1180" s="1">
        <v>45707</v>
      </c>
      <c r="H1180" t="s">
        <v>17</v>
      </c>
      <c r="I1180" t="s">
        <v>35</v>
      </c>
      <c r="J1180">
        <v>3</v>
      </c>
      <c r="K1180" t="s">
        <v>19</v>
      </c>
      <c r="L1180" t="s">
        <v>115</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x14ac:dyDescent="0.3">
      <c r="A1181" t="s">
        <v>1278</v>
      </c>
      <c r="B1181" t="s">
        <v>46</v>
      </c>
      <c r="C1181">
        <v>9</v>
      </c>
      <c r="D1181">
        <v>21.1</v>
      </c>
      <c r="E1181">
        <v>189.9</v>
      </c>
      <c r="F1181" s="1">
        <v>45704</v>
      </c>
      <c r="G1181" s="1">
        <v>45705</v>
      </c>
      <c r="H1181" t="s">
        <v>27</v>
      </c>
      <c r="I1181" t="s">
        <v>70</v>
      </c>
      <c r="J1181">
        <v>5</v>
      </c>
      <c r="K1181" t="s">
        <v>19</v>
      </c>
      <c r="L1181" t="s">
        <v>967</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x14ac:dyDescent="0.3">
      <c r="A1182" t="s">
        <v>1279</v>
      </c>
      <c r="B1182" t="s">
        <v>44</v>
      </c>
      <c r="C1182">
        <v>7</v>
      </c>
      <c r="D1182">
        <v>15.3</v>
      </c>
      <c r="E1182">
        <v>107.10000000000001</v>
      </c>
      <c r="F1182" s="1">
        <v>45704</v>
      </c>
      <c r="G1182" s="1">
        <v>45712</v>
      </c>
      <c r="H1182" t="s">
        <v>27</v>
      </c>
      <c r="I1182" t="s">
        <v>40</v>
      </c>
      <c r="J1182">
        <v>4</v>
      </c>
      <c r="K1182" t="s">
        <v>19</v>
      </c>
      <c r="L1182" t="s">
        <v>24</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x14ac:dyDescent="0.3">
      <c r="A1183" t="s">
        <v>1280</v>
      </c>
      <c r="B1183" t="s">
        <v>123</v>
      </c>
      <c r="C1183">
        <v>4</v>
      </c>
      <c r="D1183">
        <v>21.3</v>
      </c>
      <c r="E1183">
        <v>85.2</v>
      </c>
      <c r="F1183" s="1">
        <v>45704</v>
      </c>
      <c r="G1183" s="1">
        <v>45707</v>
      </c>
      <c r="H1183" t="s">
        <v>23</v>
      </c>
      <c r="I1183" t="s">
        <v>35</v>
      </c>
      <c r="J1183">
        <v>4</v>
      </c>
      <c r="K1183" t="s">
        <v>19</v>
      </c>
      <c r="L1183" t="s">
        <v>33</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x14ac:dyDescent="0.3">
      <c r="A1184" t="s">
        <v>1281</v>
      </c>
      <c r="B1184" t="s">
        <v>16</v>
      </c>
      <c r="C1184">
        <v>2</v>
      </c>
      <c r="D1184">
        <v>23.2</v>
      </c>
      <c r="E1184">
        <v>46.4</v>
      </c>
      <c r="F1184" s="1">
        <v>45704</v>
      </c>
      <c r="G1184" s="1">
        <v>45704</v>
      </c>
      <c r="H1184" t="s">
        <v>17</v>
      </c>
      <c r="I1184" t="s">
        <v>51</v>
      </c>
      <c r="J1184">
        <v>3</v>
      </c>
      <c r="K1184" t="s">
        <v>19</v>
      </c>
      <c r="L1184" t="s">
        <v>33</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x14ac:dyDescent="0.3">
      <c r="A1185" t="s">
        <v>1282</v>
      </c>
      <c r="B1185" t="s">
        <v>32</v>
      </c>
      <c r="C1185">
        <v>3</v>
      </c>
      <c r="D1185">
        <v>25.7</v>
      </c>
      <c r="E1185">
        <v>77.099999999999994</v>
      </c>
      <c r="F1185" s="1">
        <v>45704</v>
      </c>
      <c r="G1185" s="1">
        <v>45705</v>
      </c>
      <c r="H1185" t="s">
        <v>23</v>
      </c>
      <c r="I1185" t="s">
        <v>70</v>
      </c>
      <c r="J1185">
        <v>4</v>
      </c>
      <c r="K1185" t="s">
        <v>19</v>
      </c>
      <c r="L1185" t="s">
        <v>33</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x14ac:dyDescent="0.3">
      <c r="A1186" t="s">
        <v>1283</v>
      </c>
      <c r="B1186" t="s">
        <v>16</v>
      </c>
      <c r="C1186">
        <v>9</v>
      </c>
      <c r="D1186">
        <v>31.6</v>
      </c>
      <c r="E1186">
        <v>284.40000000000003</v>
      </c>
      <c r="F1186" s="1">
        <v>45704</v>
      </c>
      <c r="G1186" s="1">
        <v>45706</v>
      </c>
      <c r="H1186" t="s">
        <v>27</v>
      </c>
      <c r="I1186" t="s">
        <v>18</v>
      </c>
      <c r="J1186">
        <v>4</v>
      </c>
      <c r="K1186" t="s">
        <v>19</v>
      </c>
      <c r="L1186" t="s">
        <v>33</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x14ac:dyDescent="0.3">
      <c r="A1187" t="s">
        <v>1284</v>
      </c>
      <c r="B1187" t="s">
        <v>39</v>
      </c>
      <c r="C1187">
        <v>1</v>
      </c>
      <c r="D1187">
        <v>64.2</v>
      </c>
      <c r="E1187">
        <v>64.2</v>
      </c>
      <c r="F1187" s="1">
        <v>45704</v>
      </c>
      <c r="G1187" s="1">
        <v>45709</v>
      </c>
      <c r="H1187" t="s">
        <v>23</v>
      </c>
      <c r="I1187" t="s">
        <v>18</v>
      </c>
      <c r="J1187">
        <v>4</v>
      </c>
      <c r="K1187" t="s">
        <v>19</v>
      </c>
      <c r="L1187" t="s">
        <v>33</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x14ac:dyDescent="0.3">
      <c r="A1188" t="s">
        <v>1285</v>
      </c>
      <c r="B1188" t="s">
        <v>44</v>
      </c>
      <c r="C1188">
        <v>2</v>
      </c>
      <c r="D1188">
        <v>55.8</v>
      </c>
      <c r="E1188">
        <v>111.6</v>
      </c>
      <c r="F1188" s="1">
        <v>45704</v>
      </c>
      <c r="G1188" s="1">
        <v>45706</v>
      </c>
      <c r="H1188" t="s">
        <v>17</v>
      </c>
      <c r="I1188" t="s">
        <v>18</v>
      </c>
      <c r="J1188">
        <v>4</v>
      </c>
      <c r="K1188" t="s">
        <v>19</v>
      </c>
      <c r="L1188" t="s">
        <v>33</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x14ac:dyDescent="0.3">
      <c r="A1189" t="s">
        <v>1286</v>
      </c>
      <c r="B1189" t="s">
        <v>44</v>
      </c>
      <c r="C1189">
        <v>2</v>
      </c>
      <c r="D1189">
        <v>28.1</v>
      </c>
      <c r="E1189">
        <v>56.2</v>
      </c>
      <c r="F1189" s="1">
        <v>45704</v>
      </c>
      <c r="G1189" s="1">
        <v>45705</v>
      </c>
      <c r="H1189" t="s">
        <v>27</v>
      </c>
      <c r="I1189" t="s">
        <v>70</v>
      </c>
      <c r="J1189">
        <v>3</v>
      </c>
      <c r="K1189" t="s">
        <v>19</v>
      </c>
      <c r="L1189" t="s">
        <v>33</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x14ac:dyDescent="0.3">
      <c r="A1190" t="s">
        <v>1287</v>
      </c>
      <c r="B1190" t="s">
        <v>16</v>
      </c>
      <c r="C1190">
        <v>2</v>
      </c>
      <c r="D1190">
        <v>11.6</v>
      </c>
      <c r="E1190">
        <v>23.2</v>
      </c>
      <c r="F1190" s="1">
        <v>45704</v>
      </c>
      <c r="G1190" s="1">
        <v>45706</v>
      </c>
      <c r="H1190" t="s">
        <v>27</v>
      </c>
      <c r="I1190" t="s">
        <v>35</v>
      </c>
      <c r="J1190">
        <v>4</v>
      </c>
      <c r="K1190" t="s">
        <v>19</v>
      </c>
      <c r="L1190" t="s">
        <v>186</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x14ac:dyDescent="0.3">
      <c r="A1191" t="s">
        <v>1288</v>
      </c>
      <c r="B1191" t="s">
        <v>37</v>
      </c>
      <c r="C1191">
        <v>3</v>
      </c>
      <c r="D1191">
        <v>50.4</v>
      </c>
      <c r="E1191">
        <v>151.19999999999999</v>
      </c>
      <c r="F1191" s="1">
        <v>45704</v>
      </c>
      <c r="G1191" s="1">
        <v>45705</v>
      </c>
      <c r="H1191" t="s">
        <v>23</v>
      </c>
      <c r="I1191" t="s">
        <v>70</v>
      </c>
      <c r="J1191">
        <v>5</v>
      </c>
      <c r="K1191" t="s">
        <v>19</v>
      </c>
      <c r="L1191" t="s">
        <v>188</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x14ac:dyDescent="0.3">
      <c r="A1192" t="s">
        <v>1289</v>
      </c>
      <c r="B1192" t="s">
        <v>39</v>
      </c>
      <c r="C1192">
        <v>6</v>
      </c>
      <c r="D1192">
        <v>48.3</v>
      </c>
      <c r="E1192">
        <v>289.79999999999995</v>
      </c>
      <c r="F1192" s="1">
        <v>45704</v>
      </c>
      <c r="G1192" s="1">
        <v>45708</v>
      </c>
      <c r="H1192" t="s">
        <v>27</v>
      </c>
      <c r="I1192" t="s">
        <v>18</v>
      </c>
      <c r="J1192">
        <v>4</v>
      </c>
      <c r="K1192" t="s">
        <v>19</v>
      </c>
      <c r="L1192" t="s">
        <v>188</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x14ac:dyDescent="0.3">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x14ac:dyDescent="0.3">
      <c r="A1194" t="s">
        <v>1291</v>
      </c>
      <c r="B1194" t="s">
        <v>42</v>
      </c>
      <c r="C1194">
        <v>28</v>
      </c>
      <c r="D1194">
        <v>48.5</v>
      </c>
      <c r="E1194">
        <v>1358</v>
      </c>
      <c r="F1194" s="1">
        <v>45704</v>
      </c>
      <c r="G1194" s="1">
        <v>45705</v>
      </c>
      <c r="H1194" t="s">
        <v>23</v>
      </c>
      <c r="I1194" t="s">
        <v>18</v>
      </c>
      <c r="J1194">
        <v>4</v>
      </c>
      <c r="K1194" t="s">
        <v>19</v>
      </c>
      <c r="L1194" t="s">
        <v>52</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x14ac:dyDescent="0.3">
      <c r="A1195" t="s">
        <v>1292</v>
      </c>
      <c r="B1195" t="s">
        <v>26</v>
      </c>
      <c r="C1195">
        <v>5</v>
      </c>
      <c r="D1195">
        <v>62</v>
      </c>
      <c r="E1195">
        <v>310</v>
      </c>
      <c r="F1195" s="1">
        <v>45704</v>
      </c>
      <c r="G1195" s="1">
        <v>45707</v>
      </c>
      <c r="H1195" t="s">
        <v>27</v>
      </c>
      <c r="I1195" t="s">
        <v>35</v>
      </c>
      <c r="J1195">
        <v>4</v>
      </c>
      <c r="K1195" t="s">
        <v>19</v>
      </c>
      <c r="L1195" t="s">
        <v>55</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x14ac:dyDescent="0.3">
      <c r="A1196" t="s">
        <v>1293</v>
      </c>
      <c r="B1196" t="s">
        <v>44</v>
      </c>
      <c r="C1196">
        <v>3</v>
      </c>
      <c r="D1196">
        <v>32.1</v>
      </c>
      <c r="E1196">
        <v>96.300000000000011</v>
      </c>
      <c r="F1196" s="1">
        <v>45705</v>
      </c>
      <c r="G1196" s="1">
        <v>45707</v>
      </c>
      <c r="H1196" t="s">
        <v>23</v>
      </c>
      <c r="I1196" t="s">
        <v>18</v>
      </c>
      <c r="J1196">
        <v>4</v>
      </c>
      <c r="K1196" t="s">
        <v>19</v>
      </c>
      <c r="L1196" t="s">
        <v>55</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x14ac:dyDescent="0.3">
      <c r="A1197" t="s">
        <v>1294</v>
      </c>
      <c r="B1197" t="s">
        <v>69</v>
      </c>
      <c r="C1197">
        <v>3</v>
      </c>
      <c r="D1197">
        <v>106.1</v>
      </c>
      <c r="E1197">
        <v>318.29999999999995</v>
      </c>
      <c r="F1197" s="1">
        <v>45705</v>
      </c>
      <c r="G1197" s="1">
        <v>45707</v>
      </c>
      <c r="H1197" t="s">
        <v>23</v>
      </c>
      <c r="I1197" t="s">
        <v>18</v>
      </c>
      <c r="J1197">
        <v>3</v>
      </c>
      <c r="K1197" t="s">
        <v>19</v>
      </c>
      <c r="L1197" t="s">
        <v>59</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x14ac:dyDescent="0.3">
      <c r="A1198" t="s">
        <v>1295</v>
      </c>
      <c r="B1198" t="s">
        <v>54</v>
      </c>
      <c r="C1198">
        <v>3</v>
      </c>
      <c r="D1198">
        <v>23.5</v>
      </c>
      <c r="E1198">
        <v>70.5</v>
      </c>
      <c r="F1198" s="1">
        <v>45705</v>
      </c>
      <c r="G1198" s="1">
        <v>45708</v>
      </c>
      <c r="H1198" t="s">
        <v>23</v>
      </c>
      <c r="I1198" t="s">
        <v>18</v>
      </c>
      <c r="J1198">
        <v>2</v>
      </c>
      <c r="K1198" t="s">
        <v>19</v>
      </c>
      <c r="L1198" t="s">
        <v>59</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x14ac:dyDescent="0.3">
      <c r="A1199" t="s">
        <v>1296</v>
      </c>
      <c r="B1199" t="s">
        <v>22</v>
      </c>
      <c r="C1199">
        <v>2</v>
      </c>
      <c r="D1199">
        <v>35.6</v>
      </c>
      <c r="E1199">
        <v>71.2</v>
      </c>
      <c r="F1199" s="1">
        <v>45705</v>
      </c>
      <c r="G1199" s="1">
        <v>45710</v>
      </c>
      <c r="H1199" t="s">
        <v>23</v>
      </c>
      <c r="I1199" t="s">
        <v>70</v>
      </c>
      <c r="J1199">
        <v>4</v>
      </c>
      <c r="K1199" t="s">
        <v>19</v>
      </c>
      <c r="L1199" t="s">
        <v>62</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x14ac:dyDescent="0.3">
      <c r="A1200" t="s">
        <v>1297</v>
      </c>
      <c r="B1200" t="s">
        <v>22</v>
      </c>
      <c r="C1200">
        <v>2</v>
      </c>
      <c r="D1200">
        <v>63.5</v>
      </c>
      <c r="E1200">
        <v>127</v>
      </c>
      <c r="F1200" s="1">
        <v>45705</v>
      </c>
      <c r="G1200" s="1">
        <v>45705</v>
      </c>
      <c r="H1200" t="s">
        <v>27</v>
      </c>
      <c r="I1200" t="s">
        <v>35</v>
      </c>
      <c r="J1200">
        <v>5</v>
      </c>
      <c r="K1200" t="s">
        <v>19</v>
      </c>
      <c r="L1200" t="s">
        <v>62</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x14ac:dyDescent="0.3">
      <c r="A1201" t="s">
        <v>1298</v>
      </c>
      <c r="B1201" t="s">
        <v>39</v>
      </c>
      <c r="C1201">
        <v>7</v>
      </c>
      <c r="D1201">
        <v>82.9</v>
      </c>
      <c r="E1201">
        <v>580.30000000000007</v>
      </c>
      <c r="F1201" s="1">
        <v>45705</v>
      </c>
      <c r="G1201" s="1">
        <v>45710</v>
      </c>
      <c r="H1201" t="s">
        <v>27</v>
      </c>
      <c r="I1201" t="s">
        <v>70</v>
      </c>
      <c r="J1201">
        <v>4</v>
      </c>
      <c r="K1201" t="s">
        <v>19</v>
      </c>
      <c r="L1201" t="s">
        <v>72</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x14ac:dyDescent="0.3">
      <c r="A1202" t="s">
        <v>1299</v>
      </c>
      <c r="B1202" t="s">
        <v>39</v>
      </c>
      <c r="C1202">
        <v>2</v>
      </c>
      <c r="D1202">
        <v>83.6</v>
      </c>
      <c r="E1202">
        <v>167.2</v>
      </c>
      <c r="F1202" s="1">
        <v>45705</v>
      </c>
      <c r="G1202" s="1">
        <v>45710</v>
      </c>
      <c r="H1202" t="s">
        <v>27</v>
      </c>
      <c r="I1202" t="s">
        <v>18</v>
      </c>
      <c r="J1202">
        <v>4</v>
      </c>
      <c r="K1202" t="s">
        <v>19</v>
      </c>
      <c r="L1202" t="s">
        <v>77</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x14ac:dyDescent="0.3">
      <c r="A1203" t="s">
        <v>1300</v>
      </c>
      <c r="B1203" t="s">
        <v>32</v>
      </c>
      <c r="C1203">
        <v>2</v>
      </c>
      <c r="D1203">
        <v>29.4</v>
      </c>
      <c r="E1203">
        <v>58.8</v>
      </c>
      <c r="F1203" s="1">
        <v>45705</v>
      </c>
      <c r="G1203" s="1">
        <v>45705</v>
      </c>
      <c r="H1203" t="s">
        <v>27</v>
      </c>
      <c r="I1203" t="s">
        <v>18</v>
      </c>
      <c r="J1203">
        <v>3</v>
      </c>
      <c r="K1203" t="s">
        <v>19</v>
      </c>
      <c r="L1203" t="s">
        <v>268</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x14ac:dyDescent="0.3">
      <c r="A1204" t="s">
        <v>1301</v>
      </c>
      <c r="B1204" t="s">
        <v>26</v>
      </c>
      <c r="C1204">
        <v>3</v>
      </c>
      <c r="D1204">
        <v>107.1</v>
      </c>
      <c r="E1204">
        <v>321.29999999999995</v>
      </c>
      <c r="F1204" s="1">
        <v>45705</v>
      </c>
      <c r="G1204" s="1">
        <v>45709</v>
      </c>
      <c r="H1204" t="s">
        <v>27</v>
      </c>
      <c r="I1204" t="s">
        <v>40</v>
      </c>
      <c r="J1204">
        <v>4</v>
      </c>
      <c r="K1204" t="s">
        <v>19</v>
      </c>
      <c r="L1204" t="s">
        <v>113</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x14ac:dyDescent="0.3">
      <c r="A1205" t="s">
        <v>1302</v>
      </c>
      <c r="B1205" t="s">
        <v>26</v>
      </c>
      <c r="C1205">
        <v>1</v>
      </c>
      <c r="D1205">
        <v>62.7</v>
      </c>
      <c r="E1205">
        <v>62.7</v>
      </c>
      <c r="F1205" s="1">
        <v>45705</v>
      </c>
      <c r="G1205" s="1">
        <v>45709</v>
      </c>
      <c r="H1205" t="s">
        <v>23</v>
      </c>
      <c r="I1205" t="s">
        <v>35</v>
      </c>
      <c r="J1205">
        <v>4</v>
      </c>
      <c r="K1205" t="s">
        <v>19</v>
      </c>
      <c r="L1205" t="s">
        <v>115</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x14ac:dyDescent="0.3">
      <c r="A1206" t="s">
        <v>1303</v>
      </c>
      <c r="B1206" t="s">
        <v>67</v>
      </c>
      <c r="C1206">
        <v>1</v>
      </c>
      <c r="D1206">
        <v>41.6</v>
      </c>
      <c r="E1206">
        <v>41.6</v>
      </c>
      <c r="F1206" s="1">
        <v>45705</v>
      </c>
      <c r="G1206" s="1">
        <v>45706</v>
      </c>
      <c r="H1206" t="s">
        <v>23</v>
      </c>
      <c r="I1206" t="s">
        <v>18</v>
      </c>
      <c r="J1206">
        <v>3</v>
      </c>
      <c r="K1206" t="s">
        <v>19</v>
      </c>
      <c r="L1206" t="s">
        <v>24</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x14ac:dyDescent="0.3">
      <c r="A1207" t="s">
        <v>1304</v>
      </c>
      <c r="B1207" t="s">
        <v>39</v>
      </c>
      <c r="C1207">
        <v>1</v>
      </c>
      <c r="D1207">
        <v>44.2</v>
      </c>
      <c r="E1207">
        <v>44.2</v>
      </c>
      <c r="F1207" s="1">
        <v>45705</v>
      </c>
      <c r="G1207" s="1">
        <v>45706</v>
      </c>
      <c r="H1207" t="s">
        <v>89</v>
      </c>
      <c r="I1207" t="s">
        <v>18</v>
      </c>
      <c r="J1207">
        <v>3</v>
      </c>
      <c r="K1207" t="s">
        <v>19</v>
      </c>
      <c r="L1207" t="s">
        <v>24</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x14ac:dyDescent="0.3">
      <c r="A1208" t="s">
        <v>1305</v>
      </c>
      <c r="B1208" t="s">
        <v>32</v>
      </c>
      <c r="C1208">
        <v>6</v>
      </c>
      <c r="D1208">
        <v>40.4</v>
      </c>
      <c r="E1208">
        <v>242.39999999999998</v>
      </c>
      <c r="F1208" s="1">
        <v>45705</v>
      </c>
      <c r="G1208" s="1">
        <v>45718</v>
      </c>
      <c r="H1208" t="s">
        <v>27</v>
      </c>
      <c r="I1208" t="s">
        <v>40</v>
      </c>
      <c r="J1208">
        <v>4</v>
      </c>
      <c r="K1208" t="s">
        <v>19</v>
      </c>
      <c r="L1208" t="s">
        <v>147</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x14ac:dyDescent="0.3">
      <c r="A1209" t="s">
        <v>1306</v>
      </c>
      <c r="B1209" t="s">
        <v>123</v>
      </c>
      <c r="C1209">
        <v>6</v>
      </c>
      <c r="D1209">
        <v>59.6</v>
      </c>
      <c r="E1209">
        <v>357.6</v>
      </c>
      <c r="F1209" s="1">
        <v>45705</v>
      </c>
      <c r="G1209" s="1">
        <v>45706</v>
      </c>
      <c r="H1209" t="s">
        <v>27</v>
      </c>
      <c r="I1209" t="s">
        <v>70</v>
      </c>
      <c r="J1209">
        <v>4</v>
      </c>
      <c r="K1209" t="s">
        <v>19</v>
      </c>
      <c r="L1209" t="s">
        <v>334</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x14ac:dyDescent="0.3">
      <c r="A1210" t="s">
        <v>1307</v>
      </c>
      <c r="B1210" t="s">
        <v>135</v>
      </c>
      <c r="C1210">
        <v>12</v>
      </c>
      <c r="D1210">
        <v>63.8</v>
      </c>
      <c r="E1210">
        <v>765.59999999999991</v>
      </c>
      <c r="F1210" s="1">
        <v>45705</v>
      </c>
      <c r="G1210" s="1">
        <v>45706</v>
      </c>
      <c r="H1210" t="s">
        <v>23</v>
      </c>
      <c r="I1210" t="s">
        <v>35</v>
      </c>
      <c r="J1210">
        <v>4</v>
      </c>
      <c r="K1210" t="s">
        <v>19</v>
      </c>
      <c r="L1210" t="s">
        <v>33</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x14ac:dyDescent="0.3">
      <c r="A1211" t="s">
        <v>1308</v>
      </c>
      <c r="B1211" t="s">
        <v>46</v>
      </c>
      <c r="C1211">
        <v>6</v>
      </c>
      <c r="D1211">
        <v>30.8</v>
      </c>
      <c r="E1211">
        <v>184.8</v>
      </c>
      <c r="F1211" s="1">
        <v>45705</v>
      </c>
      <c r="G1211" s="1">
        <v>45707</v>
      </c>
      <c r="H1211" t="s">
        <v>23</v>
      </c>
      <c r="I1211" t="s">
        <v>70</v>
      </c>
      <c r="J1211">
        <v>4</v>
      </c>
      <c r="K1211" t="s">
        <v>19</v>
      </c>
      <c r="L1211" t="s">
        <v>33</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x14ac:dyDescent="0.3">
      <c r="A1212" t="s">
        <v>1309</v>
      </c>
      <c r="B1212" t="s">
        <v>22</v>
      </c>
      <c r="C1212">
        <v>2</v>
      </c>
      <c r="D1212">
        <v>41.5</v>
      </c>
      <c r="E1212">
        <v>83</v>
      </c>
      <c r="F1212" s="1">
        <v>45705</v>
      </c>
      <c r="G1212" s="1">
        <v>45708</v>
      </c>
      <c r="H1212" t="s">
        <v>89</v>
      </c>
      <c r="I1212" t="s">
        <v>18</v>
      </c>
      <c r="J1212">
        <v>4</v>
      </c>
      <c r="K1212" t="s">
        <v>19</v>
      </c>
      <c r="L1212" t="s">
        <v>33</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x14ac:dyDescent="0.3">
      <c r="A1213" t="s">
        <v>1310</v>
      </c>
      <c r="B1213" t="s">
        <v>54</v>
      </c>
      <c r="C1213">
        <v>4</v>
      </c>
      <c r="D1213">
        <v>44.7</v>
      </c>
      <c r="E1213">
        <v>178.8</v>
      </c>
      <c r="F1213" s="1">
        <v>45705</v>
      </c>
      <c r="G1213" s="1">
        <v>45707</v>
      </c>
      <c r="H1213" t="s">
        <v>27</v>
      </c>
      <c r="I1213" t="s">
        <v>40</v>
      </c>
      <c r="J1213">
        <v>3</v>
      </c>
      <c r="K1213" t="s">
        <v>19</v>
      </c>
      <c r="L1213" t="s">
        <v>33</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x14ac:dyDescent="0.3">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x14ac:dyDescent="0.3">
      <c r="A1215" t="s">
        <v>1312</v>
      </c>
      <c r="B1215" t="s">
        <v>44</v>
      </c>
      <c r="C1215">
        <v>1</v>
      </c>
      <c r="D1215">
        <v>15.9</v>
      </c>
      <c r="E1215">
        <v>15.9</v>
      </c>
      <c r="F1215" s="1">
        <v>45705</v>
      </c>
      <c r="G1215" s="1">
        <v>45708</v>
      </c>
      <c r="H1215" t="s">
        <v>17</v>
      </c>
      <c r="I1215" t="s">
        <v>35</v>
      </c>
      <c r="J1215">
        <v>4</v>
      </c>
      <c r="K1215" t="s">
        <v>19</v>
      </c>
      <c r="L1215" t="s">
        <v>33</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x14ac:dyDescent="0.3">
      <c r="A1216" t="s">
        <v>1313</v>
      </c>
      <c r="B1216" t="s">
        <v>39</v>
      </c>
      <c r="C1216">
        <v>2</v>
      </c>
      <c r="D1216">
        <v>78.7</v>
      </c>
      <c r="E1216">
        <v>157.4</v>
      </c>
      <c r="F1216" s="1">
        <v>45705</v>
      </c>
      <c r="G1216" s="1">
        <v>45705</v>
      </c>
      <c r="H1216" t="s">
        <v>27</v>
      </c>
      <c r="I1216" t="s">
        <v>40</v>
      </c>
      <c r="J1216">
        <v>3</v>
      </c>
      <c r="K1216" t="s">
        <v>19</v>
      </c>
      <c r="L1216" t="s">
        <v>33</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x14ac:dyDescent="0.3">
      <c r="A1217" t="s">
        <v>1314</v>
      </c>
      <c r="B1217" t="s">
        <v>37</v>
      </c>
      <c r="C1217">
        <v>12</v>
      </c>
      <c r="D1217">
        <v>29.6</v>
      </c>
      <c r="E1217">
        <v>355.20000000000005</v>
      </c>
      <c r="F1217" s="1">
        <v>45705</v>
      </c>
      <c r="G1217" s="1">
        <v>45709</v>
      </c>
      <c r="H1217" t="s">
        <v>23</v>
      </c>
      <c r="I1217" t="s">
        <v>40</v>
      </c>
      <c r="J1217">
        <v>2</v>
      </c>
      <c r="K1217" t="s">
        <v>19</v>
      </c>
      <c r="L1217" t="s">
        <v>33</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x14ac:dyDescent="0.3">
      <c r="A1218" t="s">
        <v>1315</v>
      </c>
      <c r="B1218" t="s">
        <v>44</v>
      </c>
      <c r="C1218">
        <v>4</v>
      </c>
      <c r="D1218">
        <v>21.5</v>
      </c>
      <c r="E1218">
        <v>86</v>
      </c>
      <c r="F1218" s="1">
        <v>45705</v>
      </c>
      <c r="G1218" s="1">
        <v>45708</v>
      </c>
      <c r="H1218" t="s">
        <v>23</v>
      </c>
      <c r="I1218" t="s">
        <v>35</v>
      </c>
      <c r="J1218">
        <v>4</v>
      </c>
      <c r="K1218" t="s">
        <v>19</v>
      </c>
      <c r="L1218" t="s">
        <v>33</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x14ac:dyDescent="0.3">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x14ac:dyDescent="0.3">
      <c r="A1220" t="s">
        <v>1317</v>
      </c>
      <c r="B1220" t="s">
        <v>54</v>
      </c>
      <c r="C1220">
        <v>6</v>
      </c>
      <c r="D1220">
        <v>45</v>
      </c>
      <c r="E1220">
        <v>270</v>
      </c>
      <c r="F1220" s="1">
        <v>45705</v>
      </c>
      <c r="G1220" s="1">
        <v>45710</v>
      </c>
      <c r="H1220" t="s">
        <v>27</v>
      </c>
      <c r="I1220" t="s">
        <v>40</v>
      </c>
      <c r="J1220">
        <v>4</v>
      </c>
      <c r="K1220" t="s">
        <v>19</v>
      </c>
      <c r="L1220" t="s">
        <v>33</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x14ac:dyDescent="0.3">
      <c r="A1221" t="s">
        <v>1318</v>
      </c>
      <c r="B1221" t="s">
        <v>42</v>
      </c>
      <c r="C1221">
        <v>34</v>
      </c>
      <c r="D1221">
        <v>37.9</v>
      </c>
      <c r="E1221">
        <v>1288.5999999999999</v>
      </c>
      <c r="F1221" s="1">
        <v>45705</v>
      </c>
      <c r="G1221" s="1">
        <v>45706</v>
      </c>
      <c r="H1221" t="s">
        <v>23</v>
      </c>
      <c r="I1221" t="s">
        <v>18</v>
      </c>
      <c r="J1221">
        <v>4</v>
      </c>
      <c r="K1221" t="s">
        <v>19</v>
      </c>
      <c r="L1221" t="s">
        <v>33</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x14ac:dyDescent="0.3">
      <c r="A1222" t="s">
        <v>1319</v>
      </c>
      <c r="B1222" t="s">
        <v>39</v>
      </c>
      <c r="C1222">
        <v>3</v>
      </c>
      <c r="D1222">
        <v>56.6</v>
      </c>
      <c r="E1222">
        <v>169.8</v>
      </c>
      <c r="F1222" s="1">
        <v>45705</v>
      </c>
      <c r="G1222" s="1">
        <v>45706</v>
      </c>
      <c r="H1222" t="s">
        <v>23</v>
      </c>
      <c r="I1222" t="s">
        <v>51</v>
      </c>
      <c r="J1222">
        <v>4</v>
      </c>
      <c r="K1222" t="s">
        <v>19</v>
      </c>
      <c r="L1222" t="s">
        <v>33</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x14ac:dyDescent="0.3">
      <c r="A1223" t="s">
        <v>1320</v>
      </c>
      <c r="B1223" t="s">
        <v>30</v>
      </c>
      <c r="C1223">
        <v>13</v>
      </c>
      <c r="D1223">
        <v>84.5</v>
      </c>
      <c r="E1223">
        <v>1098.5</v>
      </c>
      <c r="F1223" s="1">
        <v>45705</v>
      </c>
      <c r="G1223" s="1">
        <v>45708</v>
      </c>
      <c r="H1223" t="s">
        <v>27</v>
      </c>
      <c r="I1223" t="s">
        <v>35</v>
      </c>
      <c r="J1223">
        <v>2</v>
      </c>
      <c r="K1223" t="s">
        <v>19</v>
      </c>
      <c r="L1223" t="s">
        <v>33</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x14ac:dyDescent="0.3">
      <c r="A1224" t="s">
        <v>1321</v>
      </c>
      <c r="B1224" t="s">
        <v>26</v>
      </c>
      <c r="C1224">
        <v>5</v>
      </c>
      <c r="D1224">
        <v>105.4</v>
      </c>
      <c r="E1224">
        <v>527</v>
      </c>
      <c r="F1224" s="1">
        <v>45705</v>
      </c>
      <c r="G1224" s="1">
        <v>45707</v>
      </c>
      <c r="H1224" t="s">
        <v>27</v>
      </c>
      <c r="I1224" t="s">
        <v>35</v>
      </c>
      <c r="J1224">
        <v>3</v>
      </c>
      <c r="K1224" t="s">
        <v>19</v>
      </c>
      <c r="L1224" t="s">
        <v>33</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x14ac:dyDescent="0.3">
      <c r="A1225" t="s">
        <v>1322</v>
      </c>
      <c r="B1225" t="s">
        <v>146</v>
      </c>
      <c r="C1225">
        <v>7</v>
      </c>
      <c r="D1225">
        <v>39.4</v>
      </c>
      <c r="E1225">
        <v>275.8</v>
      </c>
      <c r="F1225" s="1">
        <v>45706</v>
      </c>
      <c r="G1225" s="1">
        <v>45706</v>
      </c>
      <c r="H1225" t="s">
        <v>23</v>
      </c>
      <c r="I1225" t="s">
        <v>35</v>
      </c>
      <c r="J1225">
        <v>4</v>
      </c>
      <c r="K1225" t="s">
        <v>19</v>
      </c>
      <c r="L1225" t="s">
        <v>364</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x14ac:dyDescent="0.3">
      <c r="A1226" t="s">
        <v>1323</v>
      </c>
      <c r="B1226" t="s">
        <v>171</v>
      </c>
      <c r="C1226">
        <v>3</v>
      </c>
      <c r="D1226">
        <v>38</v>
      </c>
      <c r="E1226">
        <v>114</v>
      </c>
      <c r="F1226" s="1">
        <v>45706</v>
      </c>
      <c r="G1226" s="1">
        <v>45709</v>
      </c>
      <c r="H1226" t="s">
        <v>23</v>
      </c>
      <c r="I1226" t="s">
        <v>70</v>
      </c>
      <c r="J1226">
        <v>3</v>
      </c>
      <c r="K1226" t="s">
        <v>19</v>
      </c>
      <c r="L1226" t="s">
        <v>55</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x14ac:dyDescent="0.3">
      <c r="A1227" t="s">
        <v>1324</v>
      </c>
      <c r="B1227" t="s">
        <v>135</v>
      </c>
      <c r="C1227">
        <v>4</v>
      </c>
      <c r="D1227">
        <v>42.5</v>
      </c>
      <c r="E1227">
        <v>170</v>
      </c>
      <c r="F1227" s="1">
        <v>45706</v>
      </c>
      <c r="G1227" s="1">
        <v>45708</v>
      </c>
      <c r="H1227" t="s">
        <v>17</v>
      </c>
      <c r="I1227" t="s">
        <v>18</v>
      </c>
      <c r="J1227">
        <v>4</v>
      </c>
      <c r="K1227" t="s">
        <v>19</v>
      </c>
      <c r="L1227" t="s">
        <v>55</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x14ac:dyDescent="0.3">
      <c r="A1228" t="s">
        <v>1325</v>
      </c>
      <c r="B1228" t="s">
        <v>123</v>
      </c>
      <c r="C1228">
        <v>1</v>
      </c>
      <c r="D1228">
        <v>62.3</v>
      </c>
      <c r="E1228">
        <v>62.3</v>
      </c>
      <c r="F1228" s="1">
        <v>45706</v>
      </c>
      <c r="G1228" s="1">
        <v>45715</v>
      </c>
      <c r="H1228" t="s">
        <v>23</v>
      </c>
      <c r="I1228" t="s">
        <v>18</v>
      </c>
      <c r="J1228">
        <v>5</v>
      </c>
      <c r="K1228" t="s">
        <v>19</v>
      </c>
      <c r="L1228" t="s">
        <v>55</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x14ac:dyDescent="0.3">
      <c r="A1229" t="s">
        <v>1326</v>
      </c>
      <c r="B1229" t="s">
        <v>39</v>
      </c>
      <c r="C1229">
        <v>5</v>
      </c>
      <c r="D1229">
        <v>49.1</v>
      </c>
      <c r="E1229">
        <v>245.5</v>
      </c>
      <c r="F1229" s="1">
        <v>45706</v>
      </c>
      <c r="G1229" s="1">
        <v>45708</v>
      </c>
      <c r="H1229" t="s">
        <v>27</v>
      </c>
      <c r="I1229" t="s">
        <v>35</v>
      </c>
      <c r="J1229">
        <v>5</v>
      </c>
      <c r="K1229" t="s">
        <v>19</v>
      </c>
      <c r="L1229" t="s">
        <v>59</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x14ac:dyDescent="0.3">
      <c r="A1230" t="s">
        <v>1327</v>
      </c>
      <c r="B1230" t="s">
        <v>30</v>
      </c>
      <c r="C1230">
        <v>2</v>
      </c>
      <c r="D1230">
        <v>30.5</v>
      </c>
      <c r="E1230">
        <v>61</v>
      </c>
      <c r="F1230" s="1">
        <v>45706</v>
      </c>
      <c r="G1230" s="1">
        <v>45709</v>
      </c>
      <c r="H1230" t="s">
        <v>23</v>
      </c>
      <c r="I1230" t="s">
        <v>18</v>
      </c>
      <c r="J1230">
        <v>5</v>
      </c>
      <c r="K1230" t="s">
        <v>19</v>
      </c>
      <c r="L1230" t="s">
        <v>62</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x14ac:dyDescent="0.3">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x14ac:dyDescent="0.3">
      <c r="A1232" t="s">
        <v>1329</v>
      </c>
      <c r="B1232" t="s">
        <v>39</v>
      </c>
      <c r="C1232">
        <v>1</v>
      </c>
      <c r="D1232">
        <v>45</v>
      </c>
      <c r="E1232">
        <v>45</v>
      </c>
      <c r="F1232" s="1">
        <v>45706</v>
      </c>
      <c r="G1232" s="1">
        <v>45710</v>
      </c>
      <c r="H1232" t="s">
        <v>23</v>
      </c>
      <c r="I1232" t="s">
        <v>51</v>
      </c>
      <c r="J1232">
        <v>3</v>
      </c>
      <c r="K1232" t="s">
        <v>19</v>
      </c>
      <c r="L1232" t="s">
        <v>62</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x14ac:dyDescent="0.3">
      <c r="A1233" t="s">
        <v>1330</v>
      </c>
      <c r="B1233" t="s">
        <v>16</v>
      </c>
      <c r="C1233">
        <v>7</v>
      </c>
      <c r="D1233">
        <v>15.3</v>
      </c>
      <c r="E1233">
        <v>107.10000000000001</v>
      </c>
      <c r="F1233" s="1">
        <v>45706</v>
      </c>
      <c r="G1233" s="1">
        <v>45707</v>
      </c>
      <c r="H1233" t="s">
        <v>23</v>
      </c>
      <c r="I1233" t="s">
        <v>18</v>
      </c>
      <c r="J1233">
        <v>5</v>
      </c>
      <c r="K1233" t="s">
        <v>19</v>
      </c>
      <c r="L1233" t="s">
        <v>62</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x14ac:dyDescent="0.3">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x14ac:dyDescent="0.3">
      <c r="A1235" t="s">
        <v>1332</v>
      </c>
      <c r="B1235" t="s">
        <v>46</v>
      </c>
      <c r="C1235">
        <v>2</v>
      </c>
      <c r="D1235">
        <v>49.7</v>
      </c>
      <c r="E1235">
        <v>99.4</v>
      </c>
      <c r="F1235" s="1">
        <v>45706</v>
      </c>
      <c r="G1235" s="1">
        <v>45708</v>
      </c>
      <c r="H1235" t="s">
        <v>89</v>
      </c>
      <c r="I1235" t="s">
        <v>70</v>
      </c>
      <c r="J1235">
        <v>4</v>
      </c>
      <c r="K1235" t="s">
        <v>19</v>
      </c>
      <c r="L1235" t="s">
        <v>74</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x14ac:dyDescent="0.3">
      <c r="A1236" t="s">
        <v>1333</v>
      </c>
      <c r="B1236" t="s">
        <v>54</v>
      </c>
      <c r="C1236">
        <v>1</v>
      </c>
      <c r="D1236">
        <v>29</v>
      </c>
      <c r="E1236">
        <v>29</v>
      </c>
      <c r="F1236" s="1">
        <v>45706</v>
      </c>
      <c r="G1236" s="1">
        <v>45707</v>
      </c>
      <c r="H1236" t="s">
        <v>23</v>
      </c>
      <c r="I1236" t="s">
        <v>18</v>
      </c>
      <c r="J1236">
        <v>4</v>
      </c>
      <c r="K1236" t="s">
        <v>19</v>
      </c>
      <c r="L1236" t="s">
        <v>77</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x14ac:dyDescent="0.3">
      <c r="A1237" t="s">
        <v>1334</v>
      </c>
      <c r="B1237" t="s">
        <v>22</v>
      </c>
      <c r="C1237">
        <v>1</v>
      </c>
      <c r="D1237">
        <v>60.7</v>
      </c>
      <c r="E1237">
        <v>60.7</v>
      </c>
      <c r="F1237" s="1">
        <v>45706</v>
      </c>
      <c r="G1237" s="1">
        <v>45707</v>
      </c>
      <c r="H1237" t="s">
        <v>89</v>
      </c>
      <c r="I1237" t="s">
        <v>18</v>
      </c>
      <c r="J1237">
        <v>3</v>
      </c>
      <c r="K1237" t="s">
        <v>19</v>
      </c>
      <c r="L1237" t="s">
        <v>77</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x14ac:dyDescent="0.3">
      <c r="A1238" t="s">
        <v>1335</v>
      </c>
      <c r="B1238" t="s">
        <v>135</v>
      </c>
      <c r="C1238">
        <v>4</v>
      </c>
      <c r="D1238">
        <v>87.4</v>
      </c>
      <c r="E1238">
        <v>349.6</v>
      </c>
      <c r="F1238" s="1">
        <v>45706</v>
      </c>
      <c r="G1238" s="1">
        <v>45708</v>
      </c>
      <c r="H1238" t="s">
        <v>17</v>
      </c>
      <c r="I1238" t="s">
        <v>18</v>
      </c>
      <c r="J1238">
        <v>4</v>
      </c>
      <c r="K1238" t="s">
        <v>19</v>
      </c>
      <c r="L1238" t="s">
        <v>77</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x14ac:dyDescent="0.3">
      <c r="A1239" t="s">
        <v>1336</v>
      </c>
      <c r="B1239" t="s">
        <v>32</v>
      </c>
      <c r="C1239">
        <v>7</v>
      </c>
      <c r="D1239">
        <v>44.5</v>
      </c>
      <c r="E1239">
        <v>311.5</v>
      </c>
      <c r="F1239" s="1">
        <v>45706</v>
      </c>
      <c r="G1239" s="1">
        <v>45710</v>
      </c>
      <c r="H1239" t="s">
        <v>27</v>
      </c>
      <c r="I1239" t="s">
        <v>40</v>
      </c>
      <c r="J1239">
        <v>5</v>
      </c>
      <c r="K1239" t="s">
        <v>19</v>
      </c>
      <c r="L1239" t="s">
        <v>110</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x14ac:dyDescent="0.3">
      <c r="A1240" t="s">
        <v>1337</v>
      </c>
      <c r="B1240" t="s">
        <v>26</v>
      </c>
      <c r="C1240">
        <v>1</v>
      </c>
      <c r="D1240">
        <v>141</v>
      </c>
      <c r="E1240">
        <v>141</v>
      </c>
      <c r="F1240" s="1">
        <v>45706</v>
      </c>
      <c r="G1240" s="1">
        <v>45707</v>
      </c>
      <c r="H1240" t="s">
        <v>23</v>
      </c>
      <c r="I1240" t="s">
        <v>70</v>
      </c>
      <c r="J1240">
        <v>5</v>
      </c>
      <c r="K1240" t="s">
        <v>19</v>
      </c>
      <c r="L1240" t="s">
        <v>110</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x14ac:dyDescent="0.3">
      <c r="A1241" t="s">
        <v>1338</v>
      </c>
      <c r="B1241" t="s">
        <v>16</v>
      </c>
      <c r="C1241">
        <v>3</v>
      </c>
      <c r="D1241">
        <v>16.7</v>
      </c>
      <c r="E1241">
        <v>50.099999999999994</v>
      </c>
      <c r="F1241" s="1">
        <v>45706</v>
      </c>
      <c r="G1241" s="1">
        <v>45714</v>
      </c>
      <c r="H1241" t="s">
        <v>27</v>
      </c>
      <c r="I1241" t="s">
        <v>18</v>
      </c>
      <c r="J1241">
        <v>4</v>
      </c>
      <c r="K1241" t="s">
        <v>19</v>
      </c>
      <c r="L1241" t="s">
        <v>113</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x14ac:dyDescent="0.3">
      <c r="A1242" t="s">
        <v>1339</v>
      </c>
      <c r="B1242" t="s">
        <v>22</v>
      </c>
      <c r="C1242">
        <v>2</v>
      </c>
      <c r="D1242">
        <v>77.5</v>
      </c>
      <c r="E1242">
        <v>155</v>
      </c>
      <c r="F1242" s="1">
        <v>45706</v>
      </c>
      <c r="G1242" s="1">
        <v>45707</v>
      </c>
      <c r="H1242" t="s">
        <v>17</v>
      </c>
      <c r="I1242" t="s">
        <v>40</v>
      </c>
      <c r="J1242">
        <v>5</v>
      </c>
      <c r="K1242" t="s">
        <v>19</v>
      </c>
      <c r="L1242" t="s">
        <v>82</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x14ac:dyDescent="0.3">
      <c r="A1243" t="s">
        <v>1340</v>
      </c>
      <c r="B1243" t="s">
        <v>26</v>
      </c>
      <c r="C1243">
        <v>2</v>
      </c>
      <c r="D1243">
        <v>163</v>
      </c>
      <c r="E1243">
        <v>326</v>
      </c>
      <c r="F1243" s="1">
        <v>45706</v>
      </c>
      <c r="G1243" s="1">
        <v>45712</v>
      </c>
      <c r="H1243" t="s">
        <v>27</v>
      </c>
      <c r="I1243" t="s">
        <v>70</v>
      </c>
      <c r="J1243">
        <v>4</v>
      </c>
      <c r="K1243" t="s">
        <v>19</v>
      </c>
      <c r="L1243" t="s">
        <v>115</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x14ac:dyDescent="0.3">
      <c r="A1244" t="s">
        <v>1341</v>
      </c>
      <c r="B1244" t="s">
        <v>32</v>
      </c>
      <c r="C1244">
        <v>9</v>
      </c>
      <c r="D1244">
        <v>21.4</v>
      </c>
      <c r="E1244">
        <v>192.6</v>
      </c>
      <c r="F1244" s="1">
        <v>45706</v>
      </c>
      <c r="G1244" s="1">
        <v>45709</v>
      </c>
      <c r="H1244" t="s">
        <v>27</v>
      </c>
      <c r="I1244" t="s">
        <v>18</v>
      </c>
      <c r="J1244">
        <v>4</v>
      </c>
      <c r="K1244" t="s">
        <v>19</v>
      </c>
      <c r="L1244" t="s">
        <v>967</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x14ac:dyDescent="0.3">
      <c r="A1245" t="s">
        <v>1342</v>
      </c>
      <c r="B1245" t="s">
        <v>54</v>
      </c>
      <c r="C1245">
        <v>11</v>
      </c>
      <c r="D1245">
        <v>31</v>
      </c>
      <c r="E1245">
        <v>341</v>
      </c>
      <c r="F1245" s="1">
        <v>45706</v>
      </c>
      <c r="G1245" s="1">
        <v>45708</v>
      </c>
      <c r="H1245" t="s">
        <v>27</v>
      </c>
      <c r="I1245" t="s">
        <v>51</v>
      </c>
      <c r="J1245">
        <v>5</v>
      </c>
      <c r="K1245" t="s">
        <v>19</v>
      </c>
      <c r="L1245" t="s">
        <v>24</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x14ac:dyDescent="0.3">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x14ac:dyDescent="0.3">
      <c r="A1247" t="s">
        <v>1344</v>
      </c>
      <c r="B1247" t="s">
        <v>135</v>
      </c>
      <c r="C1247">
        <v>5</v>
      </c>
      <c r="D1247">
        <v>48.2</v>
      </c>
      <c r="E1247">
        <v>241</v>
      </c>
      <c r="F1247" s="1">
        <v>45706</v>
      </c>
      <c r="G1247" s="1">
        <v>45707</v>
      </c>
      <c r="H1247" t="s">
        <v>23</v>
      </c>
      <c r="I1247" t="s">
        <v>35</v>
      </c>
      <c r="J1247">
        <v>3</v>
      </c>
      <c r="K1247" t="s">
        <v>19</v>
      </c>
      <c r="L1247" t="s">
        <v>28</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x14ac:dyDescent="0.3">
      <c r="A1248" t="s">
        <v>1345</v>
      </c>
      <c r="B1248" t="s">
        <v>54</v>
      </c>
      <c r="C1248">
        <v>1</v>
      </c>
      <c r="D1248">
        <v>51.4</v>
      </c>
      <c r="E1248">
        <v>51.4</v>
      </c>
      <c r="F1248" s="1">
        <v>45706</v>
      </c>
      <c r="G1248" s="1">
        <v>45707</v>
      </c>
      <c r="H1248" t="s">
        <v>23</v>
      </c>
      <c r="I1248" t="s">
        <v>18</v>
      </c>
      <c r="J1248">
        <v>4</v>
      </c>
      <c r="K1248" t="s">
        <v>19</v>
      </c>
      <c r="L1248" t="s">
        <v>33</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x14ac:dyDescent="0.3">
      <c r="A1249" t="s">
        <v>1346</v>
      </c>
      <c r="B1249" t="s">
        <v>26</v>
      </c>
      <c r="C1249">
        <v>5</v>
      </c>
      <c r="D1249">
        <v>117.2</v>
      </c>
      <c r="E1249">
        <v>586</v>
      </c>
      <c r="F1249" s="1">
        <v>45706</v>
      </c>
      <c r="G1249" s="1">
        <v>45709</v>
      </c>
      <c r="H1249" t="s">
        <v>27</v>
      </c>
      <c r="I1249" t="s">
        <v>70</v>
      </c>
      <c r="J1249">
        <v>2</v>
      </c>
      <c r="K1249" t="s">
        <v>19</v>
      </c>
      <c r="L1249" t="s">
        <v>33</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x14ac:dyDescent="0.3">
      <c r="A1250" t="s">
        <v>1347</v>
      </c>
      <c r="B1250" t="s">
        <v>44</v>
      </c>
      <c r="C1250">
        <v>1</v>
      </c>
      <c r="D1250">
        <v>38.1</v>
      </c>
      <c r="E1250">
        <v>38.1</v>
      </c>
      <c r="F1250" s="1">
        <v>45706</v>
      </c>
      <c r="G1250" s="1">
        <v>45706</v>
      </c>
      <c r="H1250" t="s">
        <v>23</v>
      </c>
      <c r="I1250" t="s">
        <v>70</v>
      </c>
      <c r="J1250">
        <v>3</v>
      </c>
      <c r="K1250" t="s">
        <v>19</v>
      </c>
      <c r="L1250" t="s">
        <v>33</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x14ac:dyDescent="0.3">
      <c r="A1251" t="s">
        <v>1348</v>
      </c>
      <c r="B1251" t="s">
        <v>16</v>
      </c>
      <c r="C1251">
        <v>2</v>
      </c>
      <c r="D1251">
        <v>44.1</v>
      </c>
      <c r="E1251">
        <v>88.2</v>
      </c>
      <c r="F1251" s="1">
        <v>45706</v>
      </c>
      <c r="G1251" s="1">
        <v>45708</v>
      </c>
      <c r="H1251" t="s">
        <v>27</v>
      </c>
      <c r="I1251" t="s">
        <v>40</v>
      </c>
      <c r="J1251">
        <v>4</v>
      </c>
      <c r="K1251" t="s">
        <v>19</v>
      </c>
      <c r="L1251" t="s">
        <v>33</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x14ac:dyDescent="0.3">
      <c r="A1252" t="s">
        <v>1349</v>
      </c>
      <c r="B1252" t="s">
        <v>123</v>
      </c>
      <c r="C1252">
        <v>4</v>
      </c>
      <c r="D1252">
        <v>80.5</v>
      </c>
      <c r="E1252">
        <v>322</v>
      </c>
      <c r="F1252" s="1">
        <v>45706</v>
      </c>
      <c r="G1252" s="1">
        <v>45711</v>
      </c>
      <c r="H1252" t="s">
        <v>23</v>
      </c>
      <c r="I1252" t="s">
        <v>18</v>
      </c>
      <c r="J1252">
        <v>4</v>
      </c>
      <c r="K1252" t="s">
        <v>19</v>
      </c>
      <c r="L1252" t="s">
        <v>33</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x14ac:dyDescent="0.3">
      <c r="A1253" t="s">
        <v>1350</v>
      </c>
      <c r="B1253" t="s">
        <v>146</v>
      </c>
      <c r="C1253">
        <v>4</v>
      </c>
      <c r="D1253">
        <v>33.6</v>
      </c>
      <c r="E1253">
        <v>134.4</v>
      </c>
      <c r="F1253" s="1">
        <v>45706</v>
      </c>
      <c r="G1253" s="1">
        <v>45711</v>
      </c>
      <c r="H1253" t="s">
        <v>17</v>
      </c>
      <c r="I1253" t="s">
        <v>18</v>
      </c>
      <c r="J1253">
        <v>5</v>
      </c>
      <c r="K1253" t="s">
        <v>19</v>
      </c>
      <c r="L1253" t="s">
        <v>33</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x14ac:dyDescent="0.3">
      <c r="A1254" t="s">
        <v>1351</v>
      </c>
      <c r="B1254" t="s">
        <v>46</v>
      </c>
      <c r="C1254">
        <v>9</v>
      </c>
      <c r="D1254">
        <v>41.8</v>
      </c>
      <c r="E1254">
        <v>376.2</v>
      </c>
      <c r="F1254" s="1">
        <v>45706</v>
      </c>
      <c r="G1254" s="1">
        <v>45707</v>
      </c>
      <c r="H1254" t="s">
        <v>27</v>
      </c>
      <c r="I1254" t="s">
        <v>18</v>
      </c>
      <c r="J1254">
        <v>3</v>
      </c>
      <c r="K1254" t="s">
        <v>19</v>
      </c>
      <c r="L1254" t="s">
        <v>33</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x14ac:dyDescent="0.3">
      <c r="A1255" t="s">
        <v>1352</v>
      </c>
      <c r="B1255" t="s">
        <v>22</v>
      </c>
      <c r="C1255">
        <v>2</v>
      </c>
      <c r="D1255">
        <v>106.2</v>
      </c>
      <c r="E1255">
        <v>212.4</v>
      </c>
      <c r="F1255" s="1">
        <v>45706</v>
      </c>
      <c r="G1255" s="1">
        <v>45706</v>
      </c>
      <c r="H1255" t="s">
        <v>27</v>
      </c>
      <c r="I1255" t="s">
        <v>70</v>
      </c>
      <c r="J1255">
        <v>5</v>
      </c>
      <c r="K1255" t="s">
        <v>19</v>
      </c>
      <c r="L1255" t="s">
        <v>33</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x14ac:dyDescent="0.3">
      <c r="A1256" t="s">
        <v>1353</v>
      </c>
      <c r="B1256" t="s">
        <v>22</v>
      </c>
      <c r="C1256">
        <v>2</v>
      </c>
      <c r="D1256">
        <v>52.6</v>
      </c>
      <c r="E1256">
        <v>105.2</v>
      </c>
      <c r="F1256" s="1">
        <v>45706</v>
      </c>
      <c r="G1256" s="1">
        <v>45707</v>
      </c>
      <c r="H1256" t="s">
        <v>27</v>
      </c>
      <c r="I1256" t="s">
        <v>18</v>
      </c>
      <c r="J1256">
        <v>5</v>
      </c>
      <c r="K1256" t="s">
        <v>19</v>
      </c>
      <c r="L1256" t="s">
        <v>52</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x14ac:dyDescent="0.3">
      <c r="A1257" t="s">
        <v>1354</v>
      </c>
      <c r="B1257" t="s">
        <v>67</v>
      </c>
      <c r="C1257">
        <v>7</v>
      </c>
      <c r="D1257">
        <v>68.5</v>
      </c>
      <c r="E1257">
        <v>479.5</v>
      </c>
      <c r="F1257" s="1">
        <v>45706</v>
      </c>
      <c r="G1257" s="1">
        <v>45707</v>
      </c>
      <c r="H1257" t="s">
        <v>27</v>
      </c>
      <c r="I1257" t="s">
        <v>35</v>
      </c>
      <c r="J1257">
        <v>4</v>
      </c>
      <c r="K1257" t="s">
        <v>19</v>
      </c>
      <c r="L1257" t="s">
        <v>52</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x14ac:dyDescent="0.3">
      <c r="A1258" t="s">
        <v>1355</v>
      </c>
      <c r="B1258" t="s">
        <v>22</v>
      </c>
      <c r="C1258">
        <v>2</v>
      </c>
      <c r="D1258">
        <v>55.6</v>
      </c>
      <c r="E1258">
        <v>111.2</v>
      </c>
      <c r="F1258" s="1">
        <v>45706</v>
      </c>
      <c r="G1258" s="1">
        <v>45708</v>
      </c>
      <c r="H1258" t="s">
        <v>23</v>
      </c>
      <c r="I1258" t="s">
        <v>35</v>
      </c>
      <c r="J1258">
        <v>5</v>
      </c>
      <c r="K1258" t="s">
        <v>19</v>
      </c>
      <c r="L1258" t="s">
        <v>55</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x14ac:dyDescent="0.3">
      <c r="A1259" t="s">
        <v>1356</v>
      </c>
      <c r="B1259" t="s">
        <v>26</v>
      </c>
      <c r="C1259">
        <v>3</v>
      </c>
      <c r="D1259">
        <v>134.9</v>
      </c>
      <c r="E1259">
        <v>404.70000000000005</v>
      </c>
      <c r="F1259" s="1">
        <v>45706</v>
      </c>
      <c r="G1259" s="1">
        <v>45707</v>
      </c>
      <c r="H1259" t="s">
        <v>23</v>
      </c>
      <c r="I1259" t="s">
        <v>35</v>
      </c>
      <c r="J1259">
        <v>3</v>
      </c>
      <c r="K1259" t="s">
        <v>19</v>
      </c>
      <c r="L1259" t="s">
        <v>55</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x14ac:dyDescent="0.3">
      <c r="A1260" t="s">
        <v>1357</v>
      </c>
      <c r="B1260" t="s">
        <v>54</v>
      </c>
      <c r="C1260">
        <v>5</v>
      </c>
      <c r="D1260">
        <v>42.6</v>
      </c>
      <c r="E1260">
        <v>213</v>
      </c>
      <c r="F1260" s="1">
        <v>45706</v>
      </c>
      <c r="G1260" s="1">
        <v>45707</v>
      </c>
      <c r="H1260" t="s">
        <v>23</v>
      </c>
      <c r="I1260" t="s">
        <v>18</v>
      </c>
      <c r="J1260">
        <v>4</v>
      </c>
      <c r="K1260" t="s">
        <v>19</v>
      </c>
      <c r="L1260" t="s">
        <v>55</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x14ac:dyDescent="0.3">
      <c r="A1261" t="s">
        <v>1358</v>
      </c>
      <c r="B1261" t="s">
        <v>42</v>
      </c>
      <c r="C1261">
        <v>5</v>
      </c>
      <c r="D1261">
        <v>60.6</v>
      </c>
      <c r="E1261">
        <v>303</v>
      </c>
      <c r="F1261" s="1">
        <v>45706</v>
      </c>
      <c r="G1261" s="1">
        <v>45708</v>
      </c>
      <c r="H1261" t="s">
        <v>23</v>
      </c>
      <c r="I1261" t="s">
        <v>70</v>
      </c>
      <c r="J1261">
        <v>4</v>
      </c>
      <c r="K1261" t="s">
        <v>19</v>
      </c>
      <c r="L1261" t="s">
        <v>55</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x14ac:dyDescent="0.3">
      <c r="A1262" t="s">
        <v>1359</v>
      </c>
      <c r="B1262" t="s">
        <v>44</v>
      </c>
      <c r="C1262">
        <v>2</v>
      </c>
      <c r="D1262">
        <v>43.5</v>
      </c>
      <c r="E1262">
        <v>87</v>
      </c>
      <c r="F1262" s="1">
        <v>45706</v>
      </c>
      <c r="G1262" s="1">
        <v>45707</v>
      </c>
      <c r="H1262" t="s">
        <v>23</v>
      </c>
      <c r="I1262" t="s">
        <v>70</v>
      </c>
      <c r="J1262">
        <v>4</v>
      </c>
      <c r="K1262" t="s">
        <v>19</v>
      </c>
      <c r="L1262" t="s">
        <v>59</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x14ac:dyDescent="0.3">
      <c r="A1263" t="s">
        <v>1360</v>
      </c>
      <c r="B1263" t="s">
        <v>26</v>
      </c>
      <c r="C1263">
        <v>2</v>
      </c>
      <c r="D1263">
        <v>187.1</v>
      </c>
      <c r="E1263">
        <v>374.2</v>
      </c>
      <c r="F1263" s="1">
        <v>45706</v>
      </c>
      <c r="G1263" s="1">
        <v>45707</v>
      </c>
      <c r="H1263" t="s">
        <v>23</v>
      </c>
      <c r="I1263" t="s">
        <v>35</v>
      </c>
      <c r="J1263">
        <v>5</v>
      </c>
      <c r="K1263" t="s">
        <v>19</v>
      </c>
      <c r="L1263" t="s">
        <v>62</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x14ac:dyDescent="0.3">
      <c r="A1264" t="s">
        <v>1361</v>
      </c>
      <c r="B1264" t="s">
        <v>46</v>
      </c>
      <c r="C1264">
        <v>3</v>
      </c>
      <c r="D1264">
        <v>32</v>
      </c>
      <c r="E1264">
        <v>96</v>
      </c>
      <c r="F1264" s="1">
        <v>45706</v>
      </c>
      <c r="G1264" s="1">
        <v>45708</v>
      </c>
      <c r="H1264" t="s">
        <v>23</v>
      </c>
      <c r="I1264" t="s">
        <v>18</v>
      </c>
      <c r="J1264">
        <v>4</v>
      </c>
      <c r="K1264" t="s">
        <v>19</v>
      </c>
      <c r="L1264" t="s">
        <v>62</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x14ac:dyDescent="0.3">
      <c r="A1265" t="s">
        <v>1362</v>
      </c>
      <c r="B1265" t="s">
        <v>46</v>
      </c>
      <c r="C1265">
        <v>2</v>
      </c>
      <c r="D1265">
        <v>110.8</v>
      </c>
      <c r="E1265">
        <v>221.6</v>
      </c>
      <c r="F1265" s="1">
        <v>45706</v>
      </c>
      <c r="G1265" s="1">
        <v>45706</v>
      </c>
      <c r="H1265" t="s">
        <v>23</v>
      </c>
      <c r="I1265" t="s">
        <v>18</v>
      </c>
      <c r="J1265">
        <v>5</v>
      </c>
      <c r="K1265" t="s">
        <v>19</v>
      </c>
      <c r="L1265" t="s">
        <v>62</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x14ac:dyDescent="0.3">
      <c r="A1266" t="s">
        <v>1363</v>
      </c>
      <c r="B1266" t="s">
        <v>54</v>
      </c>
      <c r="C1266">
        <v>13</v>
      </c>
      <c r="D1266">
        <v>36.1</v>
      </c>
      <c r="E1266">
        <v>469.3</v>
      </c>
      <c r="F1266" s="1">
        <v>45706</v>
      </c>
      <c r="G1266" s="1">
        <v>45709</v>
      </c>
      <c r="H1266" t="s">
        <v>27</v>
      </c>
      <c r="I1266" t="s">
        <v>18</v>
      </c>
      <c r="J1266">
        <v>3</v>
      </c>
      <c r="K1266" t="s">
        <v>19</v>
      </c>
      <c r="L1266" t="s">
        <v>62</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x14ac:dyDescent="0.3">
      <c r="A1267" t="s">
        <v>1364</v>
      </c>
      <c r="B1267" t="s">
        <v>16</v>
      </c>
      <c r="C1267">
        <v>1</v>
      </c>
      <c r="D1267">
        <v>24.1</v>
      </c>
      <c r="E1267">
        <v>24.1</v>
      </c>
      <c r="F1267" s="1">
        <v>45706</v>
      </c>
      <c r="G1267" s="1">
        <v>45708</v>
      </c>
      <c r="H1267" t="s">
        <v>27</v>
      </c>
      <c r="I1267" t="s">
        <v>70</v>
      </c>
      <c r="J1267">
        <v>5</v>
      </c>
      <c r="K1267" t="s">
        <v>19</v>
      </c>
      <c r="L1267" t="s">
        <v>62</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x14ac:dyDescent="0.3">
      <c r="A1268" t="s">
        <v>1365</v>
      </c>
      <c r="B1268" t="s">
        <v>171</v>
      </c>
      <c r="C1268">
        <v>3</v>
      </c>
      <c r="D1268">
        <v>30.5</v>
      </c>
      <c r="E1268">
        <v>91.5</v>
      </c>
      <c r="F1268" s="1">
        <v>45706</v>
      </c>
      <c r="G1268" s="1">
        <v>45708</v>
      </c>
      <c r="H1268" t="s">
        <v>23</v>
      </c>
      <c r="I1268" t="s">
        <v>35</v>
      </c>
      <c r="J1268">
        <v>4</v>
      </c>
      <c r="K1268" t="s">
        <v>19</v>
      </c>
      <c r="L1268" t="s">
        <v>62</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x14ac:dyDescent="0.3">
      <c r="A1269" t="s">
        <v>1366</v>
      </c>
      <c r="B1269" t="s">
        <v>146</v>
      </c>
      <c r="C1269">
        <v>6</v>
      </c>
      <c r="D1269">
        <v>68.3</v>
      </c>
      <c r="E1269">
        <v>409.79999999999995</v>
      </c>
      <c r="F1269" s="1">
        <v>45706</v>
      </c>
      <c r="G1269" s="1">
        <v>45709</v>
      </c>
      <c r="H1269" t="s">
        <v>23</v>
      </c>
      <c r="I1269" t="s">
        <v>18</v>
      </c>
      <c r="J1269">
        <v>4</v>
      </c>
      <c r="K1269" t="s">
        <v>19</v>
      </c>
      <c r="L1269" t="s">
        <v>62</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x14ac:dyDescent="0.3">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x14ac:dyDescent="0.3">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x14ac:dyDescent="0.3">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x14ac:dyDescent="0.3">
      <c r="A1273" t="s">
        <v>1370</v>
      </c>
      <c r="B1273" t="s">
        <v>128</v>
      </c>
      <c r="C1273">
        <v>2</v>
      </c>
      <c r="D1273">
        <v>51</v>
      </c>
      <c r="E1273">
        <v>102</v>
      </c>
      <c r="F1273" s="1">
        <v>45706</v>
      </c>
      <c r="G1273" s="1">
        <v>45706</v>
      </c>
      <c r="H1273" t="s">
        <v>23</v>
      </c>
      <c r="I1273" t="s">
        <v>35</v>
      </c>
      <c r="J1273">
        <v>4</v>
      </c>
      <c r="K1273" t="s">
        <v>19</v>
      </c>
      <c r="L1273" t="s">
        <v>201</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x14ac:dyDescent="0.3">
      <c r="A1274" t="s">
        <v>1371</v>
      </c>
      <c r="B1274" t="s">
        <v>32</v>
      </c>
      <c r="C1274">
        <v>2</v>
      </c>
      <c r="D1274">
        <v>23.1</v>
      </c>
      <c r="E1274">
        <v>46.2</v>
      </c>
      <c r="F1274" s="1">
        <v>45706</v>
      </c>
      <c r="G1274" s="1">
        <v>45709</v>
      </c>
      <c r="H1274" t="s">
        <v>23</v>
      </c>
      <c r="I1274" t="s">
        <v>35</v>
      </c>
      <c r="J1274">
        <v>4</v>
      </c>
      <c r="K1274" t="s">
        <v>19</v>
      </c>
      <c r="L1274" t="s">
        <v>74</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x14ac:dyDescent="0.3">
      <c r="A1275" t="s">
        <v>1372</v>
      </c>
      <c r="B1275" t="s">
        <v>69</v>
      </c>
      <c r="C1275">
        <v>6</v>
      </c>
      <c r="D1275">
        <v>60.1</v>
      </c>
      <c r="E1275">
        <v>360.6</v>
      </c>
      <c r="F1275" s="1">
        <v>45706</v>
      </c>
      <c r="G1275" s="1">
        <v>45706</v>
      </c>
      <c r="H1275" t="s">
        <v>27</v>
      </c>
      <c r="I1275" t="s">
        <v>51</v>
      </c>
      <c r="J1275">
        <v>4</v>
      </c>
      <c r="K1275" t="s">
        <v>19</v>
      </c>
      <c r="L1275" t="s">
        <v>77</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x14ac:dyDescent="0.3">
      <c r="A1276" t="s">
        <v>1373</v>
      </c>
      <c r="B1276" t="s">
        <v>26</v>
      </c>
      <c r="C1276">
        <v>7</v>
      </c>
      <c r="D1276">
        <v>87.5</v>
      </c>
      <c r="E1276">
        <v>612.5</v>
      </c>
      <c r="F1276" s="1">
        <v>45706</v>
      </c>
      <c r="G1276" s="1">
        <v>45708</v>
      </c>
      <c r="H1276" t="s">
        <v>27</v>
      </c>
      <c r="I1276" t="s">
        <v>18</v>
      </c>
      <c r="J1276">
        <v>3</v>
      </c>
      <c r="K1276" t="s">
        <v>19</v>
      </c>
      <c r="L1276" t="s">
        <v>77</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x14ac:dyDescent="0.3">
      <c r="A1277" t="s">
        <v>1374</v>
      </c>
      <c r="B1277" t="s">
        <v>22</v>
      </c>
      <c r="C1277">
        <v>3</v>
      </c>
      <c r="D1277">
        <v>51</v>
      </c>
      <c r="E1277">
        <v>153</v>
      </c>
      <c r="F1277" s="1">
        <v>45706</v>
      </c>
      <c r="G1277" s="1">
        <v>45707</v>
      </c>
      <c r="H1277" t="s">
        <v>27</v>
      </c>
      <c r="I1277" t="s">
        <v>35</v>
      </c>
      <c r="J1277">
        <v>4</v>
      </c>
      <c r="K1277" t="s">
        <v>19</v>
      </c>
      <c r="L1277" t="s">
        <v>77</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x14ac:dyDescent="0.3">
      <c r="A1278" t="s">
        <v>1375</v>
      </c>
      <c r="B1278" t="s">
        <v>44</v>
      </c>
      <c r="C1278">
        <v>4</v>
      </c>
      <c r="D1278">
        <v>19.2</v>
      </c>
      <c r="E1278">
        <v>76.8</v>
      </c>
      <c r="F1278" s="1">
        <v>45706</v>
      </c>
      <c r="G1278" s="1">
        <v>45708</v>
      </c>
      <c r="H1278" t="s">
        <v>27</v>
      </c>
      <c r="I1278" t="s">
        <v>18</v>
      </c>
      <c r="J1278">
        <v>4</v>
      </c>
      <c r="K1278" t="s">
        <v>19</v>
      </c>
      <c r="L1278" t="s">
        <v>77</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x14ac:dyDescent="0.3">
      <c r="A1279" t="s">
        <v>1376</v>
      </c>
      <c r="B1279" t="s">
        <v>37</v>
      </c>
      <c r="C1279">
        <v>8</v>
      </c>
      <c r="D1279">
        <v>26.5</v>
      </c>
      <c r="E1279">
        <v>212</v>
      </c>
      <c r="F1279" s="1">
        <v>45706</v>
      </c>
      <c r="G1279" s="1">
        <v>45707</v>
      </c>
      <c r="H1279" t="s">
        <v>17</v>
      </c>
      <c r="I1279" t="s">
        <v>51</v>
      </c>
      <c r="J1279">
        <v>5</v>
      </c>
      <c r="K1279" t="s">
        <v>19</v>
      </c>
      <c r="L1279" t="s">
        <v>77</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x14ac:dyDescent="0.3">
      <c r="A1280" t="s">
        <v>1377</v>
      </c>
      <c r="B1280" t="s">
        <v>26</v>
      </c>
      <c r="C1280">
        <v>2</v>
      </c>
      <c r="D1280">
        <v>220.3</v>
      </c>
      <c r="E1280">
        <v>440.6</v>
      </c>
      <c r="F1280" s="1">
        <v>45706</v>
      </c>
      <c r="G1280" s="1">
        <v>45707</v>
      </c>
      <c r="H1280" t="s">
        <v>27</v>
      </c>
      <c r="I1280" t="s">
        <v>35</v>
      </c>
      <c r="J1280">
        <v>2</v>
      </c>
      <c r="K1280" t="s">
        <v>19</v>
      </c>
      <c r="L1280" t="s">
        <v>1116</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x14ac:dyDescent="0.3">
      <c r="A1281" t="s">
        <v>1378</v>
      </c>
      <c r="B1281" t="s">
        <v>44</v>
      </c>
      <c r="C1281">
        <v>3</v>
      </c>
      <c r="D1281">
        <v>45.7</v>
      </c>
      <c r="E1281">
        <v>137.10000000000002</v>
      </c>
      <c r="F1281" s="1">
        <v>45706</v>
      </c>
      <c r="G1281" s="1">
        <v>45707</v>
      </c>
      <c r="H1281" t="s">
        <v>27</v>
      </c>
      <c r="I1281" t="s">
        <v>70</v>
      </c>
      <c r="J1281">
        <v>4</v>
      </c>
      <c r="K1281" t="s">
        <v>19</v>
      </c>
      <c r="L1281" t="s">
        <v>268</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x14ac:dyDescent="0.3">
      <c r="A1282" t="s">
        <v>1379</v>
      </c>
      <c r="B1282" t="s">
        <v>37</v>
      </c>
      <c r="C1282">
        <v>5</v>
      </c>
      <c r="D1282">
        <v>47.1</v>
      </c>
      <c r="E1282">
        <v>235.5</v>
      </c>
      <c r="F1282" s="1">
        <v>45706</v>
      </c>
      <c r="G1282" s="1">
        <v>45710</v>
      </c>
      <c r="H1282" t="s">
        <v>27</v>
      </c>
      <c r="I1282" t="s">
        <v>51</v>
      </c>
      <c r="J1282">
        <v>4</v>
      </c>
      <c r="K1282" t="s">
        <v>19</v>
      </c>
      <c r="L1282" t="s">
        <v>82</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x14ac:dyDescent="0.3">
      <c r="A1283" t="s">
        <v>1380</v>
      </c>
      <c r="B1283" t="s">
        <v>22</v>
      </c>
      <c r="C1283">
        <v>5</v>
      </c>
      <c r="D1283">
        <v>81.7</v>
      </c>
      <c r="E1283">
        <v>408.5</v>
      </c>
      <c r="F1283" s="1">
        <v>45706</v>
      </c>
      <c r="G1283" s="1">
        <v>45707</v>
      </c>
      <c r="H1283" t="s">
        <v>27</v>
      </c>
      <c r="I1283" t="s">
        <v>18</v>
      </c>
      <c r="J1283">
        <v>5</v>
      </c>
      <c r="K1283" t="s">
        <v>19</v>
      </c>
      <c r="L1283" t="s">
        <v>115</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x14ac:dyDescent="0.3">
      <c r="A1284" t="s">
        <v>1381</v>
      </c>
      <c r="B1284" t="s">
        <v>39</v>
      </c>
      <c r="C1284">
        <v>10</v>
      </c>
      <c r="D1284">
        <v>97.8</v>
      </c>
      <c r="E1284">
        <v>978</v>
      </c>
      <c r="F1284" s="1">
        <v>45706</v>
      </c>
      <c r="G1284" s="1">
        <v>45706</v>
      </c>
      <c r="H1284" t="s">
        <v>23</v>
      </c>
      <c r="I1284" t="s">
        <v>35</v>
      </c>
      <c r="J1284">
        <v>3</v>
      </c>
      <c r="K1284" t="s">
        <v>19</v>
      </c>
      <c r="L1284" t="s">
        <v>115</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x14ac:dyDescent="0.3">
      <c r="A1285" t="s">
        <v>1382</v>
      </c>
      <c r="B1285" t="s">
        <v>39</v>
      </c>
      <c r="C1285">
        <v>3</v>
      </c>
      <c r="D1285">
        <v>42.4</v>
      </c>
      <c r="E1285">
        <v>127.19999999999999</v>
      </c>
      <c r="F1285" s="1">
        <v>45706</v>
      </c>
      <c r="G1285" s="1">
        <v>45707</v>
      </c>
      <c r="H1285" t="s">
        <v>27</v>
      </c>
      <c r="I1285" t="s">
        <v>18</v>
      </c>
      <c r="J1285">
        <v>5</v>
      </c>
      <c r="K1285" t="s">
        <v>19</v>
      </c>
      <c r="L1285" t="s">
        <v>1383</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x14ac:dyDescent="0.3">
      <c r="A1286" t="s">
        <v>1384</v>
      </c>
      <c r="B1286" t="s">
        <v>26</v>
      </c>
      <c r="C1286">
        <v>10</v>
      </c>
      <c r="D1286">
        <v>74.5</v>
      </c>
      <c r="E1286">
        <v>745</v>
      </c>
      <c r="F1286" s="1">
        <v>45706</v>
      </c>
      <c r="G1286" s="1">
        <v>45707</v>
      </c>
      <c r="H1286" t="s">
        <v>23</v>
      </c>
      <c r="I1286" t="s">
        <v>40</v>
      </c>
      <c r="J1286">
        <v>3</v>
      </c>
      <c r="K1286" t="s">
        <v>19</v>
      </c>
      <c r="L1286" t="s">
        <v>24</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x14ac:dyDescent="0.3">
      <c r="A1287" t="s">
        <v>1385</v>
      </c>
      <c r="B1287" t="s">
        <v>135</v>
      </c>
      <c r="C1287">
        <v>6</v>
      </c>
      <c r="D1287">
        <v>47.4</v>
      </c>
      <c r="E1287">
        <v>284.39999999999998</v>
      </c>
      <c r="F1287" s="1">
        <v>45706</v>
      </c>
      <c r="G1287" s="1">
        <v>45707</v>
      </c>
      <c r="H1287" t="s">
        <v>23</v>
      </c>
      <c r="I1287" t="s">
        <v>35</v>
      </c>
      <c r="J1287">
        <v>4</v>
      </c>
      <c r="K1287" t="s">
        <v>19</v>
      </c>
      <c r="L1287" t="s">
        <v>24</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x14ac:dyDescent="0.3">
      <c r="A1288" t="s">
        <v>1386</v>
      </c>
      <c r="B1288" t="s">
        <v>81</v>
      </c>
      <c r="C1288">
        <v>3</v>
      </c>
      <c r="D1288">
        <v>17.3</v>
      </c>
      <c r="E1288">
        <v>51.900000000000006</v>
      </c>
      <c r="F1288" s="1">
        <v>45707</v>
      </c>
      <c r="G1288" s="1">
        <v>45710</v>
      </c>
      <c r="H1288" t="s">
        <v>23</v>
      </c>
      <c r="I1288" t="s">
        <v>40</v>
      </c>
      <c r="J1288">
        <v>5</v>
      </c>
      <c r="K1288" t="s">
        <v>19</v>
      </c>
      <c r="L1288" t="s">
        <v>24</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x14ac:dyDescent="0.3">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x14ac:dyDescent="0.3">
      <c r="A1290" t="s">
        <v>1388</v>
      </c>
      <c r="B1290" t="s">
        <v>44</v>
      </c>
      <c r="C1290">
        <v>1</v>
      </c>
      <c r="D1290">
        <v>29.1</v>
      </c>
      <c r="E1290">
        <v>29.1</v>
      </c>
      <c r="F1290" s="1">
        <v>45707</v>
      </c>
      <c r="G1290" s="1">
        <v>45710</v>
      </c>
      <c r="H1290" t="s">
        <v>23</v>
      </c>
      <c r="I1290" t="s">
        <v>18</v>
      </c>
      <c r="J1290">
        <v>5</v>
      </c>
      <c r="K1290" t="s">
        <v>19</v>
      </c>
      <c r="L1290" t="s">
        <v>949</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x14ac:dyDescent="0.3">
      <c r="A1291" t="s">
        <v>1389</v>
      </c>
      <c r="B1291" t="s">
        <v>44</v>
      </c>
      <c r="C1291">
        <v>1</v>
      </c>
      <c r="D1291">
        <v>49</v>
      </c>
      <c r="E1291">
        <v>49</v>
      </c>
      <c r="F1291" s="1">
        <v>45707</v>
      </c>
      <c r="G1291" s="1">
        <v>45708</v>
      </c>
      <c r="H1291" t="s">
        <v>23</v>
      </c>
      <c r="I1291" t="s">
        <v>35</v>
      </c>
      <c r="J1291">
        <v>4</v>
      </c>
      <c r="K1291" t="s">
        <v>19</v>
      </c>
      <c r="L1291" t="s">
        <v>33</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x14ac:dyDescent="0.3">
      <c r="A1292" t="s">
        <v>1390</v>
      </c>
      <c r="B1292" t="s">
        <v>44</v>
      </c>
      <c r="C1292">
        <v>6</v>
      </c>
      <c r="D1292">
        <v>21.1</v>
      </c>
      <c r="E1292">
        <v>126.60000000000001</v>
      </c>
      <c r="F1292" s="1">
        <v>45707</v>
      </c>
      <c r="G1292" s="1">
        <v>45714</v>
      </c>
      <c r="H1292" t="s">
        <v>23</v>
      </c>
      <c r="I1292" t="s">
        <v>18</v>
      </c>
      <c r="J1292">
        <v>5</v>
      </c>
      <c r="K1292" t="s">
        <v>19</v>
      </c>
      <c r="L1292" t="s">
        <v>33</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x14ac:dyDescent="0.3">
      <c r="A1293" t="s">
        <v>1391</v>
      </c>
      <c r="B1293" t="s">
        <v>32</v>
      </c>
      <c r="C1293">
        <v>19</v>
      </c>
      <c r="D1293">
        <v>36.9</v>
      </c>
      <c r="E1293">
        <v>701.1</v>
      </c>
      <c r="F1293" s="1">
        <v>45707</v>
      </c>
      <c r="G1293" s="1">
        <v>45707</v>
      </c>
      <c r="H1293" t="s">
        <v>27</v>
      </c>
      <c r="I1293" t="s">
        <v>18</v>
      </c>
      <c r="J1293">
        <v>4</v>
      </c>
      <c r="K1293" t="s">
        <v>19</v>
      </c>
      <c r="L1293" t="s">
        <v>33</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x14ac:dyDescent="0.3">
      <c r="A1294" t="s">
        <v>1392</v>
      </c>
      <c r="B1294" t="s">
        <v>22</v>
      </c>
      <c r="C1294">
        <v>10</v>
      </c>
      <c r="D1294">
        <v>92.6</v>
      </c>
      <c r="E1294">
        <v>926</v>
      </c>
      <c r="F1294" s="1">
        <v>45707</v>
      </c>
      <c r="G1294" s="1">
        <v>45712</v>
      </c>
      <c r="H1294" t="s">
        <v>23</v>
      </c>
      <c r="I1294" t="s">
        <v>70</v>
      </c>
      <c r="J1294">
        <v>5</v>
      </c>
      <c r="K1294" t="s">
        <v>19</v>
      </c>
      <c r="L1294" t="s">
        <v>33</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x14ac:dyDescent="0.3">
      <c r="A1295" t="s">
        <v>1393</v>
      </c>
      <c r="B1295" t="s">
        <v>54</v>
      </c>
      <c r="C1295">
        <v>2</v>
      </c>
      <c r="D1295">
        <v>38</v>
      </c>
      <c r="E1295">
        <v>76</v>
      </c>
      <c r="F1295" s="1">
        <v>45707</v>
      </c>
      <c r="G1295" s="1">
        <v>45708</v>
      </c>
      <c r="H1295" t="s">
        <v>23</v>
      </c>
      <c r="I1295" t="s">
        <v>35</v>
      </c>
      <c r="J1295">
        <v>3</v>
      </c>
      <c r="K1295" t="s">
        <v>19</v>
      </c>
      <c r="L1295" t="s">
        <v>33</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x14ac:dyDescent="0.3">
      <c r="A1296" t="s">
        <v>1394</v>
      </c>
      <c r="B1296" t="s">
        <v>37</v>
      </c>
      <c r="C1296">
        <v>3</v>
      </c>
      <c r="D1296">
        <v>54.8</v>
      </c>
      <c r="E1296">
        <v>164.39999999999998</v>
      </c>
      <c r="F1296" s="1">
        <v>45707</v>
      </c>
      <c r="G1296" s="1">
        <v>45711</v>
      </c>
      <c r="H1296" t="s">
        <v>17</v>
      </c>
      <c r="I1296" t="s">
        <v>18</v>
      </c>
      <c r="J1296">
        <v>3</v>
      </c>
      <c r="K1296" t="s">
        <v>19</v>
      </c>
      <c r="L1296" t="s">
        <v>33</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x14ac:dyDescent="0.3">
      <c r="A1297" t="s">
        <v>1395</v>
      </c>
      <c r="B1297" t="s">
        <v>54</v>
      </c>
      <c r="C1297">
        <v>12</v>
      </c>
      <c r="D1297">
        <v>56.8</v>
      </c>
      <c r="E1297">
        <v>681.59999999999991</v>
      </c>
      <c r="F1297" s="1">
        <v>45707</v>
      </c>
      <c r="G1297" s="1">
        <v>45709</v>
      </c>
      <c r="H1297" t="s">
        <v>23</v>
      </c>
      <c r="I1297" t="s">
        <v>35</v>
      </c>
      <c r="J1297">
        <v>4</v>
      </c>
      <c r="K1297" t="s">
        <v>19</v>
      </c>
      <c r="L1297" t="s">
        <v>33</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x14ac:dyDescent="0.3">
      <c r="A1298" t="s">
        <v>1396</v>
      </c>
      <c r="B1298" t="s">
        <v>67</v>
      </c>
      <c r="C1298">
        <v>33</v>
      </c>
      <c r="D1298">
        <v>47.2</v>
      </c>
      <c r="E1298">
        <v>1557.6000000000001</v>
      </c>
      <c r="F1298" s="1">
        <v>45707</v>
      </c>
      <c r="G1298" s="1">
        <v>45710</v>
      </c>
      <c r="H1298" t="s">
        <v>27</v>
      </c>
      <c r="I1298" t="s">
        <v>35</v>
      </c>
      <c r="J1298">
        <v>4</v>
      </c>
      <c r="K1298" t="s">
        <v>19</v>
      </c>
      <c r="L1298" t="s">
        <v>33</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x14ac:dyDescent="0.3">
      <c r="A1299" t="s">
        <v>1397</v>
      </c>
      <c r="B1299" t="s">
        <v>42</v>
      </c>
      <c r="C1299">
        <v>6</v>
      </c>
      <c r="D1299">
        <v>45.1</v>
      </c>
      <c r="E1299">
        <v>270.60000000000002</v>
      </c>
      <c r="F1299" s="1">
        <v>45707</v>
      </c>
      <c r="G1299" s="1">
        <v>45708</v>
      </c>
      <c r="H1299" t="s">
        <v>27</v>
      </c>
      <c r="I1299" t="s">
        <v>40</v>
      </c>
      <c r="J1299">
        <v>4</v>
      </c>
      <c r="K1299" t="s">
        <v>19</v>
      </c>
      <c r="L1299" t="s">
        <v>545</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x14ac:dyDescent="0.3">
      <c r="A1300" t="s">
        <v>1398</v>
      </c>
      <c r="B1300" t="s">
        <v>32</v>
      </c>
      <c r="C1300">
        <v>12</v>
      </c>
      <c r="D1300">
        <v>25.2</v>
      </c>
      <c r="E1300">
        <v>302.39999999999998</v>
      </c>
      <c r="F1300" s="1">
        <v>45707</v>
      </c>
      <c r="G1300" s="1">
        <v>45712</v>
      </c>
      <c r="H1300" t="s">
        <v>27</v>
      </c>
      <c r="I1300" t="s">
        <v>40</v>
      </c>
      <c r="J1300">
        <v>4</v>
      </c>
      <c r="K1300" t="s">
        <v>19</v>
      </c>
      <c r="L1300" t="s">
        <v>98</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x14ac:dyDescent="0.3">
      <c r="A1301" t="s">
        <v>1399</v>
      </c>
      <c r="B1301" t="s">
        <v>44</v>
      </c>
      <c r="C1301">
        <v>1</v>
      </c>
      <c r="D1301">
        <v>22</v>
      </c>
      <c r="E1301">
        <v>22</v>
      </c>
      <c r="F1301" s="1">
        <v>45707</v>
      </c>
      <c r="G1301" s="1">
        <v>45708</v>
      </c>
      <c r="H1301" t="s">
        <v>27</v>
      </c>
      <c r="I1301" t="s">
        <v>18</v>
      </c>
      <c r="J1301">
        <v>4</v>
      </c>
      <c r="K1301" t="s">
        <v>19</v>
      </c>
      <c r="L1301" t="s">
        <v>52</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x14ac:dyDescent="0.3">
      <c r="A1302" t="s">
        <v>1400</v>
      </c>
      <c r="B1302" t="s">
        <v>39</v>
      </c>
      <c r="C1302">
        <v>2</v>
      </c>
      <c r="D1302">
        <v>42.2</v>
      </c>
      <c r="E1302">
        <v>84.4</v>
      </c>
      <c r="F1302" s="1">
        <v>45707</v>
      </c>
      <c r="G1302" s="1">
        <v>45708</v>
      </c>
      <c r="H1302" t="s">
        <v>27</v>
      </c>
      <c r="I1302" t="s">
        <v>35</v>
      </c>
      <c r="J1302">
        <v>3</v>
      </c>
      <c r="K1302" t="s">
        <v>19</v>
      </c>
      <c r="L1302" t="s">
        <v>158</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x14ac:dyDescent="0.3">
      <c r="A1303" t="s">
        <v>1401</v>
      </c>
      <c r="B1303" t="s">
        <v>76</v>
      </c>
      <c r="C1303">
        <v>3</v>
      </c>
      <c r="D1303">
        <v>20.5</v>
      </c>
      <c r="E1303">
        <v>61.5</v>
      </c>
      <c r="F1303" s="1">
        <v>45707</v>
      </c>
      <c r="G1303" s="1">
        <v>45708</v>
      </c>
      <c r="H1303" t="s">
        <v>23</v>
      </c>
      <c r="I1303" t="s">
        <v>18</v>
      </c>
      <c r="J1303">
        <v>3</v>
      </c>
      <c r="K1303" t="s">
        <v>19</v>
      </c>
      <c r="L1303" t="s">
        <v>55</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x14ac:dyDescent="0.3">
      <c r="A1304" t="s">
        <v>1402</v>
      </c>
      <c r="B1304" t="s">
        <v>26</v>
      </c>
      <c r="C1304">
        <v>1</v>
      </c>
      <c r="D1304">
        <v>190.4</v>
      </c>
      <c r="E1304">
        <v>190.4</v>
      </c>
      <c r="F1304" s="1">
        <v>45707</v>
      </c>
      <c r="G1304" s="1">
        <v>45712</v>
      </c>
      <c r="H1304" t="s">
        <v>23</v>
      </c>
      <c r="I1304" t="s">
        <v>35</v>
      </c>
      <c r="J1304">
        <v>2</v>
      </c>
      <c r="K1304" t="s">
        <v>19</v>
      </c>
      <c r="L1304" t="s">
        <v>55</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x14ac:dyDescent="0.3">
      <c r="A1305" t="s">
        <v>1403</v>
      </c>
      <c r="B1305" t="s">
        <v>26</v>
      </c>
      <c r="C1305">
        <v>1</v>
      </c>
      <c r="D1305">
        <v>121.9</v>
      </c>
      <c r="E1305">
        <v>121.9</v>
      </c>
      <c r="F1305" s="1">
        <v>45707</v>
      </c>
      <c r="G1305" s="1">
        <v>45709</v>
      </c>
      <c r="H1305" t="s">
        <v>27</v>
      </c>
      <c r="I1305" t="s">
        <v>35</v>
      </c>
      <c r="J1305">
        <v>5</v>
      </c>
      <c r="K1305" t="s">
        <v>19</v>
      </c>
      <c r="L1305" t="s">
        <v>55</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x14ac:dyDescent="0.3">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x14ac:dyDescent="0.3">
      <c r="A1307" t="s">
        <v>1405</v>
      </c>
      <c r="B1307" t="s">
        <v>26</v>
      </c>
      <c r="C1307">
        <v>1</v>
      </c>
      <c r="D1307">
        <v>54.1</v>
      </c>
      <c r="E1307">
        <v>54.1</v>
      </c>
      <c r="F1307" s="1">
        <v>45707</v>
      </c>
      <c r="G1307" s="1">
        <v>45716</v>
      </c>
      <c r="H1307" t="s">
        <v>27</v>
      </c>
      <c r="I1307" t="s">
        <v>40</v>
      </c>
      <c r="J1307">
        <v>5</v>
      </c>
      <c r="K1307" t="s">
        <v>19</v>
      </c>
      <c r="L1307" t="s">
        <v>59</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x14ac:dyDescent="0.3">
      <c r="A1308" t="s">
        <v>1406</v>
      </c>
      <c r="B1308" t="s">
        <v>37</v>
      </c>
      <c r="C1308">
        <v>2</v>
      </c>
      <c r="D1308">
        <v>27.4</v>
      </c>
      <c r="E1308">
        <v>54.8</v>
      </c>
      <c r="F1308" s="1">
        <v>45707</v>
      </c>
      <c r="G1308" s="1">
        <v>45709</v>
      </c>
      <c r="H1308" t="s">
        <v>23</v>
      </c>
      <c r="I1308" t="s">
        <v>35</v>
      </c>
      <c r="J1308">
        <v>4</v>
      </c>
      <c r="K1308" t="s">
        <v>19</v>
      </c>
      <c r="L1308" t="s">
        <v>62</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x14ac:dyDescent="0.3">
      <c r="A1309" t="s">
        <v>1407</v>
      </c>
      <c r="B1309" t="s">
        <v>16</v>
      </c>
      <c r="C1309">
        <v>13</v>
      </c>
      <c r="D1309">
        <v>30.4</v>
      </c>
      <c r="E1309">
        <v>395.2</v>
      </c>
      <c r="F1309" s="1">
        <v>45707</v>
      </c>
      <c r="G1309" s="1">
        <v>45708</v>
      </c>
      <c r="H1309" t="s">
        <v>27</v>
      </c>
      <c r="I1309" t="s">
        <v>18</v>
      </c>
      <c r="J1309">
        <v>5</v>
      </c>
      <c r="K1309" t="s">
        <v>19</v>
      </c>
      <c r="L1309" t="s">
        <v>62</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x14ac:dyDescent="0.3">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x14ac:dyDescent="0.3">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x14ac:dyDescent="0.3">
      <c r="A1312" t="s">
        <v>1410</v>
      </c>
      <c r="B1312" t="s">
        <v>135</v>
      </c>
      <c r="C1312">
        <v>10</v>
      </c>
      <c r="D1312">
        <v>25.9</v>
      </c>
      <c r="E1312">
        <v>259</v>
      </c>
      <c r="F1312" s="1">
        <v>45707</v>
      </c>
      <c r="G1312" s="1">
        <v>45713</v>
      </c>
      <c r="H1312" t="s">
        <v>23</v>
      </c>
      <c r="I1312" t="s">
        <v>70</v>
      </c>
      <c r="J1312">
        <v>4</v>
      </c>
      <c r="K1312" t="s">
        <v>19</v>
      </c>
      <c r="L1312" t="s">
        <v>72</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x14ac:dyDescent="0.3">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x14ac:dyDescent="0.3">
      <c r="A1314" t="s">
        <v>1412</v>
      </c>
      <c r="B1314" t="s">
        <v>123</v>
      </c>
      <c r="C1314">
        <v>5</v>
      </c>
      <c r="D1314">
        <v>43.1</v>
      </c>
      <c r="E1314">
        <v>215.5</v>
      </c>
      <c r="F1314" s="1">
        <v>45707</v>
      </c>
      <c r="G1314" s="1">
        <v>45709</v>
      </c>
      <c r="H1314" t="s">
        <v>27</v>
      </c>
      <c r="I1314" t="s">
        <v>18</v>
      </c>
      <c r="J1314">
        <v>4</v>
      </c>
      <c r="K1314" t="s">
        <v>19</v>
      </c>
      <c r="L1314" t="s">
        <v>77</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x14ac:dyDescent="0.3">
      <c r="A1315" t="s">
        <v>1413</v>
      </c>
      <c r="B1315" t="s">
        <v>26</v>
      </c>
      <c r="C1315">
        <v>2</v>
      </c>
      <c r="D1315">
        <v>215.6</v>
      </c>
      <c r="E1315">
        <v>431.2</v>
      </c>
      <c r="F1315" s="1">
        <v>45707</v>
      </c>
      <c r="G1315" s="1">
        <v>45708</v>
      </c>
      <c r="H1315" t="s">
        <v>27</v>
      </c>
      <c r="I1315" t="s">
        <v>40</v>
      </c>
      <c r="J1315">
        <v>4</v>
      </c>
      <c r="K1315" t="s">
        <v>19</v>
      </c>
      <c r="L1315" t="s">
        <v>108</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x14ac:dyDescent="0.3">
      <c r="A1316" t="s">
        <v>1414</v>
      </c>
      <c r="B1316" t="s">
        <v>39</v>
      </c>
      <c r="C1316">
        <v>2</v>
      </c>
      <c r="D1316">
        <v>80.7</v>
      </c>
      <c r="E1316">
        <v>161.4</v>
      </c>
      <c r="F1316" s="1">
        <v>45707</v>
      </c>
      <c r="G1316" s="1">
        <v>45710</v>
      </c>
      <c r="H1316" t="s">
        <v>27</v>
      </c>
      <c r="I1316" t="s">
        <v>51</v>
      </c>
      <c r="J1316">
        <v>4</v>
      </c>
      <c r="K1316" t="s">
        <v>19</v>
      </c>
      <c r="L1316" t="s">
        <v>108</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x14ac:dyDescent="0.3">
      <c r="A1317" t="s">
        <v>1415</v>
      </c>
      <c r="B1317" t="s">
        <v>54</v>
      </c>
      <c r="C1317">
        <v>7</v>
      </c>
      <c r="D1317">
        <v>20.6</v>
      </c>
      <c r="E1317">
        <v>144.20000000000002</v>
      </c>
      <c r="F1317" s="1">
        <v>45707</v>
      </c>
      <c r="G1317" s="1">
        <v>45712</v>
      </c>
      <c r="H1317" t="s">
        <v>17</v>
      </c>
      <c r="I1317" t="s">
        <v>40</v>
      </c>
      <c r="J1317">
        <v>3</v>
      </c>
      <c r="K1317" t="s">
        <v>19</v>
      </c>
      <c r="L1317" t="s">
        <v>110</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x14ac:dyDescent="0.3">
      <c r="A1318" t="s">
        <v>1416</v>
      </c>
      <c r="B1318" t="s">
        <v>69</v>
      </c>
      <c r="C1318">
        <v>3</v>
      </c>
      <c r="D1318">
        <v>37.1</v>
      </c>
      <c r="E1318">
        <v>111.30000000000001</v>
      </c>
      <c r="F1318" s="1">
        <v>45707</v>
      </c>
      <c r="G1318" s="1">
        <v>45708</v>
      </c>
      <c r="H1318" t="s">
        <v>27</v>
      </c>
      <c r="I1318" t="s">
        <v>18</v>
      </c>
      <c r="J1318">
        <v>4</v>
      </c>
      <c r="K1318" t="s">
        <v>19</v>
      </c>
      <c r="L1318" t="s">
        <v>997</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x14ac:dyDescent="0.3">
      <c r="A1319" t="s">
        <v>1417</v>
      </c>
      <c r="B1319" t="s">
        <v>69</v>
      </c>
      <c r="C1319">
        <v>1</v>
      </c>
      <c r="D1319">
        <v>104.8</v>
      </c>
      <c r="E1319">
        <v>104.8</v>
      </c>
      <c r="F1319" s="1">
        <v>45708</v>
      </c>
      <c r="G1319" s="1">
        <v>45710</v>
      </c>
      <c r="H1319" t="s">
        <v>27</v>
      </c>
      <c r="I1319" t="s">
        <v>18</v>
      </c>
      <c r="J1319">
        <v>4</v>
      </c>
      <c r="K1319" t="s">
        <v>19</v>
      </c>
      <c r="L1319" t="s">
        <v>82</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x14ac:dyDescent="0.3">
      <c r="A1320" t="s">
        <v>1418</v>
      </c>
      <c r="B1320" t="s">
        <v>44</v>
      </c>
      <c r="C1320">
        <v>2</v>
      </c>
      <c r="D1320">
        <v>59</v>
      </c>
      <c r="E1320">
        <v>118</v>
      </c>
      <c r="F1320" s="1">
        <v>45708</v>
      </c>
      <c r="G1320" s="1">
        <v>45709</v>
      </c>
      <c r="H1320" t="s">
        <v>23</v>
      </c>
      <c r="I1320" t="s">
        <v>35</v>
      </c>
      <c r="J1320">
        <v>4</v>
      </c>
      <c r="K1320" t="s">
        <v>19</v>
      </c>
      <c r="L1320" t="s">
        <v>115</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x14ac:dyDescent="0.3">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x14ac:dyDescent="0.3">
      <c r="A1322" t="s">
        <v>1420</v>
      </c>
      <c r="B1322" t="s">
        <v>44</v>
      </c>
      <c r="C1322">
        <v>4</v>
      </c>
      <c r="D1322">
        <v>28.9</v>
      </c>
      <c r="E1322">
        <v>115.6</v>
      </c>
      <c r="F1322" s="1">
        <v>45708</v>
      </c>
      <c r="G1322" s="1">
        <v>45715</v>
      </c>
      <c r="H1322" t="s">
        <v>23</v>
      </c>
      <c r="I1322" t="s">
        <v>18</v>
      </c>
      <c r="J1322">
        <v>4</v>
      </c>
      <c r="K1322" t="s">
        <v>19</v>
      </c>
      <c r="L1322" t="s">
        <v>24</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x14ac:dyDescent="0.3">
      <c r="A1323" t="s">
        <v>1421</v>
      </c>
      <c r="B1323" t="s">
        <v>16</v>
      </c>
      <c r="C1323">
        <v>2</v>
      </c>
      <c r="D1323">
        <v>29.6</v>
      </c>
      <c r="E1323">
        <v>59.2</v>
      </c>
      <c r="F1323" s="1">
        <v>45708</v>
      </c>
      <c r="G1323" s="1">
        <v>45710</v>
      </c>
      <c r="H1323" t="s">
        <v>23</v>
      </c>
      <c r="I1323" t="s">
        <v>18</v>
      </c>
      <c r="J1323">
        <v>4</v>
      </c>
      <c r="K1323" t="s">
        <v>19</v>
      </c>
      <c r="L1323" t="s">
        <v>24</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x14ac:dyDescent="0.3">
      <c r="A1324" t="s">
        <v>1422</v>
      </c>
      <c r="B1324" t="s">
        <v>16</v>
      </c>
      <c r="C1324">
        <v>5</v>
      </c>
      <c r="D1324">
        <v>29.4</v>
      </c>
      <c r="E1324">
        <v>147</v>
      </c>
      <c r="F1324" s="1">
        <v>45708</v>
      </c>
      <c r="G1324" s="1">
        <v>45711</v>
      </c>
      <c r="H1324" t="s">
        <v>27</v>
      </c>
      <c r="I1324" t="s">
        <v>18</v>
      </c>
      <c r="J1324">
        <v>4</v>
      </c>
      <c r="K1324" t="s">
        <v>19</v>
      </c>
      <c r="L1324" t="s">
        <v>24</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x14ac:dyDescent="0.3">
      <c r="A1325" t="s">
        <v>1423</v>
      </c>
      <c r="B1325" t="s">
        <v>22</v>
      </c>
      <c r="C1325">
        <v>2</v>
      </c>
      <c r="D1325">
        <v>40.6</v>
      </c>
      <c r="E1325">
        <v>81.2</v>
      </c>
      <c r="F1325" s="1">
        <v>45708</v>
      </c>
      <c r="G1325" s="1">
        <v>45709</v>
      </c>
      <c r="H1325" t="s">
        <v>23</v>
      </c>
      <c r="I1325" t="s">
        <v>18</v>
      </c>
      <c r="J1325">
        <v>2</v>
      </c>
      <c r="K1325" t="s">
        <v>19</v>
      </c>
      <c r="L1325" t="s">
        <v>28</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x14ac:dyDescent="0.3">
      <c r="A1326" t="s">
        <v>1424</v>
      </c>
      <c r="B1326" t="s">
        <v>16</v>
      </c>
      <c r="C1326">
        <v>3</v>
      </c>
      <c r="D1326">
        <v>32.5</v>
      </c>
      <c r="E1326">
        <v>97.5</v>
      </c>
      <c r="F1326" s="1">
        <v>45708</v>
      </c>
      <c r="G1326" s="1">
        <v>45709</v>
      </c>
      <c r="H1326" t="s">
        <v>23</v>
      </c>
      <c r="I1326" t="s">
        <v>51</v>
      </c>
      <c r="J1326">
        <v>5</v>
      </c>
      <c r="K1326" t="s">
        <v>19</v>
      </c>
      <c r="L1326" t="s">
        <v>147</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x14ac:dyDescent="0.3">
      <c r="A1327" t="s">
        <v>1425</v>
      </c>
      <c r="B1327" t="s">
        <v>123</v>
      </c>
      <c r="C1327">
        <v>1</v>
      </c>
      <c r="D1327">
        <v>26.2</v>
      </c>
      <c r="E1327">
        <v>26.2</v>
      </c>
      <c r="F1327" s="1">
        <v>45708</v>
      </c>
      <c r="G1327" s="1">
        <v>45710</v>
      </c>
      <c r="H1327" t="s">
        <v>23</v>
      </c>
      <c r="I1327" t="s">
        <v>40</v>
      </c>
      <c r="J1327">
        <v>4</v>
      </c>
      <c r="K1327" t="s">
        <v>19</v>
      </c>
      <c r="L1327" t="s">
        <v>1426</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x14ac:dyDescent="0.3">
      <c r="A1328" t="s">
        <v>1427</v>
      </c>
      <c r="B1328" t="s">
        <v>54</v>
      </c>
      <c r="C1328">
        <v>30</v>
      </c>
      <c r="D1328">
        <v>44</v>
      </c>
      <c r="E1328">
        <v>1320</v>
      </c>
      <c r="F1328" s="1">
        <v>45708</v>
      </c>
      <c r="G1328" s="1">
        <v>45714</v>
      </c>
      <c r="H1328" t="s">
        <v>23</v>
      </c>
      <c r="I1328" t="s">
        <v>70</v>
      </c>
      <c r="J1328">
        <v>4</v>
      </c>
      <c r="K1328" t="s">
        <v>19</v>
      </c>
      <c r="L1328" t="s">
        <v>33</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x14ac:dyDescent="0.3">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x14ac:dyDescent="0.3">
      <c r="A1330" t="s">
        <v>1429</v>
      </c>
      <c r="B1330" t="s">
        <v>37</v>
      </c>
      <c r="C1330">
        <v>12</v>
      </c>
      <c r="D1330">
        <v>32.6</v>
      </c>
      <c r="E1330">
        <v>391.20000000000005</v>
      </c>
      <c r="F1330" s="1">
        <v>45708</v>
      </c>
      <c r="G1330" s="1">
        <v>45709</v>
      </c>
      <c r="H1330" t="s">
        <v>23</v>
      </c>
      <c r="I1330" t="s">
        <v>70</v>
      </c>
      <c r="J1330">
        <v>4</v>
      </c>
      <c r="K1330" t="s">
        <v>19</v>
      </c>
      <c r="L1330" t="s">
        <v>33</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x14ac:dyDescent="0.3">
      <c r="A1331" t="s">
        <v>1430</v>
      </c>
      <c r="B1331" t="s">
        <v>128</v>
      </c>
      <c r="C1331">
        <v>2</v>
      </c>
      <c r="D1331">
        <v>88.7</v>
      </c>
      <c r="E1331">
        <v>177.4</v>
      </c>
      <c r="F1331" s="1">
        <v>45708</v>
      </c>
      <c r="G1331" s="1">
        <v>45709</v>
      </c>
      <c r="H1331" t="s">
        <v>17</v>
      </c>
      <c r="I1331" t="s">
        <v>51</v>
      </c>
      <c r="J1331">
        <v>5</v>
      </c>
      <c r="K1331" t="s">
        <v>19</v>
      </c>
      <c r="L1331" t="s">
        <v>33</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x14ac:dyDescent="0.3">
      <c r="A1332" t="s">
        <v>1431</v>
      </c>
      <c r="B1332" t="s">
        <v>32</v>
      </c>
      <c r="C1332">
        <v>2</v>
      </c>
      <c r="D1332">
        <v>21.3</v>
      </c>
      <c r="E1332">
        <v>42.6</v>
      </c>
      <c r="F1332" s="1">
        <v>45708</v>
      </c>
      <c r="G1332" s="1">
        <v>45709</v>
      </c>
      <c r="H1332" t="s">
        <v>23</v>
      </c>
      <c r="I1332" t="s">
        <v>18</v>
      </c>
      <c r="J1332">
        <v>4</v>
      </c>
      <c r="K1332" t="s">
        <v>19</v>
      </c>
      <c r="L1332" t="s">
        <v>33</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x14ac:dyDescent="0.3">
      <c r="A1333" t="s">
        <v>1432</v>
      </c>
      <c r="B1333" t="s">
        <v>32</v>
      </c>
      <c r="C1333">
        <v>6</v>
      </c>
      <c r="D1333">
        <v>50.6</v>
      </c>
      <c r="E1333">
        <v>303.60000000000002</v>
      </c>
      <c r="F1333" s="1">
        <v>45708</v>
      </c>
      <c r="G1333" s="1">
        <v>45712</v>
      </c>
      <c r="H1333" t="s">
        <v>27</v>
      </c>
      <c r="I1333" t="s">
        <v>40</v>
      </c>
      <c r="J1333">
        <v>4</v>
      </c>
      <c r="K1333" t="s">
        <v>19</v>
      </c>
      <c r="L1333" t="s">
        <v>33</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x14ac:dyDescent="0.3">
      <c r="A1334" t="s">
        <v>1433</v>
      </c>
      <c r="B1334" t="s">
        <v>46</v>
      </c>
      <c r="C1334">
        <v>21</v>
      </c>
      <c r="D1334">
        <v>86.9</v>
      </c>
      <c r="E1334">
        <v>1824.9</v>
      </c>
      <c r="F1334" s="1">
        <v>45708</v>
      </c>
      <c r="G1334" s="1">
        <v>45711</v>
      </c>
      <c r="H1334" t="s">
        <v>27</v>
      </c>
      <c r="I1334" t="s">
        <v>18</v>
      </c>
      <c r="J1334">
        <v>3</v>
      </c>
      <c r="K1334" t="s">
        <v>19</v>
      </c>
      <c r="L1334" t="s">
        <v>33</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x14ac:dyDescent="0.3">
      <c r="A1335" t="s">
        <v>1434</v>
      </c>
      <c r="B1335" t="s">
        <v>67</v>
      </c>
      <c r="C1335">
        <v>3</v>
      </c>
      <c r="D1335">
        <v>31.8</v>
      </c>
      <c r="E1335">
        <v>95.4</v>
      </c>
      <c r="F1335" s="1">
        <v>45708</v>
      </c>
      <c r="G1335" s="1">
        <v>45710</v>
      </c>
      <c r="H1335" t="s">
        <v>23</v>
      </c>
      <c r="I1335" t="s">
        <v>18</v>
      </c>
      <c r="J1335">
        <v>5</v>
      </c>
      <c r="K1335" t="s">
        <v>19</v>
      </c>
      <c r="L1335" t="s">
        <v>33</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x14ac:dyDescent="0.3">
      <c r="A1336" t="s">
        <v>1435</v>
      </c>
      <c r="B1336" t="s">
        <v>44</v>
      </c>
      <c r="C1336">
        <v>1</v>
      </c>
      <c r="D1336">
        <v>19</v>
      </c>
      <c r="E1336">
        <v>19</v>
      </c>
      <c r="F1336" s="1">
        <v>45708</v>
      </c>
      <c r="G1336" s="1">
        <v>45709</v>
      </c>
      <c r="H1336" t="s">
        <v>27</v>
      </c>
      <c r="I1336" t="s">
        <v>18</v>
      </c>
      <c r="J1336">
        <v>5</v>
      </c>
      <c r="K1336" t="s">
        <v>19</v>
      </c>
      <c r="L1336" t="s">
        <v>33</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x14ac:dyDescent="0.3">
      <c r="A1337" t="s">
        <v>1436</v>
      </c>
      <c r="B1337" t="s">
        <v>37</v>
      </c>
      <c r="C1337">
        <v>1</v>
      </c>
      <c r="D1337">
        <v>54.5</v>
      </c>
      <c r="E1337">
        <v>54.5</v>
      </c>
      <c r="F1337" s="1">
        <v>45708</v>
      </c>
      <c r="G1337" s="1">
        <v>45710</v>
      </c>
      <c r="H1337" t="s">
        <v>23</v>
      </c>
      <c r="I1337" t="s">
        <v>18</v>
      </c>
      <c r="J1337">
        <v>4</v>
      </c>
      <c r="K1337" t="s">
        <v>19</v>
      </c>
      <c r="L1337" t="s">
        <v>33</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x14ac:dyDescent="0.3">
      <c r="A1338" t="s">
        <v>1437</v>
      </c>
      <c r="B1338" t="s">
        <v>46</v>
      </c>
      <c r="C1338">
        <v>5</v>
      </c>
      <c r="D1338">
        <v>68.900000000000006</v>
      </c>
      <c r="E1338">
        <v>344.5</v>
      </c>
      <c r="F1338" s="1">
        <v>45708</v>
      </c>
      <c r="G1338" s="1">
        <v>45710</v>
      </c>
      <c r="H1338" t="s">
        <v>23</v>
      </c>
      <c r="I1338" t="s">
        <v>70</v>
      </c>
      <c r="J1338">
        <v>3</v>
      </c>
      <c r="K1338" t="s">
        <v>19</v>
      </c>
      <c r="L1338" t="s">
        <v>33</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x14ac:dyDescent="0.3">
      <c r="A1339" t="s">
        <v>1438</v>
      </c>
      <c r="B1339" t="s">
        <v>39</v>
      </c>
      <c r="C1339">
        <v>3</v>
      </c>
      <c r="D1339">
        <v>84</v>
      </c>
      <c r="E1339">
        <v>252</v>
      </c>
      <c r="F1339" s="1">
        <v>45708</v>
      </c>
      <c r="G1339" s="1">
        <v>45709</v>
      </c>
      <c r="H1339" t="s">
        <v>23</v>
      </c>
      <c r="I1339" t="s">
        <v>35</v>
      </c>
      <c r="J1339">
        <v>2</v>
      </c>
      <c r="K1339" t="s">
        <v>19</v>
      </c>
      <c r="L1339" t="s">
        <v>98</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x14ac:dyDescent="0.3">
      <c r="A1340" t="s">
        <v>1439</v>
      </c>
      <c r="B1340" t="s">
        <v>123</v>
      </c>
      <c r="C1340">
        <v>8</v>
      </c>
      <c r="D1340">
        <v>23.1</v>
      </c>
      <c r="E1340">
        <v>184.8</v>
      </c>
      <c r="F1340" s="1">
        <v>45708</v>
      </c>
      <c r="G1340" s="1">
        <v>45713</v>
      </c>
      <c r="H1340" t="s">
        <v>23</v>
      </c>
      <c r="I1340" t="s">
        <v>18</v>
      </c>
      <c r="J1340">
        <v>5</v>
      </c>
      <c r="K1340" t="s">
        <v>19</v>
      </c>
      <c r="L1340" t="s">
        <v>158</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x14ac:dyDescent="0.3">
      <c r="A1341" t="s">
        <v>1440</v>
      </c>
      <c r="B1341" t="s">
        <v>42</v>
      </c>
      <c r="C1341">
        <v>2</v>
      </c>
      <c r="D1341">
        <v>62.4</v>
      </c>
      <c r="E1341">
        <v>124.8</v>
      </c>
      <c r="F1341" s="1">
        <v>45708</v>
      </c>
      <c r="G1341" s="1">
        <v>45709</v>
      </c>
      <c r="H1341" t="s">
        <v>27</v>
      </c>
      <c r="I1341" t="s">
        <v>18</v>
      </c>
      <c r="J1341">
        <v>3</v>
      </c>
      <c r="K1341" t="s">
        <v>19</v>
      </c>
      <c r="L1341" t="s">
        <v>55</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x14ac:dyDescent="0.3">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x14ac:dyDescent="0.3">
      <c r="A1343" t="s">
        <v>1442</v>
      </c>
      <c r="B1343" t="s">
        <v>39</v>
      </c>
      <c r="C1343">
        <v>1</v>
      </c>
      <c r="D1343">
        <v>49.6</v>
      </c>
      <c r="E1343">
        <v>49.6</v>
      </c>
      <c r="F1343" s="1">
        <v>45708</v>
      </c>
      <c r="G1343" s="1">
        <v>45711</v>
      </c>
      <c r="H1343" t="s">
        <v>23</v>
      </c>
      <c r="I1343" t="s">
        <v>40</v>
      </c>
      <c r="J1343">
        <v>4</v>
      </c>
      <c r="K1343" t="s">
        <v>19</v>
      </c>
      <c r="L1343" t="s">
        <v>59</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x14ac:dyDescent="0.3">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x14ac:dyDescent="0.3">
      <c r="A1345" t="s">
        <v>1444</v>
      </c>
      <c r="B1345" t="s">
        <v>44</v>
      </c>
      <c r="C1345">
        <v>3</v>
      </c>
      <c r="D1345">
        <v>26.4</v>
      </c>
      <c r="E1345">
        <v>79.199999999999989</v>
      </c>
      <c r="F1345" s="1">
        <v>45708</v>
      </c>
      <c r="G1345" s="1">
        <v>45709</v>
      </c>
      <c r="H1345" t="s">
        <v>27</v>
      </c>
      <c r="I1345" t="s">
        <v>35</v>
      </c>
      <c r="J1345">
        <v>3</v>
      </c>
      <c r="K1345" t="s">
        <v>19</v>
      </c>
      <c r="L1345" t="s">
        <v>62</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x14ac:dyDescent="0.3">
      <c r="A1346" t="s">
        <v>1445</v>
      </c>
      <c r="B1346" t="s">
        <v>16</v>
      </c>
      <c r="C1346">
        <v>2</v>
      </c>
      <c r="D1346">
        <v>17.2</v>
      </c>
      <c r="E1346">
        <v>34.4</v>
      </c>
      <c r="F1346" s="1">
        <v>45708</v>
      </c>
      <c r="G1346" s="1">
        <v>45711</v>
      </c>
      <c r="H1346" t="s">
        <v>23</v>
      </c>
      <c r="I1346" t="s">
        <v>40</v>
      </c>
      <c r="J1346">
        <v>3</v>
      </c>
      <c r="K1346" t="s">
        <v>19</v>
      </c>
      <c r="L1346" t="s">
        <v>62</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x14ac:dyDescent="0.3">
      <c r="A1347" t="s">
        <v>1446</v>
      </c>
      <c r="B1347" t="s">
        <v>37</v>
      </c>
      <c r="C1347">
        <v>8</v>
      </c>
      <c r="D1347">
        <v>58.1</v>
      </c>
      <c r="E1347">
        <v>464.8</v>
      </c>
      <c r="F1347" s="1">
        <v>45708</v>
      </c>
      <c r="G1347" s="1">
        <v>45711</v>
      </c>
      <c r="H1347" t="s">
        <v>27</v>
      </c>
      <c r="I1347" t="s">
        <v>70</v>
      </c>
      <c r="J1347">
        <v>4</v>
      </c>
      <c r="K1347" t="s">
        <v>19</v>
      </c>
      <c r="L1347" t="s">
        <v>62</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x14ac:dyDescent="0.3">
      <c r="A1348" t="s">
        <v>1447</v>
      </c>
      <c r="B1348" t="s">
        <v>123</v>
      </c>
      <c r="C1348">
        <v>4</v>
      </c>
      <c r="D1348">
        <v>31.5</v>
      </c>
      <c r="E1348">
        <v>126</v>
      </c>
      <c r="F1348" s="1">
        <v>45708</v>
      </c>
      <c r="G1348" s="1">
        <v>45711</v>
      </c>
      <c r="H1348" t="s">
        <v>27</v>
      </c>
      <c r="I1348" t="s">
        <v>70</v>
      </c>
      <c r="J1348">
        <v>2</v>
      </c>
      <c r="K1348" t="s">
        <v>19</v>
      </c>
      <c r="L1348" t="s">
        <v>62</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x14ac:dyDescent="0.3">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x14ac:dyDescent="0.3">
      <c r="A1350" t="s">
        <v>1449</v>
      </c>
      <c r="B1350" t="s">
        <v>146</v>
      </c>
      <c r="C1350">
        <v>4</v>
      </c>
      <c r="D1350">
        <v>28.5</v>
      </c>
      <c r="E1350">
        <v>114</v>
      </c>
      <c r="F1350" s="1">
        <v>45708</v>
      </c>
      <c r="G1350" s="1">
        <v>45710</v>
      </c>
      <c r="H1350" t="s">
        <v>23</v>
      </c>
      <c r="I1350" t="s">
        <v>35</v>
      </c>
      <c r="J1350">
        <v>5</v>
      </c>
      <c r="K1350" t="s">
        <v>19</v>
      </c>
      <c r="L1350" t="s">
        <v>72</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x14ac:dyDescent="0.3">
      <c r="A1351" t="s">
        <v>1450</v>
      </c>
      <c r="B1351" t="s">
        <v>54</v>
      </c>
      <c r="C1351">
        <v>1</v>
      </c>
      <c r="D1351">
        <v>40.5</v>
      </c>
      <c r="E1351">
        <v>40.5</v>
      </c>
      <c r="F1351" s="1">
        <v>45709</v>
      </c>
      <c r="G1351" s="1">
        <v>45711</v>
      </c>
      <c r="H1351" t="s">
        <v>89</v>
      </c>
      <c r="I1351" t="s">
        <v>40</v>
      </c>
      <c r="J1351">
        <v>4</v>
      </c>
      <c r="K1351" t="s">
        <v>19</v>
      </c>
      <c r="L1351" t="s">
        <v>72</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x14ac:dyDescent="0.3">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x14ac:dyDescent="0.3">
      <c r="A1353" t="s">
        <v>1452</v>
      </c>
      <c r="B1353" t="s">
        <v>146</v>
      </c>
      <c r="C1353">
        <v>4</v>
      </c>
      <c r="D1353">
        <v>37.1</v>
      </c>
      <c r="E1353">
        <v>148.4</v>
      </c>
      <c r="F1353" s="1">
        <v>45709</v>
      </c>
      <c r="G1353" s="1">
        <v>45711</v>
      </c>
      <c r="H1353" t="s">
        <v>23</v>
      </c>
      <c r="I1353" t="s">
        <v>70</v>
      </c>
      <c r="J1353">
        <v>5</v>
      </c>
      <c r="K1353" t="s">
        <v>19</v>
      </c>
      <c r="L1353" t="s">
        <v>110</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x14ac:dyDescent="0.3">
      <c r="A1354" t="s">
        <v>1453</v>
      </c>
      <c r="B1354" t="s">
        <v>128</v>
      </c>
      <c r="C1354">
        <v>3</v>
      </c>
      <c r="D1354">
        <v>51.6</v>
      </c>
      <c r="E1354">
        <v>154.80000000000001</v>
      </c>
      <c r="F1354" s="1">
        <v>45709</v>
      </c>
      <c r="G1354" s="1">
        <v>45717</v>
      </c>
      <c r="H1354" t="s">
        <v>27</v>
      </c>
      <c r="I1354" t="s">
        <v>18</v>
      </c>
      <c r="J1354">
        <v>2</v>
      </c>
      <c r="K1354" t="s">
        <v>19</v>
      </c>
      <c r="L1354" t="s">
        <v>110</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x14ac:dyDescent="0.3">
      <c r="A1355" t="s">
        <v>1454</v>
      </c>
      <c r="B1355" t="s">
        <v>42</v>
      </c>
      <c r="C1355">
        <v>3</v>
      </c>
      <c r="D1355">
        <v>98</v>
      </c>
      <c r="E1355">
        <v>294</v>
      </c>
      <c r="F1355" s="1">
        <v>45709</v>
      </c>
      <c r="G1355" s="1">
        <v>45710</v>
      </c>
      <c r="H1355" t="s">
        <v>23</v>
      </c>
      <c r="I1355" t="s">
        <v>35</v>
      </c>
      <c r="J1355">
        <v>3</v>
      </c>
      <c r="K1355" t="s">
        <v>19</v>
      </c>
      <c r="L1355" t="s">
        <v>110</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x14ac:dyDescent="0.3">
      <c r="A1356" t="s">
        <v>1455</v>
      </c>
      <c r="B1356" t="s">
        <v>39</v>
      </c>
      <c r="C1356">
        <v>7</v>
      </c>
      <c r="D1356">
        <v>41.4</v>
      </c>
      <c r="E1356">
        <v>289.8</v>
      </c>
      <c r="F1356" s="1">
        <v>45709</v>
      </c>
      <c r="G1356" s="1">
        <v>45710</v>
      </c>
      <c r="H1356" t="s">
        <v>23</v>
      </c>
      <c r="I1356" t="s">
        <v>35</v>
      </c>
      <c r="J1356">
        <v>4</v>
      </c>
      <c r="K1356" t="s">
        <v>19</v>
      </c>
      <c r="L1356" t="s">
        <v>113</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x14ac:dyDescent="0.3">
      <c r="A1357" t="s">
        <v>1456</v>
      </c>
      <c r="B1357" t="s">
        <v>67</v>
      </c>
      <c r="C1357">
        <v>8</v>
      </c>
      <c r="D1357">
        <v>34</v>
      </c>
      <c r="E1357">
        <v>272</v>
      </c>
      <c r="F1357" s="1">
        <v>45709</v>
      </c>
      <c r="G1357" s="1">
        <v>45714</v>
      </c>
      <c r="H1357" t="s">
        <v>27</v>
      </c>
      <c r="I1357" t="s">
        <v>18</v>
      </c>
      <c r="J1357">
        <v>5</v>
      </c>
      <c r="K1357" t="s">
        <v>19</v>
      </c>
      <c r="L1357" t="s">
        <v>997</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x14ac:dyDescent="0.3">
      <c r="A1358" t="s">
        <v>1457</v>
      </c>
      <c r="B1358" t="s">
        <v>39</v>
      </c>
      <c r="C1358">
        <v>1</v>
      </c>
      <c r="D1358">
        <v>66.3</v>
      </c>
      <c r="E1358">
        <v>66.3</v>
      </c>
      <c r="F1358" s="1">
        <v>45709</v>
      </c>
      <c r="G1358" s="1">
        <v>45710</v>
      </c>
      <c r="H1358" t="s">
        <v>27</v>
      </c>
      <c r="I1358" t="s">
        <v>35</v>
      </c>
      <c r="J1358">
        <v>4</v>
      </c>
      <c r="K1358" t="s">
        <v>19</v>
      </c>
      <c r="L1358" t="s">
        <v>82</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x14ac:dyDescent="0.3">
      <c r="A1359" t="s">
        <v>1458</v>
      </c>
      <c r="B1359" t="s">
        <v>42</v>
      </c>
      <c r="C1359">
        <v>1</v>
      </c>
      <c r="D1359">
        <v>33.5</v>
      </c>
      <c r="E1359">
        <v>33.5</v>
      </c>
      <c r="F1359" s="1">
        <v>45709</v>
      </c>
      <c r="G1359" s="1">
        <v>45713</v>
      </c>
      <c r="H1359" t="s">
        <v>23</v>
      </c>
      <c r="I1359" t="s">
        <v>40</v>
      </c>
      <c r="J1359">
        <v>4</v>
      </c>
      <c r="K1359" t="s">
        <v>19</v>
      </c>
      <c r="L1359" t="s">
        <v>82</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x14ac:dyDescent="0.3">
      <c r="A1360" t="s">
        <v>1459</v>
      </c>
      <c r="B1360" t="s">
        <v>69</v>
      </c>
      <c r="C1360">
        <v>2</v>
      </c>
      <c r="D1360">
        <v>70.8</v>
      </c>
      <c r="E1360">
        <v>141.6</v>
      </c>
      <c r="F1360" s="1">
        <v>45709</v>
      </c>
      <c r="G1360" s="1">
        <v>45710</v>
      </c>
      <c r="H1360" t="s">
        <v>17</v>
      </c>
      <c r="I1360" t="s">
        <v>18</v>
      </c>
      <c r="J1360">
        <v>4</v>
      </c>
      <c r="K1360" t="s">
        <v>19</v>
      </c>
      <c r="L1360" t="s">
        <v>243</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x14ac:dyDescent="0.3">
      <c r="A1361" t="s">
        <v>1460</v>
      </c>
      <c r="B1361" t="s">
        <v>39</v>
      </c>
      <c r="C1361">
        <v>2</v>
      </c>
      <c r="D1361">
        <v>127.6</v>
      </c>
      <c r="E1361">
        <v>255.2</v>
      </c>
      <c r="F1361" s="1">
        <v>45709</v>
      </c>
      <c r="G1361" s="1">
        <v>45710</v>
      </c>
      <c r="H1361" t="s">
        <v>23</v>
      </c>
      <c r="I1361" t="s">
        <v>18</v>
      </c>
      <c r="J1361">
        <v>4</v>
      </c>
      <c r="K1361" t="s">
        <v>19</v>
      </c>
      <c r="L1361" t="s">
        <v>115</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x14ac:dyDescent="0.3">
      <c r="A1362" t="s">
        <v>1461</v>
      </c>
      <c r="B1362" t="s">
        <v>39</v>
      </c>
      <c r="C1362">
        <v>3</v>
      </c>
      <c r="D1362">
        <v>95.9</v>
      </c>
      <c r="E1362">
        <v>287.70000000000005</v>
      </c>
      <c r="F1362" s="1">
        <v>45709</v>
      </c>
      <c r="G1362" s="1">
        <v>45710</v>
      </c>
      <c r="H1362" t="s">
        <v>27</v>
      </c>
      <c r="I1362" t="s">
        <v>35</v>
      </c>
      <c r="J1362">
        <v>3</v>
      </c>
      <c r="K1362" t="s">
        <v>19</v>
      </c>
      <c r="L1362" t="s">
        <v>115</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x14ac:dyDescent="0.3">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x14ac:dyDescent="0.3">
      <c r="A1364" t="s">
        <v>1463</v>
      </c>
      <c r="B1364" t="s">
        <v>76</v>
      </c>
      <c r="C1364">
        <v>2</v>
      </c>
      <c r="D1364">
        <v>43.2</v>
      </c>
      <c r="E1364">
        <v>86.4</v>
      </c>
      <c r="F1364" s="1">
        <v>45709</v>
      </c>
      <c r="G1364" s="1">
        <v>45710</v>
      </c>
      <c r="H1364" t="s">
        <v>17</v>
      </c>
      <c r="I1364" t="s">
        <v>35</v>
      </c>
      <c r="J1364">
        <v>3</v>
      </c>
      <c r="K1364" t="s">
        <v>19</v>
      </c>
      <c r="L1364" t="s">
        <v>24</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x14ac:dyDescent="0.3">
      <c r="A1365" t="s">
        <v>1464</v>
      </c>
      <c r="B1365" t="s">
        <v>44</v>
      </c>
      <c r="C1365">
        <v>4</v>
      </c>
      <c r="D1365">
        <v>28.4</v>
      </c>
      <c r="E1365">
        <v>113.6</v>
      </c>
      <c r="F1365" s="1">
        <v>45709</v>
      </c>
      <c r="G1365" s="1">
        <v>45715</v>
      </c>
      <c r="H1365" t="s">
        <v>23</v>
      </c>
      <c r="I1365" t="s">
        <v>40</v>
      </c>
      <c r="J1365">
        <v>4</v>
      </c>
      <c r="K1365" t="s">
        <v>19</v>
      </c>
      <c r="L1365" t="s">
        <v>33</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x14ac:dyDescent="0.3">
      <c r="A1366" t="s">
        <v>1465</v>
      </c>
      <c r="B1366" t="s">
        <v>26</v>
      </c>
      <c r="C1366">
        <v>2</v>
      </c>
      <c r="D1366">
        <v>81.7</v>
      </c>
      <c r="E1366">
        <v>163.4</v>
      </c>
      <c r="F1366" s="1">
        <v>45709</v>
      </c>
      <c r="G1366" s="1">
        <v>45709</v>
      </c>
      <c r="H1366" t="s">
        <v>23</v>
      </c>
      <c r="I1366" t="s">
        <v>18</v>
      </c>
      <c r="J1366">
        <v>4</v>
      </c>
      <c r="K1366" t="s">
        <v>19</v>
      </c>
      <c r="L1366" t="s">
        <v>33</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x14ac:dyDescent="0.3">
      <c r="A1367" t="s">
        <v>1466</v>
      </c>
      <c r="B1367" t="s">
        <v>146</v>
      </c>
      <c r="C1367">
        <v>2</v>
      </c>
      <c r="D1367">
        <v>56.7</v>
      </c>
      <c r="E1367">
        <v>113.4</v>
      </c>
      <c r="F1367" s="1">
        <v>45709</v>
      </c>
      <c r="G1367" s="1">
        <v>45711</v>
      </c>
      <c r="H1367" t="s">
        <v>17</v>
      </c>
      <c r="I1367" t="s">
        <v>18</v>
      </c>
      <c r="J1367">
        <v>5</v>
      </c>
      <c r="K1367" t="s">
        <v>19</v>
      </c>
      <c r="L1367" t="s">
        <v>33</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x14ac:dyDescent="0.3">
      <c r="A1368" t="s">
        <v>1467</v>
      </c>
      <c r="B1368" t="s">
        <v>30</v>
      </c>
      <c r="C1368">
        <v>4</v>
      </c>
      <c r="D1368">
        <v>66.5</v>
      </c>
      <c r="E1368">
        <v>266</v>
      </c>
      <c r="F1368" s="1">
        <v>45709</v>
      </c>
      <c r="G1368" s="1">
        <v>45709</v>
      </c>
      <c r="H1368" t="s">
        <v>27</v>
      </c>
      <c r="I1368" t="s">
        <v>18</v>
      </c>
      <c r="J1368">
        <v>5</v>
      </c>
      <c r="K1368" t="s">
        <v>19</v>
      </c>
      <c r="L1368" t="s">
        <v>33</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x14ac:dyDescent="0.3">
      <c r="A1369" t="s">
        <v>1468</v>
      </c>
      <c r="B1369" t="s">
        <v>22</v>
      </c>
      <c r="C1369">
        <v>2</v>
      </c>
      <c r="D1369">
        <v>105.3</v>
      </c>
      <c r="E1369">
        <v>210.6</v>
      </c>
      <c r="F1369" s="1">
        <v>45709</v>
      </c>
      <c r="G1369" s="1">
        <v>45713</v>
      </c>
      <c r="H1369" t="s">
        <v>23</v>
      </c>
      <c r="I1369" t="s">
        <v>18</v>
      </c>
      <c r="J1369">
        <v>3</v>
      </c>
      <c r="K1369" t="s">
        <v>19</v>
      </c>
      <c r="L1369" t="s">
        <v>33</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x14ac:dyDescent="0.3">
      <c r="A1370" t="s">
        <v>1469</v>
      </c>
      <c r="B1370" t="s">
        <v>54</v>
      </c>
      <c r="C1370">
        <v>5</v>
      </c>
      <c r="D1370">
        <v>33.799999999999997</v>
      </c>
      <c r="E1370">
        <v>169</v>
      </c>
      <c r="F1370" s="1">
        <v>45709</v>
      </c>
      <c r="G1370" s="1">
        <v>45714</v>
      </c>
      <c r="H1370" t="s">
        <v>23</v>
      </c>
      <c r="I1370" t="s">
        <v>18</v>
      </c>
      <c r="J1370">
        <v>4</v>
      </c>
      <c r="K1370" t="s">
        <v>19</v>
      </c>
      <c r="L1370" t="s">
        <v>33</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x14ac:dyDescent="0.3">
      <c r="A1371" t="s">
        <v>1470</v>
      </c>
      <c r="B1371" t="s">
        <v>39</v>
      </c>
      <c r="C1371">
        <v>3</v>
      </c>
      <c r="D1371">
        <v>63.4</v>
      </c>
      <c r="E1371">
        <v>190.2</v>
      </c>
      <c r="F1371" s="1">
        <v>45709</v>
      </c>
      <c r="G1371" s="1">
        <v>45714</v>
      </c>
      <c r="H1371" t="s">
        <v>23</v>
      </c>
      <c r="I1371" t="s">
        <v>51</v>
      </c>
      <c r="J1371">
        <v>3</v>
      </c>
      <c r="K1371" t="s">
        <v>19</v>
      </c>
      <c r="L1371" t="s">
        <v>186</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x14ac:dyDescent="0.3">
      <c r="A1372" t="s">
        <v>1471</v>
      </c>
      <c r="B1372" t="s">
        <v>39</v>
      </c>
      <c r="C1372">
        <v>3</v>
      </c>
      <c r="D1372">
        <v>49</v>
      </c>
      <c r="E1372">
        <v>147</v>
      </c>
      <c r="F1372" s="1">
        <v>45709</v>
      </c>
      <c r="G1372" s="1">
        <v>45713</v>
      </c>
      <c r="H1372" t="s">
        <v>23</v>
      </c>
      <c r="I1372" t="s">
        <v>51</v>
      </c>
      <c r="J1372">
        <v>4</v>
      </c>
      <c r="K1372" t="s">
        <v>19</v>
      </c>
      <c r="L1372" t="s">
        <v>802</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x14ac:dyDescent="0.3">
      <c r="A1373" t="s">
        <v>1472</v>
      </c>
      <c r="B1373" t="s">
        <v>22</v>
      </c>
      <c r="C1373">
        <v>2</v>
      </c>
      <c r="D1373">
        <v>40</v>
      </c>
      <c r="E1373">
        <v>80</v>
      </c>
      <c r="F1373" s="1">
        <v>45709</v>
      </c>
      <c r="G1373" s="1">
        <v>45710</v>
      </c>
      <c r="H1373" t="s">
        <v>27</v>
      </c>
      <c r="I1373" t="s">
        <v>70</v>
      </c>
      <c r="J1373">
        <v>3</v>
      </c>
      <c r="K1373" t="s">
        <v>19</v>
      </c>
      <c r="L1373" t="s">
        <v>158</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x14ac:dyDescent="0.3">
      <c r="A1374" t="s">
        <v>1473</v>
      </c>
      <c r="B1374" t="s">
        <v>39</v>
      </c>
      <c r="C1374">
        <v>4</v>
      </c>
      <c r="D1374">
        <v>86.3</v>
      </c>
      <c r="E1374">
        <v>345.2</v>
      </c>
      <c r="F1374" s="1">
        <v>45709</v>
      </c>
      <c r="G1374" s="1">
        <v>45710</v>
      </c>
      <c r="H1374" t="s">
        <v>89</v>
      </c>
      <c r="I1374" t="s">
        <v>18</v>
      </c>
      <c r="J1374">
        <v>4</v>
      </c>
      <c r="K1374" t="s">
        <v>19</v>
      </c>
      <c r="L1374" t="s">
        <v>55</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x14ac:dyDescent="0.3">
      <c r="A1375" t="s">
        <v>1474</v>
      </c>
      <c r="B1375" t="s">
        <v>39</v>
      </c>
      <c r="C1375">
        <v>1</v>
      </c>
      <c r="D1375">
        <v>51.6</v>
      </c>
      <c r="E1375">
        <v>51.6</v>
      </c>
      <c r="F1375" s="1">
        <v>45709</v>
      </c>
      <c r="G1375" s="1">
        <v>45711</v>
      </c>
      <c r="H1375" t="s">
        <v>27</v>
      </c>
      <c r="I1375" t="s">
        <v>40</v>
      </c>
      <c r="J1375">
        <v>5</v>
      </c>
      <c r="K1375" t="s">
        <v>19</v>
      </c>
      <c r="L1375" t="s">
        <v>55</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x14ac:dyDescent="0.3">
      <c r="A1376" t="s">
        <v>1475</v>
      </c>
      <c r="B1376" t="s">
        <v>54</v>
      </c>
      <c r="C1376">
        <v>3</v>
      </c>
      <c r="D1376">
        <v>26.7</v>
      </c>
      <c r="E1376">
        <v>80.099999999999994</v>
      </c>
      <c r="F1376" s="1">
        <v>45709</v>
      </c>
      <c r="G1376" s="1">
        <v>45714</v>
      </c>
      <c r="H1376" t="s">
        <v>27</v>
      </c>
      <c r="I1376" t="s">
        <v>40</v>
      </c>
      <c r="J1376">
        <v>3</v>
      </c>
      <c r="K1376" t="s">
        <v>19</v>
      </c>
      <c r="L1376" t="s">
        <v>55</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x14ac:dyDescent="0.3">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x14ac:dyDescent="0.3">
      <c r="A1378" t="s">
        <v>1477</v>
      </c>
      <c r="B1378" t="s">
        <v>22</v>
      </c>
      <c r="C1378">
        <v>1</v>
      </c>
      <c r="D1378">
        <v>81.7</v>
      </c>
      <c r="E1378">
        <v>81.7</v>
      </c>
      <c r="F1378" s="1">
        <v>45709</v>
      </c>
      <c r="G1378" s="1">
        <v>45710</v>
      </c>
      <c r="H1378" t="s">
        <v>23</v>
      </c>
      <c r="I1378" t="s">
        <v>18</v>
      </c>
      <c r="J1378">
        <v>4</v>
      </c>
      <c r="K1378" t="s">
        <v>19</v>
      </c>
      <c r="L1378" t="s">
        <v>59</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x14ac:dyDescent="0.3">
      <c r="A1379" t="s">
        <v>1478</v>
      </c>
      <c r="B1379" t="s">
        <v>146</v>
      </c>
      <c r="C1379">
        <v>10</v>
      </c>
      <c r="D1379">
        <v>25.1</v>
      </c>
      <c r="E1379">
        <v>251</v>
      </c>
      <c r="F1379" s="1">
        <v>45709</v>
      </c>
      <c r="G1379" s="1">
        <v>45712</v>
      </c>
      <c r="H1379" t="s">
        <v>23</v>
      </c>
      <c r="I1379" t="s">
        <v>51</v>
      </c>
      <c r="J1379">
        <v>3</v>
      </c>
      <c r="K1379" t="s">
        <v>19</v>
      </c>
      <c r="L1379" t="s">
        <v>62</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x14ac:dyDescent="0.3">
      <c r="A1380" t="s">
        <v>1479</v>
      </c>
      <c r="B1380" t="s">
        <v>44</v>
      </c>
      <c r="C1380">
        <v>1</v>
      </c>
      <c r="D1380">
        <v>20.2</v>
      </c>
      <c r="E1380">
        <v>20.2</v>
      </c>
      <c r="F1380" s="1">
        <v>45709</v>
      </c>
      <c r="G1380" s="1">
        <v>45713</v>
      </c>
      <c r="H1380" t="s">
        <v>27</v>
      </c>
      <c r="I1380" t="s">
        <v>18</v>
      </c>
      <c r="J1380">
        <v>4</v>
      </c>
      <c r="K1380" t="s">
        <v>19</v>
      </c>
      <c r="L1380" t="s">
        <v>62</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x14ac:dyDescent="0.3">
      <c r="A1381" t="s">
        <v>1480</v>
      </c>
      <c r="B1381" t="s">
        <v>44</v>
      </c>
      <c r="C1381">
        <v>3</v>
      </c>
      <c r="D1381">
        <v>15.4</v>
      </c>
      <c r="E1381">
        <v>46.2</v>
      </c>
      <c r="F1381" s="1">
        <v>45709</v>
      </c>
      <c r="G1381" s="1">
        <v>45710</v>
      </c>
      <c r="H1381" t="s">
        <v>23</v>
      </c>
      <c r="I1381" t="s">
        <v>35</v>
      </c>
      <c r="J1381">
        <v>5</v>
      </c>
      <c r="K1381" t="s">
        <v>19</v>
      </c>
      <c r="L1381" t="s">
        <v>62</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x14ac:dyDescent="0.3">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x14ac:dyDescent="0.3">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x14ac:dyDescent="0.3">
      <c r="A1384" t="s">
        <v>1483</v>
      </c>
      <c r="B1384" t="s">
        <v>39</v>
      </c>
      <c r="C1384">
        <v>15</v>
      </c>
      <c r="D1384">
        <v>41.6</v>
      </c>
      <c r="E1384">
        <v>624</v>
      </c>
      <c r="F1384" s="1">
        <v>45709</v>
      </c>
      <c r="G1384" s="1">
        <v>45711</v>
      </c>
      <c r="H1384" t="s">
        <v>23</v>
      </c>
      <c r="I1384" t="s">
        <v>35</v>
      </c>
      <c r="J1384">
        <v>4</v>
      </c>
      <c r="K1384" t="s">
        <v>19</v>
      </c>
      <c r="L1384" t="s">
        <v>201</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x14ac:dyDescent="0.3">
      <c r="A1385" t="s">
        <v>1484</v>
      </c>
      <c r="B1385" t="s">
        <v>44</v>
      </c>
      <c r="C1385">
        <v>2</v>
      </c>
      <c r="D1385">
        <v>19.2</v>
      </c>
      <c r="E1385">
        <v>38.4</v>
      </c>
      <c r="F1385" s="1">
        <v>45709</v>
      </c>
      <c r="G1385" s="1">
        <v>45712</v>
      </c>
      <c r="H1385" t="s">
        <v>23</v>
      </c>
      <c r="I1385" t="s">
        <v>70</v>
      </c>
      <c r="J1385">
        <v>5</v>
      </c>
      <c r="K1385" t="s">
        <v>19</v>
      </c>
      <c r="L1385" t="s">
        <v>72</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x14ac:dyDescent="0.3">
      <c r="A1386" t="s">
        <v>1485</v>
      </c>
      <c r="B1386" t="s">
        <v>135</v>
      </c>
      <c r="C1386">
        <v>7</v>
      </c>
      <c r="D1386">
        <v>41.8</v>
      </c>
      <c r="E1386">
        <v>292.59999999999997</v>
      </c>
      <c r="F1386" s="1">
        <v>45709</v>
      </c>
      <c r="G1386" s="1">
        <v>45711</v>
      </c>
      <c r="H1386" t="s">
        <v>27</v>
      </c>
      <c r="I1386" t="s">
        <v>40</v>
      </c>
      <c r="J1386">
        <v>4</v>
      </c>
      <c r="K1386" t="s">
        <v>19</v>
      </c>
      <c r="L1386" t="s">
        <v>77</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x14ac:dyDescent="0.3">
      <c r="A1387" t="s">
        <v>1486</v>
      </c>
      <c r="B1387" t="s">
        <v>44</v>
      </c>
      <c r="C1387">
        <v>6</v>
      </c>
      <c r="D1387">
        <v>37.4</v>
      </c>
      <c r="E1387">
        <v>224.39999999999998</v>
      </c>
      <c r="F1387" s="1">
        <v>45709</v>
      </c>
      <c r="G1387" s="1">
        <v>45711</v>
      </c>
      <c r="H1387" t="s">
        <v>23</v>
      </c>
      <c r="I1387" t="s">
        <v>18</v>
      </c>
      <c r="J1387">
        <v>5</v>
      </c>
      <c r="K1387" t="s">
        <v>19</v>
      </c>
      <c r="L1387" t="s">
        <v>77</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x14ac:dyDescent="0.3">
      <c r="A1388" t="s">
        <v>1487</v>
      </c>
      <c r="B1388" t="s">
        <v>54</v>
      </c>
      <c r="C1388">
        <v>3</v>
      </c>
      <c r="D1388">
        <v>60.2</v>
      </c>
      <c r="E1388">
        <v>180.60000000000002</v>
      </c>
      <c r="F1388" s="1">
        <v>45709</v>
      </c>
      <c r="G1388" s="1">
        <v>45712</v>
      </c>
      <c r="H1388" t="s">
        <v>23</v>
      </c>
      <c r="I1388" t="s">
        <v>70</v>
      </c>
      <c r="J1388">
        <v>3</v>
      </c>
      <c r="K1388" t="s">
        <v>19</v>
      </c>
      <c r="L1388" t="s">
        <v>377</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x14ac:dyDescent="0.3">
      <c r="A1389" t="s">
        <v>1488</v>
      </c>
      <c r="B1389" t="s">
        <v>46</v>
      </c>
      <c r="C1389">
        <v>2</v>
      </c>
      <c r="D1389">
        <v>91.5</v>
      </c>
      <c r="E1389">
        <v>183</v>
      </c>
      <c r="F1389" s="1">
        <v>45710</v>
      </c>
      <c r="G1389" s="1">
        <v>45711</v>
      </c>
      <c r="H1389" t="s">
        <v>23</v>
      </c>
      <c r="I1389" t="s">
        <v>18</v>
      </c>
      <c r="J1389">
        <v>4</v>
      </c>
      <c r="K1389" t="s">
        <v>19</v>
      </c>
      <c r="L1389" t="s">
        <v>82</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x14ac:dyDescent="0.3">
      <c r="A1390" t="s">
        <v>1489</v>
      </c>
      <c r="B1390" t="s">
        <v>30</v>
      </c>
      <c r="C1390">
        <v>5</v>
      </c>
      <c r="D1390">
        <v>55.7</v>
      </c>
      <c r="E1390">
        <v>278.5</v>
      </c>
      <c r="F1390" s="1">
        <v>45710</v>
      </c>
      <c r="G1390" s="1">
        <v>45712</v>
      </c>
      <c r="H1390" t="s">
        <v>17</v>
      </c>
      <c r="I1390" t="s">
        <v>35</v>
      </c>
      <c r="J1390">
        <v>5</v>
      </c>
      <c r="K1390" t="s">
        <v>19</v>
      </c>
      <c r="L1390" t="s">
        <v>115</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x14ac:dyDescent="0.3">
      <c r="A1391" t="s">
        <v>1490</v>
      </c>
      <c r="B1391" t="s">
        <v>42</v>
      </c>
      <c r="C1391">
        <v>2</v>
      </c>
      <c r="D1391">
        <v>76.7</v>
      </c>
      <c r="E1391">
        <v>153.4</v>
      </c>
      <c r="F1391" s="1">
        <v>45710</v>
      </c>
      <c r="G1391" s="1">
        <v>45712</v>
      </c>
      <c r="H1391" t="s">
        <v>23</v>
      </c>
      <c r="I1391" t="s">
        <v>18</v>
      </c>
      <c r="J1391">
        <v>3</v>
      </c>
      <c r="K1391" t="s">
        <v>19</v>
      </c>
      <c r="L1391" t="s">
        <v>115</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x14ac:dyDescent="0.3">
      <c r="A1392" t="s">
        <v>1491</v>
      </c>
      <c r="B1392" t="s">
        <v>44</v>
      </c>
      <c r="C1392">
        <v>21</v>
      </c>
      <c r="D1392">
        <v>28.2</v>
      </c>
      <c r="E1392">
        <v>592.19999999999993</v>
      </c>
      <c r="F1392" s="1">
        <v>45710</v>
      </c>
      <c r="G1392" s="1">
        <v>45715</v>
      </c>
      <c r="H1392" t="s">
        <v>23</v>
      </c>
      <c r="I1392" t="s">
        <v>40</v>
      </c>
      <c r="J1392">
        <v>4</v>
      </c>
      <c r="K1392" t="s">
        <v>19</v>
      </c>
      <c r="L1392" t="s">
        <v>24</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x14ac:dyDescent="0.3">
      <c r="A1393" t="s">
        <v>1492</v>
      </c>
      <c r="B1393" t="s">
        <v>42</v>
      </c>
      <c r="C1393">
        <v>5</v>
      </c>
      <c r="D1393">
        <v>93.2</v>
      </c>
      <c r="E1393">
        <v>466</v>
      </c>
      <c r="F1393" s="1">
        <v>45710</v>
      </c>
      <c r="G1393" s="1">
        <v>45712</v>
      </c>
      <c r="H1393" t="s">
        <v>27</v>
      </c>
      <c r="I1393" t="s">
        <v>70</v>
      </c>
      <c r="J1393">
        <v>5</v>
      </c>
      <c r="K1393" t="s">
        <v>19</v>
      </c>
      <c r="L1393" t="s">
        <v>24</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x14ac:dyDescent="0.3">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x14ac:dyDescent="0.3">
      <c r="A1395" t="s">
        <v>1494</v>
      </c>
      <c r="B1395" t="s">
        <v>54</v>
      </c>
      <c r="C1395">
        <v>2</v>
      </c>
      <c r="D1395">
        <v>39.1</v>
      </c>
      <c r="E1395">
        <v>78.2</v>
      </c>
      <c r="F1395" s="1">
        <v>45710</v>
      </c>
      <c r="G1395" s="1">
        <v>45713</v>
      </c>
      <c r="H1395" t="s">
        <v>23</v>
      </c>
      <c r="I1395" t="s">
        <v>18</v>
      </c>
      <c r="J1395">
        <v>4</v>
      </c>
      <c r="K1395" t="s">
        <v>19</v>
      </c>
      <c r="L1395" t="s">
        <v>587</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x14ac:dyDescent="0.3">
      <c r="A1396" t="s">
        <v>1495</v>
      </c>
      <c r="B1396" t="s">
        <v>42</v>
      </c>
      <c r="C1396">
        <v>12</v>
      </c>
      <c r="D1396">
        <v>45.3</v>
      </c>
      <c r="E1396">
        <v>543.59999999999991</v>
      </c>
      <c r="F1396" s="1">
        <v>45710</v>
      </c>
      <c r="G1396" s="1">
        <v>45711</v>
      </c>
      <c r="H1396" t="s">
        <v>23</v>
      </c>
      <c r="I1396" t="s">
        <v>40</v>
      </c>
      <c r="J1396">
        <v>4</v>
      </c>
      <c r="K1396" t="s">
        <v>19</v>
      </c>
      <c r="L1396" t="s">
        <v>331</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x14ac:dyDescent="0.3">
      <c r="A1397" t="s">
        <v>1496</v>
      </c>
      <c r="B1397" t="s">
        <v>46</v>
      </c>
      <c r="C1397">
        <v>7</v>
      </c>
      <c r="D1397">
        <v>33.9</v>
      </c>
      <c r="E1397">
        <v>237.29999999999998</v>
      </c>
      <c r="F1397" s="1">
        <v>45710</v>
      </c>
      <c r="G1397" s="1">
        <v>45711</v>
      </c>
      <c r="H1397" t="s">
        <v>23</v>
      </c>
      <c r="I1397" t="s">
        <v>70</v>
      </c>
      <c r="J1397">
        <v>4</v>
      </c>
      <c r="K1397" t="s">
        <v>19</v>
      </c>
      <c r="L1397" t="s">
        <v>331</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x14ac:dyDescent="0.3">
      <c r="A1398" t="s">
        <v>1497</v>
      </c>
      <c r="B1398" t="s">
        <v>44</v>
      </c>
      <c r="C1398">
        <v>3</v>
      </c>
      <c r="D1398">
        <v>19</v>
      </c>
      <c r="E1398">
        <v>57</v>
      </c>
      <c r="F1398" s="1">
        <v>45710</v>
      </c>
      <c r="G1398" s="1">
        <v>45711</v>
      </c>
      <c r="H1398" t="s">
        <v>23</v>
      </c>
      <c r="I1398" t="s">
        <v>18</v>
      </c>
      <c r="J1398">
        <v>5</v>
      </c>
      <c r="K1398" t="s">
        <v>19</v>
      </c>
      <c r="L1398" t="s">
        <v>86</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x14ac:dyDescent="0.3">
      <c r="A1399" t="s">
        <v>1498</v>
      </c>
      <c r="B1399" t="s">
        <v>32</v>
      </c>
      <c r="C1399">
        <v>1</v>
      </c>
      <c r="D1399">
        <v>41.9</v>
      </c>
      <c r="E1399">
        <v>41.9</v>
      </c>
      <c r="F1399" s="1">
        <v>45710</v>
      </c>
      <c r="G1399" s="1">
        <v>45713</v>
      </c>
      <c r="H1399" t="s">
        <v>27</v>
      </c>
      <c r="I1399" t="s">
        <v>40</v>
      </c>
      <c r="J1399">
        <v>4</v>
      </c>
      <c r="K1399" t="s">
        <v>19</v>
      </c>
      <c r="L1399" t="s">
        <v>147</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x14ac:dyDescent="0.3">
      <c r="A1400" t="s">
        <v>1499</v>
      </c>
      <c r="B1400" t="s">
        <v>22</v>
      </c>
      <c r="C1400">
        <v>4</v>
      </c>
      <c r="D1400">
        <v>37.5</v>
      </c>
      <c r="E1400">
        <v>150</v>
      </c>
      <c r="F1400" s="1">
        <v>45710</v>
      </c>
      <c r="G1400" s="1">
        <v>45710</v>
      </c>
      <c r="H1400" t="s">
        <v>27</v>
      </c>
      <c r="I1400" t="s">
        <v>18</v>
      </c>
      <c r="J1400">
        <v>4</v>
      </c>
      <c r="K1400" t="s">
        <v>19</v>
      </c>
      <c r="L1400" t="s">
        <v>33</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x14ac:dyDescent="0.3">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x14ac:dyDescent="0.3">
      <c r="A1402" t="s">
        <v>1501</v>
      </c>
      <c r="B1402" t="s">
        <v>16</v>
      </c>
      <c r="C1402">
        <v>4</v>
      </c>
      <c r="D1402">
        <v>23.1</v>
      </c>
      <c r="E1402">
        <v>92.4</v>
      </c>
      <c r="F1402" s="1">
        <v>45710</v>
      </c>
      <c r="G1402" s="1">
        <v>45711</v>
      </c>
      <c r="H1402" t="s">
        <v>27</v>
      </c>
      <c r="I1402" t="s">
        <v>70</v>
      </c>
      <c r="J1402">
        <v>4</v>
      </c>
      <c r="K1402" t="s">
        <v>19</v>
      </c>
      <c r="L1402" t="s">
        <v>33</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x14ac:dyDescent="0.3">
      <c r="A1403" t="s">
        <v>1502</v>
      </c>
      <c r="B1403" t="s">
        <v>44</v>
      </c>
      <c r="C1403">
        <v>5</v>
      </c>
      <c r="D1403">
        <v>39.299999999999997</v>
      </c>
      <c r="E1403">
        <v>196.5</v>
      </c>
      <c r="F1403" s="1">
        <v>45710</v>
      </c>
      <c r="G1403" s="1">
        <v>45711</v>
      </c>
      <c r="H1403" t="s">
        <v>27</v>
      </c>
      <c r="I1403" t="s">
        <v>18</v>
      </c>
      <c r="J1403">
        <v>4</v>
      </c>
      <c r="K1403" t="s">
        <v>19</v>
      </c>
      <c r="L1403" t="s">
        <v>33</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x14ac:dyDescent="0.3">
      <c r="A1404" t="s">
        <v>1503</v>
      </c>
      <c r="B1404" t="s">
        <v>26</v>
      </c>
      <c r="C1404">
        <v>4</v>
      </c>
      <c r="D1404">
        <v>85.2</v>
      </c>
      <c r="E1404">
        <v>340.8</v>
      </c>
      <c r="F1404" s="1">
        <v>45710</v>
      </c>
      <c r="G1404" s="1">
        <v>45715</v>
      </c>
      <c r="H1404" t="s">
        <v>23</v>
      </c>
      <c r="I1404" t="s">
        <v>40</v>
      </c>
      <c r="J1404">
        <v>4</v>
      </c>
      <c r="K1404" t="s">
        <v>19</v>
      </c>
      <c r="L1404" t="s">
        <v>33</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x14ac:dyDescent="0.3">
      <c r="A1405" t="s">
        <v>1504</v>
      </c>
      <c r="B1405" t="s">
        <v>44</v>
      </c>
      <c r="C1405">
        <v>6</v>
      </c>
      <c r="D1405">
        <v>16</v>
      </c>
      <c r="E1405">
        <v>96</v>
      </c>
      <c r="F1405" s="1">
        <v>45710</v>
      </c>
      <c r="G1405" s="1">
        <v>45713</v>
      </c>
      <c r="H1405" t="s">
        <v>23</v>
      </c>
      <c r="I1405" t="s">
        <v>35</v>
      </c>
      <c r="J1405">
        <v>4</v>
      </c>
      <c r="K1405" t="s">
        <v>19</v>
      </c>
      <c r="L1405" t="s">
        <v>33</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x14ac:dyDescent="0.3">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x14ac:dyDescent="0.3">
      <c r="A1407" t="s">
        <v>1506</v>
      </c>
      <c r="B1407" t="s">
        <v>30</v>
      </c>
      <c r="C1407">
        <v>1</v>
      </c>
      <c r="D1407">
        <v>70</v>
      </c>
      <c r="E1407">
        <v>70</v>
      </c>
      <c r="F1407" s="1">
        <v>45710</v>
      </c>
      <c r="G1407" s="1">
        <v>45711</v>
      </c>
      <c r="H1407" t="s">
        <v>27</v>
      </c>
      <c r="I1407" t="s">
        <v>18</v>
      </c>
      <c r="J1407">
        <v>4</v>
      </c>
      <c r="K1407" t="s">
        <v>19</v>
      </c>
      <c r="L1407" t="s">
        <v>33</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x14ac:dyDescent="0.3">
      <c r="A1408" t="s">
        <v>1507</v>
      </c>
      <c r="B1408" t="s">
        <v>46</v>
      </c>
      <c r="C1408">
        <v>1</v>
      </c>
      <c r="D1408">
        <v>88</v>
      </c>
      <c r="E1408">
        <v>88</v>
      </c>
      <c r="F1408" s="1">
        <v>45710</v>
      </c>
      <c r="G1408" s="1">
        <v>45715</v>
      </c>
      <c r="H1408" t="s">
        <v>27</v>
      </c>
      <c r="I1408" t="s">
        <v>51</v>
      </c>
      <c r="J1408">
        <v>4</v>
      </c>
      <c r="K1408" t="s">
        <v>19</v>
      </c>
      <c r="L1408" t="s">
        <v>33</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x14ac:dyDescent="0.3">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x14ac:dyDescent="0.3">
      <c r="A1410" t="s">
        <v>1509</v>
      </c>
      <c r="B1410" t="s">
        <v>26</v>
      </c>
      <c r="C1410">
        <v>1</v>
      </c>
      <c r="D1410">
        <v>161.9</v>
      </c>
      <c r="E1410">
        <v>161.9</v>
      </c>
      <c r="F1410" s="1">
        <v>45710</v>
      </c>
      <c r="G1410" s="1">
        <v>45712</v>
      </c>
      <c r="H1410" t="s">
        <v>23</v>
      </c>
      <c r="I1410" t="s">
        <v>40</v>
      </c>
      <c r="J1410">
        <v>4</v>
      </c>
      <c r="K1410" t="s">
        <v>19</v>
      </c>
      <c r="L1410" t="s">
        <v>33</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x14ac:dyDescent="0.3">
      <c r="A1411" t="s">
        <v>1510</v>
      </c>
      <c r="B1411" t="s">
        <v>32</v>
      </c>
      <c r="C1411">
        <v>2</v>
      </c>
      <c r="D1411">
        <v>44</v>
      </c>
      <c r="E1411">
        <v>88</v>
      </c>
      <c r="F1411" s="1">
        <v>45710</v>
      </c>
      <c r="G1411" s="1">
        <v>45711</v>
      </c>
      <c r="H1411" t="s">
        <v>89</v>
      </c>
      <c r="I1411" t="s">
        <v>70</v>
      </c>
      <c r="J1411">
        <v>3</v>
      </c>
      <c r="K1411" t="s">
        <v>19</v>
      </c>
      <c r="L1411" t="s">
        <v>33</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x14ac:dyDescent="0.3">
      <c r="A1412" t="s">
        <v>1511</v>
      </c>
      <c r="B1412" t="s">
        <v>67</v>
      </c>
      <c r="C1412">
        <v>1</v>
      </c>
      <c r="D1412">
        <v>32.1</v>
      </c>
      <c r="E1412">
        <v>32.1</v>
      </c>
      <c r="F1412" s="1">
        <v>45710</v>
      </c>
      <c r="G1412" s="1">
        <v>45710</v>
      </c>
      <c r="H1412" t="s">
        <v>27</v>
      </c>
      <c r="I1412" t="s">
        <v>51</v>
      </c>
      <c r="J1412">
        <v>1</v>
      </c>
      <c r="K1412" t="s">
        <v>19</v>
      </c>
      <c r="L1412" t="s">
        <v>33</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x14ac:dyDescent="0.3">
      <c r="A1413" t="s">
        <v>1512</v>
      </c>
      <c r="B1413" t="s">
        <v>26</v>
      </c>
      <c r="C1413">
        <v>4</v>
      </c>
      <c r="D1413">
        <v>104.8</v>
      </c>
      <c r="E1413">
        <v>419.2</v>
      </c>
      <c r="F1413" s="1">
        <v>45711</v>
      </c>
      <c r="G1413" s="1">
        <v>45713</v>
      </c>
      <c r="H1413" t="s">
        <v>89</v>
      </c>
      <c r="I1413" t="s">
        <v>18</v>
      </c>
      <c r="J1413">
        <v>4</v>
      </c>
      <c r="K1413" t="s">
        <v>19</v>
      </c>
      <c r="L1413" t="s">
        <v>33</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x14ac:dyDescent="0.3">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x14ac:dyDescent="0.3">
      <c r="A1415" t="s">
        <v>1514</v>
      </c>
      <c r="B1415" t="s">
        <v>39</v>
      </c>
      <c r="C1415">
        <v>2</v>
      </c>
      <c r="D1415">
        <v>115.2</v>
      </c>
      <c r="E1415">
        <v>230.4</v>
      </c>
      <c r="F1415" s="1">
        <v>45711</v>
      </c>
      <c r="G1415" s="1">
        <v>45712</v>
      </c>
      <c r="H1415" t="s">
        <v>27</v>
      </c>
      <c r="I1415" t="s">
        <v>35</v>
      </c>
      <c r="J1415">
        <v>4</v>
      </c>
      <c r="K1415" t="s">
        <v>19</v>
      </c>
      <c r="L1415" t="s">
        <v>49</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x14ac:dyDescent="0.3">
      <c r="A1416" t="s">
        <v>1515</v>
      </c>
      <c r="B1416" t="s">
        <v>44</v>
      </c>
      <c r="C1416">
        <v>29</v>
      </c>
      <c r="D1416">
        <v>15.5</v>
      </c>
      <c r="E1416">
        <v>449.5</v>
      </c>
      <c r="F1416" s="1">
        <v>45711</v>
      </c>
      <c r="G1416" s="1">
        <v>45713</v>
      </c>
      <c r="H1416" t="s">
        <v>27</v>
      </c>
      <c r="I1416" t="s">
        <v>18</v>
      </c>
      <c r="J1416">
        <v>3</v>
      </c>
      <c r="K1416" t="s">
        <v>19</v>
      </c>
      <c r="L1416" t="s">
        <v>158</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x14ac:dyDescent="0.3">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x14ac:dyDescent="0.3">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x14ac:dyDescent="0.3">
      <c r="A1419" t="s">
        <v>1518</v>
      </c>
      <c r="B1419" t="s">
        <v>44</v>
      </c>
      <c r="C1419">
        <v>5</v>
      </c>
      <c r="D1419">
        <v>32.5</v>
      </c>
      <c r="E1419">
        <v>162.5</v>
      </c>
      <c r="F1419" s="1">
        <v>45711</v>
      </c>
      <c r="G1419" s="1">
        <v>45715</v>
      </c>
      <c r="H1419" t="s">
        <v>23</v>
      </c>
      <c r="I1419" t="s">
        <v>40</v>
      </c>
      <c r="J1419">
        <v>3</v>
      </c>
      <c r="K1419" t="s">
        <v>19</v>
      </c>
      <c r="L1419" t="s">
        <v>62</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x14ac:dyDescent="0.3">
      <c r="A1420" t="s">
        <v>1519</v>
      </c>
      <c r="B1420" t="s">
        <v>123</v>
      </c>
      <c r="C1420">
        <v>3</v>
      </c>
      <c r="D1420">
        <v>61.2</v>
      </c>
      <c r="E1420">
        <v>183.60000000000002</v>
      </c>
      <c r="F1420" s="1">
        <v>45711</v>
      </c>
      <c r="G1420" s="1">
        <v>45713</v>
      </c>
      <c r="H1420" t="s">
        <v>27</v>
      </c>
      <c r="I1420" t="s">
        <v>35</v>
      </c>
      <c r="J1420">
        <v>3</v>
      </c>
      <c r="K1420" t="s">
        <v>19</v>
      </c>
      <c r="L1420" t="s">
        <v>62</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x14ac:dyDescent="0.3">
      <c r="A1421" t="s">
        <v>1520</v>
      </c>
      <c r="B1421" t="s">
        <v>46</v>
      </c>
      <c r="C1421">
        <v>2</v>
      </c>
      <c r="D1421">
        <v>54.2</v>
      </c>
      <c r="E1421">
        <v>108.4</v>
      </c>
      <c r="F1421" s="1">
        <v>45711</v>
      </c>
      <c r="G1421" s="1">
        <v>45712</v>
      </c>
      <c r="H1421" t="s">
        <v>27</v>
      </c>
      <c r="I1421" t="s">
        <v>35</v>
      </c>
      <c r="J1421">
        <v>4</v>
      </c>
      <c r="K1421" t="s">
        <v>19</v>
      </c>
      <c r="L1421" t="s">
        <v>62</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x14ac:dyDescent="0.3">
      <c r="A1422" t="s">
        <v>1521</v>
      </c>
      <c r="B1422" t="s">
        <v>67</v>
      </c>
      <c r="C1422">
        <v>8</v>
      </c>
      <c r="D1422">
        <v>28.7</v>
      </c>
      <c r="E1422">
        <v>229.6</v>
      </c>
      <c r="F1422" s="1">
        <v>45711</v>
      </c>
      <c r="G1422" s="1">
        <v>45713</v>
      </c>
      <c r="H1422" t="s">
        <v>23</v>
      </c>
      <c r="I1422" t="s">
        <v>35</v>
      </c>
      <c r="J1422">
        <v>4</v>
      </c>
      <c r="K1422" t="s">
        <v>19</v>
      </c>
      <c r="L1422" t="s">
        <v>72</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x14ac:dyDescent="0.3">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x14ac:dyDescent="0.3">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x14ac:dyDescent="0.3">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x14ac:dyDescent="0.3">
      <c r="A1426" t="s">
        <v>1525</v>
      </c>
      <c r="B1426" t="s">
        <v>128</v>
      </c>
      <c r="C1426">
        <v>15</v>
      </c>
      <c r="D1426">
        <v>72.599999999999994</v>
      </c>
      <c r="E1426">
        <v>1089</v>
      </c>
      <c r="F1426" s="1">
        <v>45711</v>
      </c>
      <c r="G1426" s="1">
        <v>45711</v>
      </c>
      <c r="H1426" t="s">
        <v>17</v>
      </c>
      <c r="I1426" t="s">
        <v>35</v>
      </c>
      <c r="J1426">
        <v>3</v>
      </c>
      <c r="K1426" t="s">
        <v>19</v>
      </c>
      <c r="L1426" t="s">
        <v>77</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x14ac:dyDescent="0.3">
      <c r="A1427" t="s">
        <v>1526</v>
      </c>
      <c r="B1427" t="s">
        <v>42</v>
      </c>
      <c r="C1427">
        <v>1</v>
      </c>
      <c r="D1427">
        <v>62.3</v>
      </c>
      <c r="E1427">
        <v>62.3</v>
      </c>
      <c r="F1427" s="1">
        <v>45711</v>
      </c>
      <c r="G1427" s="1">
        <v>45712</v>
      </c>
      <c r="H1427" t="s">
        <v>27</v>
      </c>
      <c r="I1427" t="s">
        <v>35</v>
      </c>
      <c r="J1427">
        <v>4</v>
      </c>
      <c r="K1427" t="s">
        <v>19</v>
      </c>
      <c r="L1427" t="s">
        <v>77</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x14ac:dyDescent="0.3">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x14ac:dyDescent="0.3">
      <c r="A1429" t="s">
        <v>1528</v>
      </c>
      <c r="B1429" t="s">
        <v>46</v>
      </c>
      <c r="C1429">
        <v>1</v>
      </c>
      <c r="D1429">
        <v>85.7</v>
      </c>
      <c r="E1429">
        <v>85.7</v>
      </c>
      <c r="F1429" s="1">
        <v>45711</v>
      </c>
      <c r="G1429" s="1">
        <v>45714</v>
      </c>
      <c r="H1429" t="s">
        <v>23</v>
      </c>
      <c r="I1429" t="s">
        <v>51</v>
      </c>
      <c r="J1429">
        <v>3</v>
      </c>
      <c r="K1429" t="s">
        <v>19</v>
      </c>
      <c r="L1429" t="s">
        <v>115</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x14ac:dyDescent="0.3">
      <c r="A1430" t="s">
        <v>1529</v>
      </c>
      <c r="B1430" t="s">
        <v>39</v>
      </c>
      <c r="C1430">
        <v>2</v>
      </c>
      <c r="D1430">
        <v>92.1</v>
      </c>
      <c r="E1430">
        <v>184.2</v>
      </c>
      <c r="F1430" s="1">
        <v>45711</v>
      </c>
      <c r="G1430" s="1">
        <v>45713</v>
      </c>
      <c r="H1430" t="s">
        <v>23</v>
      </c>
      <c r="I1430" t="s">
        <v>35</v>
      </c>
      <c r="J1430">
        <v>4</v>
      </c>
      <c r="K1430" t="s">
        <v>19</v>
      </c>
      <c r="L1430" t="s">
        <v>115</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x14ac:dyDescent="0.3">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x14ac:dyDescent="0.3">
      <c r="A1432" t="s">
        <v>1531</v>
      </c>
      <c r="B1432" t="s">
        <v>46</v>
      </c>
      <c r="C1432">
        <v>7</v>
      </c>
      <c r="D1432">
        <v>20.3</v>
      </c>
      <c r="E1432">
        <v>142.1</v>
      </c>
      <c r="F1432" s="1">
        <v>45711</v>
      </c>
      <c r="G1432" s="1">
        <v>45712</v>
      </c>
      <c r="H1432" t="s">
        <v>27</v>
      </c>
      <c r="I1432" t="s">
        <v>40</v>
      </c>
      <c r="J1432">
        <v>5</v>
      </c>
      <c r="K1432" t="s">
        <v>19</v>
      </c>
      <c r="L1432" t="s">
        <v>28</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x14ac:dyDescent="0.3">
      <c r="A1433" t="s">
        <v>1532</v>
      </c>
      <c r="B1433" t="s">
        <v>171</v>
      </c>
      <c r="C1433">
        <v>2</v>
      </c>
      <c r="D1433">
        <v>29.8</v>
      </c>
      <c r="E1433">
        <v>59.6</v>
      </c>
      <c r="F1433" s="1">
        <v>45711</v>
      </c>
      <c r="G1433" s="1">
        <v>45713</v>
      </c>
      <c r="H1433" t="s">
        <v>27</v>
      </c>
      <c r="I1433" t="s">
        <v>35</v>
      </c>
      <c r="J1433">
        <v>5</v>
      </c>
      <c r="K1433" t="s">
        <v>19</v>
      </c>
      <c r="L1433" t="s">
        <v>334</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x14ac:dyDescent="0.3">
      <c r="A1434" t="s">
        <v>1533</v>
      </c>
      <c r="B1434" t="s">
        <v>16</v>
      </c>
      <c r="C1434">
        <v>2</v>
      </c>
      <c r="D1434">
        <v>24.2</v>
      </c>
      <c r="E1434">
        <v>48.4</v>
      </c>
      <c r="F1434" s="1">
        <v>45711</v>
      </c>
      <c r="G1434" s="1">
        <v>45713</v>
      </c>
      <c r="H1434" t="s">
        <v>27</v>
      </c>
      <c r="I1434" t="s">
        <v>51</v>
      </c>
      <c r="J1434">
        <v>5</v>
      </c>
      <c r="K1434" t="s">
        <v>19</v>
      </c>
      <c r="L1434" t="s">
        <v>33</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x14ac:dyDescent="0.3">
      <c r="A1435" t="s">
        <v>1534</v>
      </c>
      <c r="B1435" t="s">
        <v>30</v>
      </c>
      <c r="C1435">
        <v>1</v>
      </c>
      <c r="D1435">
        <v>57.3</v>
      </c>
      <c r="E1435">
        <v>57.3</v>
      </c>
      <c r="F1435" s="1">
        <v>45711</v>
      </c>
      <c r="G1435" s="1">
        <v>45713</v>
      </c>
      <c r="H1435" t="s">
        <v>23</v>
      </c>
      <c r="I1435" t="s">
        <v>18</v>
      </c>
      <c r="J1435">
        <v>4</v>
      </c>
      <c r="K1435" t="s">
        <v>19</v>
      </c>
      <c r="L1435" t="s">
        <v>33</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x14ac:dyDescent="0.3">
      <c r="A1436" t="s">
        <v>1535</v>
      </c>
      <c r="B1436" t="s">
        <v>26</v>
      </c>
      <c r="C1436">
        <v>1</v>
      </c>
      <c r="D1436">
        <v>108.9</v>
      </c>
      <c r="E1436">
        <v>108.9</v>
      </c>
      <c r="F1436" s="1">
        <v>45711</v>
      </c>
      <c r="G1436" s="1">
        <v>45713</v>
      </c>
      <c r="H1436" t="s">
        <v>27</v>
      </c>
      <c r="I1436" t="s">
        <v>35</v>
      </c>
      <c r="J1436">
        <v>4</v>
      </c>
      <c r="K1436" t="s">
        <v>19</v>
      </c>
      <c r="L1436" t="s">
        <v>33</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x14ac:dyDescent="0.3">
      <c r="A1437" t="s">
        <v>1536</v>
      </c>
      <c r="B1437" t="s">
        <v>42</v>
      </c>
      <c r="C1437">
        <v>5</v>
      </c>
      <c r="D1437">
        <v>50.7</v>
      </c>
      <c r="E1437">
        <v>253.5</v>
      </c>
      <c r="F1437" s="1">
        <v>45711</v>
      </c>
      <c r="G1437" s="1">
        <v>45712</v>
      </c>
      <c r="H1437" t="s">
        <v>27</v>
      </c>
      <c r="I1437" t="s">
        <v>18</v>
      </c>
      <c r="J1437">
        <v>4</v>
      </c>
      <c r="K1437" t="s">
        <v>19</v>
      </c>
      <c r="L1437" t="s">
        <v>33</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x14ac:dyDescent="0.3">
      <c r="A1438" t="s">
        <v>1537</v>
      </c>
      <c r="B1438" t="s">
        <v>42</v>
      </c>
      <c r="C1438">
        <v>9</v>
      </c>
      <c r="D1438">
        <v>66.099999999999994</v>
      </c>
      <c r="E1438">
        <v>594.9</v>
      </c>
      <c r="F1438" s="1">
        <v>45711</v>
      </c>
      <c r="G1438" s="1">
        <v>45725</v>
      </c>
      <c r="H1438" t="s">
        <v>27</v>
      </c>
      <c r="I1438" t="s">
        <v>35</v>
      </c>
      <c r="J1438">
        <v>4</v>
      </c>
      <c r="K1438" t="s">
        <v>19</v>
      </c>
      <c r="L1438" t="s">
        <v>33</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x14ac:dyDescent="0.3">
      <c r="A1439" t="s">
        <v>1538</v>
      </c>
      <c r="B1439" t="s">
        <v>69</v>
      </c>
      <c r="C1439">
        <v>5</v>
      </c>
      <c r="D1439">
        <v>36.700000000000003</v>
      </c>
      <c r="E1439">
        <v>183.5</v>
      </c>
      <c r="F1439" s="1">
        <v>45711</v>
      </c>
      <c r="G1439" s="1">
        <v>45715</v>
      </c>
      <c r="H1439" t="s">
        <v>27</v>
      </c>
      <c r="I1439" t="s">
        <v>70</v>
      </c>
      <c r="J1439">
        <v>4</v>
      </c>
      <c r="K1439" t="s">
        <v>19</v>
      </c>
      <c r="L1439" t="s">
        <v>33</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x14ac:dyDescent="0.3">
      <c r="A1440" t="s">
        <v>1539</v>
      </c>
      <c r="B1440" t="s">
        <v>44</v>
      </c>
      <c r="C1440">
        <v>17</v>
      </c>
      <c r="D1440">
        <v>19.3</v>
      </c>
      <c r="E1440">
        <v>328.1</v>
      </c>
      <c r="F1440" s="1">
        <v>45711</v>
      </c>
      <c r="G1440" s="1">
        <v>45713</v>
      </c>
      <c r="H1440" t="s">
        <v>23</v>
      </c>
      <c r="I1440" t="s">
        <v>18</v>
      </c>
      <c r="J1440">
        <v>4</v>
      </c>
      <c r="K1440" t="s">
        <v>19</v>
      </c>
      <c r="L1440" t="s">
        <v>545</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x14ac:dyDescent="0.3">
      <c r="A1441" t="s">
        <v>1540</v>
      </c>
      <c r="B1441" t="s">
        <v>44</v>
      </c>
      <c r="C1441">
        <v>4</v>
      </c>
      <c r="D1441">
        <v>20.7</v>
      </c>
      <c r="E1441">
        <v>82.8</v>
      </c>
      <c r="F1441" s="1">
        <v>45711</v>
      </c>
      <c r="G1441" s="1">
        <v>45712</v>
      </c>
      <c r="H1441" t="s">
        <v>23</v>
      </c>
      <c r="I1441" t="s">
        <v>35</v>
      </c>
      <c r="J1441">
        <v>5</v>
      </c>
      <c r="K1441" t="s">
        <v>19</v>
      </c>
      <c r="L1441" t="s">
        <v>55</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x14ac:dyDescent="0.3">
      <c r="A1442" t="s">
        <v>1541</v>
      </c>
      <c r="B1442" t="s">
        <v>37</v>
      </c>
      <c r="C1442">
        <v>3</v>
      </c>
      <c r="D1442">
        <v>54.7</v>
      </c>
      <c r="E1442">
        <v>164.10000000000002</v>
      </c>
      <c r="F1442" s="1">
        <v>45711</v>
      </c>
      <c r="G1442" s="1">
        <v>45711</v>
      </c>
      <c r="H1442" t="s">
        <v>89</v>
      </c>
      <c r="I1442" t="s">
        <v>35</v>
      </c>
      <c r="J1442">
        <v>2</v>
      </c>
      <c r="K1442" t="s">
        <v>19</v>
      </c>
      <c r="L1442" t="s">
        <v>55</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x14ac:dyDescent="0.3">
      <c r="A1443" t="s">
        <v>1542</v>
      </c>
      <c r="B1443" t="s">
        <v>32</v>
      </c>
      <c r="C1443">
        <v>2</v>
      </c>
      <c r="D1443">
        <v>19.8</v>
      </c>
      <c r="E1443">
        <v>39.6</v>
      </c>
      <c r="F1443" s="1">
        <v>45711</v>
      </c>
      <c r="G1443" s="1">
        <v>45715</v>
      </c>
      <c r="H1443" t="s">
        <v>27</v>
      </c>
      <c r="I1443" t="s">
        <v>70</v>
      </c>
      <c r="J1443">
        <v>3</v>
      </c>
      <c r="K1443" t="s">
        <v>19</v>
      </c>
      <c r="L1443" t="s">
        <v>62</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x14ac:dyDescent="0.3">
      <c r="A1444" t="s">
        <v>1543</v>
      </c>
      <c r="B1444" t="s">
        <v>42</v>
      </c>
      <c r="C1444">
        <v>1</v>
      </c>
      <c r="D1444">
        <v>41.1</v>
      </c>
      <c r="E1444">
        <v>41.1</v>
      </c>
      <c r="F1444" s="1">
        <v>45711</v>
      </c>
      <c r="G1444" s="1">
        <v>45713</v>
      </c>
      <c r="H1444" t="s">
        <v>27</v>
      </c>
      <c r="I1444" t="s">
        <v>18</v>
      </c>
      <c r="J1444">
        <v>5</v>
      </c>
      <c r="K1444" t="s">
        <v>19</v>
      </c>
      <c r="L1444" t="s">
        <v>62</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x14ac:dyDescent="0.3">
      <c r="A1445" t="s">
        <v>1544</v>
      </c>
      <c r="B1445" t="s">
        <v>67</v>
      </c>
      <c r="C1445">
        <v>8</v>
      </c>
      <c r="D1445">
        <v>43.5</v>
      </c>
      <c r="E1445">
        <v>348</v>
      </c>
      <c r="F1445" s="1">
        <v>45711</v>
      </c>
      <c r="G1445" s="1">
        <v>45715</v>
      </c>
      <c r="H1445" t="s">
        <v>27</v>
      </c>
      <c r="I1445" t="s">
        <v>51</v>
      </c>
      <c r="J1445">
        <v>4</v>
      </c>
      <c r="K1445" t="s">
        <v>19</v>
      </c>
      <c r="L1445" t="s">
        <v>62</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x14ac:dyDescent="0.3">
      <c r="A1446" t="s">
        <v>1545</v>
      </c>
      <c r="B1446" t="s">
        <v>44</v>
      </c>
      <c r="C1446">
        <v>14</v>
      </c>
      <c r="D1446">
        <v>19</v>
      </c>
      <c r="E1446">
        <v>266</v>
      </c>
      <c r="F1446" s="1">
        <v>45711</v>
      </c>
      <c r="G1446" s="1">
        <v>45712</v>
      </c>
      <c r="H1446" t="s">
        <v>23</v>
      </c>
      <c r="I1446" t="s">
        <v>18</v>
      </c>
      <c r="J1446">
        <v>4</v>
      </c>
      <c r="K1446" t="s">
        <v>19</v>
      </c>
      <c r="L1446" t="s">
        <v>201</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x14ac:dyDescent="0.3">
      <c r="A1447" t="s">
        <v>1546</v>
      </c>
      <c r="B1447" t="s">
        <v>26</v>
      </c>
      <c r="C1447">
        <v>4</v>
      </c>
      <c r="D1447">
        <v>51.4</v>
      </c>
      <c r="E1447">
        <v>205.6</v>
      </c>
      <c r="F1447" s="1">
        <v>45711</v>
      </c>
      <c r="G1447" s="1">
        <v>45711</v>
      </c>
      <c r="H1447" t="s">
        <v>27</v>
      </c>
      <c r="I1447" t="s">
        <v>18</v>
      </c>
      <c r="J1447">
        <v>4</v>
      </c>
      <c r="K1447" t="s">
        <v>19</v>
      </c>
      <c r="L1447" t="s">
        <v>201</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x14ac:dyDescent="0.3">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x14ac:dyDescent="0.3">
      <c r="A1449" t="s">
        <v>1548</v>
      </c>
      <c r="B1449" t="s">
        <v>39</v>
      </c>
      <c r="C1449">
        <v>5</v>
      </c>
      <c r="D1449">
        <v>61</v>
      </c>
      <c r="E1449">
        <v>305</v>
      </c>
      <c r="F1449" s="1">
        <v>45711</v>
      </c>
      <c r="G1449" s="1">
        <v>45712</v>
      </c>
      <c r="H1449" t="s">
        <v>17</v>
      </c>
      <c r="I1449" t="s">
        <v>18</v>
      </c>
      <c r="J1449">
        <v>5</v>
      </c>
      <c r="K1449" t="s">
        <v>19</v>
      </c>
      <c r="L1449" t="s">
        <v>115</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x14ac:dyDescent="0.3">
      <c r="A1450" t="s">
        <v>1549</v>
      </c>
      <c r="B1450" t="s">
        <v>44</v>
      </c>
      <c r="C1450">
        <v>11</v>
      </c>
      <c r="D1450">
        <v>15.1</v>
      </c>
      <c r="E1450">
        <v>166.1</v>
      </c>
      <c r="F1450" s="1">
        <v>45712</v>
      </c>
      <c r="G1450" s="1">
        <v>45717</v>
      </c>
      <c r="H1450" t="s">
        <v>23</v>
      </c>
      <c r="I1450" t="s">
        <v>51</v>
      </c>
      <c r="J1450">
        <v>5</v>
      </c>
      <c r="K1450" t="s">
        <v>19</v>
      </c>
      <c r="L1450" t="s">
        <v>28</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x14ac:dyDescent="0.3">
      <c r="A1451" t="s">
        <v>1550</v>
      </c>
      <c r="B1451" t="s">
        <v>22</v>
      </c>
      <c r="C1451">
        <v>7</v>
      </c>
      <c r="D1451">
        <v>71.3</v>
      </c>
      <c r="E1451">
        <v>499.09999999999997</v>
      </c>
      <c r="F1451" s="1">
        <v>45712</v>
      </c>
      <c r="G1451" s="1">
        <v>45713</v>
      </c>
      <c r="H1451" t="s">
        <v>23</v>
      </c>
      <c r="I1451" t="s">
        <v>70</v>
      </c>
      <c r="J1451">
        <v>4</v>
      </c>
      <c r="K1451" t="s">
        <v>19</v>
      </c>
      <c r="L1451" t="s">
        <v>33</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x14ac:dyDescent="0.3">
      <c r="A1452" t="s">
        <v>1551</v>
      </c>
      <c r="B1452" t="s">
        <v>54</v>
      </c>
      <c r="C1452">
        <v>1</v>
      </c>
      <c r="D1452">
        <v>25.8</v>
      </c>
      <c r="E1452">
        <v>25.8</v>
      </c>
      <c r="F1452" s="1">
        <v>45712</v>
      </c>
      <c r="G1452" s="1">
        <v>45714</v>
      </c>
      <c r="H1452" t="s">
        <v>27</v>
      </c>
      <c r="I1452" t="s">
        <v>18</v>
      </c>
      <c r="J1452">
        <v>5</v>
      </c>
      <c r="K1452" t="s">
        <v>19</v>
      </c>
      <c r="L1452" t="s">
        <v>33</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x14ac:dyDescent="0.3">
      <c r="A1453" t="s">
        <v>1552</v>
      </c>
      <c r="B1453" t="s">
        <v>44</v>
      </c>
      <c r="C1453">
        <v>5</v>
      </c>
      <c r="D1453">
        <v>39.6</v>
      </c>
      <c r="E1453">
        <v>198</v>
      </c>
      <c r="F1453" s="1">
        <v>45712</v>
      </c>
      <c r="G1453" s="1">
        <v>45714</v>
      </c>
      <c r="H1453" t="s">
        <v>23</v>
      </c>
      <c r="I1453" t="s">
        <v>35</v>
      </c>
      <c r="J1453">
        <v>5</v>
      </c>
      <c r="K1453" t="s">
        <v>19</v>
      </c>
      <c r="L1453" t="s">
        <v>33</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x14ac:dyDescent="0.3">
      <c r="A1454" t="s">
        <v>1553</v>
      </c>
      <c r="B1454" t="s">
        <v>37</v>
      </c>
      <c r="C1454">
        <v>2</v>
      </c>
      <c r="D1454">
        <v>64</v>
      </c>
      <c r="E1454">
        <v>128</v>
      </c>
      <c r="F1454" s="1">
        <v>45712</v>
      </c>
      <c r="G1454" s="1">
        <v>45712</v>
      </c>
      <c r="H1454" t="s">
        <v>23</v>
      </c>
      <c r="I1454" t="s">
        <v>35</v>
      </c>
      <c r="J1454">
        <v>3</v>
      </c>
      <c r="K1454" t="s">
        <v>19</v>
      </c>
      <c r="L1454" t="s">
        <v>33</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x14ac:dyDescent="0.3">
      <c r="A1455" t="s">
        <v>1554</v>
      </c>
      <c r="B1455" t="s">
        <v>44</v>
      </c>
      <c r="C1455">
        <v>2</v>
      </c>
      <c r="D1455">
        <v>30.6</v>
      </c>
      <c r="E1455">
        <v>61.2</v>
      </c>
      <c r="F1455" s="1">
        <v>45712</v>
      </c>
      <c r="G1455" s="1">
        <v>45715</v>
      </c>
      <c r="H1455" t="s">
        <v>23</v>
      </c>
      <c r="I1455" t="s">
        <v>18</v>
      </c>
      <c r="J1455">
        <v>5</v>
      </c>
      <c r="K1455" t="s">
        <v>19</v>
      </c>
      <c r="L1455" t="s">
        <v>33</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x14ac:dyDescent="0.3">
      <c r="A1456" t="s">
        <v>1555</v>
      </c>
      <c r="B1456" t="s">
        <v>44</v>
      </c>
      <c r="C1456">
        <v>2</v>
      </c>
      <c r="D1456">
        <v>21.3</v>
      </c>
      <c r="E1456">
        <v>42.6</v>
      </c>
      <c r="F1456" s="1">
        <v>45712</v>
      </c>
      <c r="G1456" s="1">
        <v>45713</v>
      </c>
      <c r="H1456" t="s">
        <v>23</v>
      </c>
      <c r="I1456" t="s">
        <v>18</v>
      </c>
      <c r="J1456">
        <v>3</v>
      </c>
      <c r="K1456" t="s">
        <v>19</v>
      </c>
      <c r="L1456" t="s">
        <v>33</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x14ac:dyDescent="0.3">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x14ac:dyDescent="0.3">
      <c r="A1458" t="s">
        <v>1557</v>
      </c>
      <c r="B1458" t="s">
        <v>46</v>
      </c>
      <c r="C1458">
        <v>4</v>
      </c>
      <c r="D1458">
        <v>27.7</v>
      </c>
      <c r="E1458">
        <v>110.8</v>
      </c>
      <c r="F1458" s="1">
        <v>45712</v>
      </c>
      <c r="G1458" s="1">
        <v>45713</v>
      </c>
      <c r="H1458" t="s">
        <v>27</v>
      </c>
      <c r="I1458" t="s">
        <v>18</v>
      </c>
      <c r="J1458">
        <v>3</v>
      </c>
      <c r="K1458" t="s">
        <v>19</v>
      </c>
      <c r="L1458" t="s">
        <v>33</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x14ac:dyDescent="0.3">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x14ac:dyDescent="0.3">
      <c r="A1460" t="s">
        <v>1559</v>
      </c>
      <c r="B1460" t="s">
        <v>39</v>
      </c>
      <c r="C1460">
        <v>16</v>
      </c>
      <c r="D1460">
        <v>91.1</v>
      </c>
      <c r="E1460">
        <v>1457.6</v>
      </c>
      <c r="F1460" s="1">
        <v>45712</v>
      </c>
      <c r="G1460" s="1">
        <v>45713</v>
      </c>
      <c r="H1460" t="s">
        <v>27</v>
      </c>
      <c r="I1460" t="s">
        <v>35</v>
      </c>
      <c r="J1460">
        <v>5</v>
      </c>
      <c r="K1460" t="s">
        <v>19</v>
      </c>
      <c r="L1460" t="s">
        <v>33</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x14ac:dyDescent="0.3">
      <c r="A1461" t="s">
        <v>1560</v>
      </c>
      <c r="B1461" t="s">
        <v>22</v>
      </c>
      <c r="C1461">
        <v>1</v>
      </c>
      <c r="D1461">
        <v>39.5</v>
      </c>
      <c r="E1461">
        <v>39.5</v>
      </c>
      <c r="F1461" s="1">
        <v>45712</v>
      </c>
      <c r="G1461" s="1">
        <v>45720</v>
      </c>
      <c r="H1461" t="s">
        <v>27</v>
      </c>
      <c r="I1461" t="s">
        <v>18</v>
      </c>
      <c r="J1461">
        <v>4</v>
      </c>
      <c r="K1461" t="s">
        <v>19</v>
      </c>
      <c r="L1461" t="s">
        <v>33</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x14ac:dyDescent="0.3">
      <c r="A1462" t="s">
        <v>1561</v>
      </c>
      <c r="B1462" t="s">
        <v>46</v>
      </c>
      <c r="C1462">
        <v>2</v>
      </c>
      <c r="D1462">
        <v>21.8</v>
      </c>
      <c r="E1462">
        <v>43.6</v>
      </c>
      <c r="F1462" s="1">
        <v>45712</v>
      </c>
      <c r="G1462" s="1">
        <v>45716</v>
      </c>
      <c r="H1462" t="s">
        <v>23</v>
      </c>
      <c r="I1462" t="s">
        <v>70</v>
      </c>
      <c r="J1462">
        <v>5</v>
      </c>
      <c r="K1462" t="s">
        <v>19</v>
      </c>
      <c r="L1462" t="s">
        <v>33</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x14ac:dyDescent="0.3">
      <c r="A1463" t="s">
        <v>1562</v>
      </c>
      <c r="B1463" t="s">
        <v>44</v>
      </c>
      <c r="C1463">
        <v>2</v>
      </c>
      <c r="D1463">
        <v>51</v>
      </c>
      <c r="E1463">
        <v>102</v>
      </c>
      <c r="F1463" s="1">
        <v>45712</v>
      </c>
      <c r="G1463" s="1">
        <v>45715</v>
      </c>
      <c r="H1463" t="s">
        <v>23</v>
      </c>
      <c r="I1463" t="s">
        <v>51</v>
      </c>
      <c r="J1463">
        <v>5</v>
      </c>
      <c r="K1463" t="s">
        <v>19</v>
      </c>
      <c r="L1463" t="s">
        <v>33</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x14ac:dyDescent="0.3">
      <c r="A1464" t="s">
        <v>1563</v>
      </c>
      <c r="B1464" t="s">
        <v>26</v>
      </c>
      <c r="C1464">
        <v>1</v>
      </c>
      <c r="D1464">
        <v>92.6</v>
      </c>
      <c r="E1464">
        <v>92.6</v>
      </c>
      <c r="F1464" s="1">
        <v>45712</v>
      </c>
      <c r="G1464" s="1">
        <v>45715</v>
      </c>
      <c r="H1464" t="s">
        <v>27</v>
      </c>
      <c r="I1464" t="s">
        <v>18</v>
      </c>
      <c r="J1464">
        <v>5</v>
      </c>
      <c r="K1464" t="s">
        <v>19</v>
      </c>
      <c r="L1464" t="s">
        <v>338</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x14ac:dyDescent="0.3">
      <c r="A1465" t="s">
        <v>1564</v>
      </c>
      <c r="B1465" t="s">
        <v>46</v>
      </c>
      <c r="C1465">
        <v>2</v>
      </c>
      <c r="D1465">
        <v>31.1</v>
      </c>
      <c r="E1465">
        <v>62.2</v>
      </c>
      <c r="F1465" s="1">
        <v>45712</v>
      </c>
      <c r="G1465" s="1">
        <v>45717</v>
      </c>
      <c r="H1465" t="s">
        <v>17</v>
      </c>
      <c r="I1465" t="s">
        <v>35</v>
      </c>
      <c r="J1465">
        <v>1</v>
      </c>
      <c r="K1465" t="s">
        <v>19</v>
      </c>
      <c r="L1465" t="s">
        <v>158</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x14ac:dyDescent="0.3">
      <c r="A1466" t="s">
        <v>1565</v>
      </c>
      <c r="B1466" t="s">
        <v>37</v>
      </c>
      <c r="C1466">
        <v>3</v>
      </c>
      <c r="D1466">
        <v>56.4</v>
      </c>
      <c r="E1466">
        <v>169.2</v>
      </c>
      <c r="F1466" s="1">
        <v>45712</v>
      </c>
      <c r="G1466" s="1">
        <v>45713</v>
      </c>
      <c r="H1466" t="s">
        <v>17</v>
      </c>
      <c r="I1466" t="s">
        <v>35</v>
      </c>
      <c r="J1466">
        <v>4</v>
      </c>
      <c r="K1466" t="s">
        <v>19</v>
      </c>
      <c r="L1466" t="s">
        <v>55</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x14ac:dyDescent="0.3">
      <c r="A1467" t="s">
        <v>1566</v>
      </c>
      <c r="B1467" t="s">
        <v>46</v>
      </c>
      <c r="C1467">
        <v>1</v>
      </c>
      <c r="D1467">
        <v>41.9</v>
      </c>
      <c r="E1467">
        <v>41.9</v>
      </c>
      <c r="F1467" s="1">
        <v>45712</v>
      </c>
      <c r="G1467" s="1">
        <v>45712</v>
      </c>
      <c r="H1467" t="s">
        <v>23</v>
      </c>
      <c r="I1467" t="s">
        <v>35</v>
      </c>
      <c r="J1467">
        <v>4</v>
      </c>
      <c r="K1467" t="s">
        <v>19</v>
      </c>
      <c r="L1467" t="s">
        <v>55</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x14ac:dyDescent="0.3">
      <c r="A1468" t="s">
        <v>1567</v>
      </c>
      <c r="B1468" t="s">
        <v>54</v>
      </c>
      <c r="C1468">
        <v>7</v>
      </c>
      <c r="D1468">
        <v>45.9</v>
      </c>
      <c r="E1468">
        <v>321.3</v>
      </c>
      <c r="F1468" s="1">
        <v>45712</v>
      </c>
      <c r="G1468" s="1">
        <v>45713</v>
      </c>
      <c r="H1468" t="s">
        <v>23</v>
      </c>
      <c r="I1468" t="s">
        <v>51</v>
      </c>
      <c r="J1468">
        <v>5</v>
      </c>
      <c r="K1468" t="s">
        <v>19</v>
      </c>
      <c r="L1468" t="s">
        <v>62</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x14ac:dyDescent="0.3">
      <c r="A1469" t="s">
        <v>1568</v>
      </c>
      <c r="B1469" t="s">
        <v>81</v>
      </c>
      <c r="C1469">
        <v>9</v>
      </c>
      <c r="D1469">
        <v>24.4</v>
      </c>
      <c r="E1469">
        <v>219.6</v>
      </c>
      <c r="F1469" s="1">
        <v>45712</v>
      </c>
      <c r="G1469" s="1">
        <v>45716</v>
      </c>
      <c r="H1469" t="s">
        <v>23</v>
      </c>
      <c r="I1469" t="s">
        <v>51</v>
      </c>
      <c r="J1469">
        <v>5</v>
      </c>
      <c r="K1469" t="s">
        <v>19</v>
      </c>
      <c r="L1469" t="s">
        <v>62</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x14ac:dyDescent="0.3">
      <c r="A1470" t="s">
        <v>1569</v>
      </c>
      <c r="B1470" t="s">
        <v>44</v>
      </c>
      <c r="C1470">
        <v>1</v>
      </c>
      <c r="D1470">
        <v>18.2</v>
      </c>
      <c r="E1470">
        <v>18.2</v>
      </c>
      <c r="F1470" s="1">
        <v>45712</v>
      </c>
      <c r="G1470" s="1">
        <v>45713</v>
      </c>
      <c r="H1470" t="s">
        <v>27</v>
      </c>
      <c r="I1470" t="s">
        <v>40</v>
      </c>
      <c r="J1470">
        <v>5</v>
      </c>
      <c r="K1470" t="s">
        <v>19</v>
      </c>
      <c r="L1470" t="s">
        <v>62</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x14ac:dyDescent="0.3">
      <c r="A1471" t="s">
        <v>1570</v>
      </c>
      <c r="B1471" t="s">
        <v>44</v>
      </c>
      <c r="C1471">
        <v>4</v>
      </c>
      <c r="D1471">
        <v>51.2</v>
      </c>
      <c r="E1471">
        <v>204.8</v>
      </c>
      <c r="F1471" s="1">
        <v>45712</v>
      </c>
      <c r="G1471" s="1">
        <v>45713</v>
      </c>
      <c r="H1471" t="s">
        <v>27</v>
      </c>
      <c r="I1471" t="s">
        <v>18</v>
      </c>
      <c r="J1471">
        <v>4</v>
      </c>
      <c r="K1471" t="s">
        <v>19</v>
      </c>
      <c r="L1471" t="s">
        <v>62</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x14ac:dyDescent="0.3">
      <c r="A1472" t="s">
        <v>1571</v>
      </c>
      <c r="B1472" t="s">
        <v>39</v>
      </c>
      <c r="C1472">
        <v>1</v>
      </c>
      <c r="D1472">
        <v>59.7</v>
      </c>
      <c r="E1472">
        <v>59.7</v>
      </c>
      <c r="F1472" s="1">
        <v>45712</v>
      </c>
      <c r="G1472" s="1">
        <v>45715</v>
      </c>
      <c r="H1472" t="s">
        <v>23</v>
      </c>
      <c r="I1472" t="s">
        <v>18</v>
      </c>
      <c r="J1472">
        <v>5</v>
      </c>
      <c r="K1472" t="s">
        <v>19</v>
      </c>
      <c r="L1472" t="s">
        <v>62</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x14ac:dyDescent="0.3">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x14ac:dyDescent="0.3">
      <c r="A1474" t="s">
        <v>1573</v>
      </c>
      <c r="B1474" t="s">
        <v>69</v>
      </c>
      <c r="C1474">
        <v>1</v>
      </c>
      <c r="D1474">
        <v>90.4</v>
      </c>
      <c r="E1474">
        <v>90.4</v>
      </c>
      <c r="F1474" s="1">
        <v>45712</v>
      </c>
      <c r="G1474" s="1">
        <v>45716</v>
      </c>
      <c r="H1474" t="s">
        <v>23</v>
      </c>
      <c r="I1474" t="s">
        <v>35</v>
      </c>
      <c r="J1474">
        <v>5</v>
      </c>
      <c r="K1474" t="s">
        <v>19</v>
      </c>
      <c r="L1474" t="s">
        <v>74</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x14ac:dyDescent="0.3">
      <c r="A1475" t="s">
        <v>1574</v>
      </c>
      <c r="B1475" t="s">
        <v>67</v>
      </c>
      <c r="C1475">
        <v>3</v>
      </c>
      <c r="D1475">
        <v>70.3</v>
      </c>
      <c r="E1475">
        <v>210.89999999999998</v>
      </c>
      <c r="F1475" s="1">
        <v>45712</v>
      </c>
      <c r="G1475" s="1">
        <v>45712</v>
      </c>
      <c r="H1475" t="s">
        <v>23</v>
      </c>
      <c r="I1475" t="s">
        <v>35</v>
      </c>
      <c r="J1475">
        <v>5</v>
      </c>
      <c r="K1475" t="s">
        <v>19</v>
      </c>
      <c r="L1475" t="s">
        <v>77</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x14ac:dyDescent="0.3">
      <c r="A1476" t="s">
        <v>1575</v>
      </c>
      <c r="B1476" t="s">
        <v>32</v>
      </c>
      <c r="C1476">
        <v>2</v>
      </c>
      <c r="D1476">
        <v>20.5</v>
      </c>
      <c r="E1476">
        <v>41</v>
      </c>
      <c r="F1476" s="1">
        <v>45712</v>
      </c>
      <c r="G1476" s="1">
        <v>45715</v>
      </c>
      <c r="H1476" t="s">
        <v>27</v>
      </c>
      <c r="I1476" t="s">
        <v>18</v>
      </c>
      <c r="J1476">
        <v>3</v>
      </c>
      <c r="K1476" t="s">
        <v>19</v>
      </c>
      <c r="L1476" t="s">
        <v>77</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x14ac:dyDescent="0.3">
      <c r="A1477" t="s">
        <v>1576</v>
      </c>
      <c r="B1477" t="s">
        <v>37</v>
      </c>
      <c r="C1477">
        <v>11</v>
      </c>
      <c r="D1477">
        <v>37.6</v>
      </c>
      <c r="E1477">
        <v>413.6</v>
      </c>
      <c r="F1477" s="1">
        <v>45712</v>
      </c>
      <c r="G1477" s="1">
        <v>45713</v>
      </c>
      <c r="H1477" t="s">
        <v>23</v>
      </c>
      <c r="I1477" t="s">
        <v>18</v>
      </c>
      <c r="J1477">
        <v>4</v>
      </c>
      <c r="K1477" t="s">
        <v>19</v>
      </c>
      <c r="L1477" t="s">
        <v>377</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x14ac:dyDescent="0.3">
      <c r="A1478" t="s">
        <v>1577</v>
      </c>
      <c r="B1478" t="s">
        <v>37</v>
      </c>
      <c r="C1478">
        <v>4</v>
      </c>
      <c r="D1478">
        <v>61.5</v>
      </c>
      <c r="E1478">
        <v>246</v>
      </c>
      <c r="F1478" s="1">
        <v>45712</v>
      </c>
      <c r="G1478" s="1">
        <v>45719</v>
      </c>
      <c r="H1478" t="s">
        <v>27</v>
      </c>
      <c r="I1478" t="s">
        <v>35</v>
      </c>
      <c r="J1478">
        <v>2</v>
      </c>
      <c r="K1478" t="s">
        <v>19</v>
      </c>
      <c r="L1478" t="s">
        <v>82</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x14ac:dyDescent="0.3">
      <c r="A1479" t="s">
        <v>1578</v>
      </c>
      <c r="B1479" t="s">
        <v>46</v>
      </c>
      <c r="C1479">
        <v>1</v>
      </c>
      <c r="D1479">
        <v>33.5</v>
      </c>
      <c r="E1479">
        <v>33.5</v>
      </c>
      <c r="F1479" s="1">
        <v>45713</v>
      </c>
      <c r="G1479" s="1">
        <v>45717</v>
      </c>
      <c r="H1479" t="s">
        <v>23</v>
      </c>
      <c r="I1479" t="s">
        <v>70</v>
      </c>
      <c r="J1479">
        <v>3</v>
      </c>
      <c r="K1479" t="s">
        <v>19</v>
      </c>
      <c r="L1479" t="s">
        <v>115</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x14ac:dyDescent="0.3">
      <c r="A1480" t="s">
        <v>1579</v>
      </c>
      <c r="B1480" t="s">
        <v>32</v>
      </c>
      <c r="C1480">
        <v>3</v>
      </c>
      <c r="D1480">
        <v>29.3</v>
      </c>
      <c r="E1480">
        <v>87.9</v>
      </c>
      <c r="F1480" s="1">
        <v>45713</v>
      </c>
      <c r="G1480" s="1">
        <v>45715</v>
      </c>
      <c r="H1480" t="s">
        <v>27</v>
      </c>
      <c r="I1480" t="s">
        <v>35</v>
      </c>
      <c r="J1480">
        <v>5</v>
      </c>
      <c r="K1480" t="s">
        <v>19</v>
      </c>
      <c r="L1480" t="s">
        <v>24</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x14ac:dyDescent="0.3">
      <c r="A1481" t="s">
        <v>1580</v>
      </c>
      <c r="B1481" t="s">
        <v>26</v>
      </c>
      <c r="C1481">
        <v>2</v>
      </c>
      <c r="D1481">
        <v>125.9</v>
      </c>
      <c r="E1481">
        <v>251.8</v>
      </c>
      <c r="F1481" s="1">
        <v>45713</v>
      </c>
      <c r="G1481" s="1">
        <v>45718</v>
      </c>
      <c r="H1481" t="s">
        <v>27</v>
      </c>
      <c r="I1481" t="s">
        <v>70</v>
      </c>
      <c r="J1481">
        <v>3</v>
      </c>
      <c r="K1481" t="s">
        <v>19</v>
      </c>
      <c r="L1481" t="s">
        <v>24</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x14ac:dyDescent="0.3">
      <c r="A1482" t="s">
        <v>1581</v>
      </c>
      <c r="B1482" t="s">
        <v>37</v>
      </c>
      <c r="C1482">
        <v>5</v>
      </c>
      <c r="D1482">
        <v>29.3</v>
      </c>
      <c r="E1482">
        <v>146.5</v>
      </c>
      <c r="F1482" s="1">
        <v>45713</v>
      </c>
      <c r="G1482" s="1">
        <v>45713</v>
      </c>
      <c r="H1482" t="s">
        <v>23</v>
      </c>
      <c r="I1482" t="s">
        <v>40</v>
      </c>
      <c r="J1482">
        <v>4</v>
      </c>
      <c r="K1482" t="s">
        <v>19</v>
      </c>
      <c r="L1482" t="s">
        <v>587</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x14ac:dyDescent="0.3">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x14ac:dyDescent="0.3">
      <c r="A1484" t="s">
        <v>1583</v>
      </c>
      <c r="B1484" t="s">
        <v>16</v>
      </c>
      <c r="C1484">
        <v>4</v>
      </c>
      <c r="D1484">
        <v>31.7</v>
      </c>
      <c r="E1484">
        <v>126.8</v>
      </c>
      <c r="F1484" s="1">
        <v>45713</v>
      </c>
      <c r="G1484" s="1">
        <v>45714</v>
      </c>
      <c r="H1484" t="s">
        <v>23</v>
      </c>
      <c r="I1484" t="s">
        <v>40</v>
      </c>
      <c r="J1484">
        <v>5</v>
      </c>
      <c r="K1484" t="s">
        <v>19</v>
      </c>
      <c r="L1484" t="s">
        <v>33</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x14ac:dyDescent="0.3">
      <c r="A1485" t="s">
        <v>1584</v>
      </c>
      <c r="B1485" t="s">
        <v>44</v>
      </c>
      <c r="C1485">
        <v>5</v>
      </c>
      <c r="D1485">
        <v>26.3</v>
      </c>
      <c r="E1485">
        <v>131.5</v>
      </c>
      <c r="F1485" s="1">
        <v>45713</v>
      </c>
      <c r="G1485" s="1">
        <v>45714</v>
      </c>
      <c r="H1485" t="s">
        <v>27</v>
      </c>
      <c r="I1485" t="s">
        <v>51</v>
      </c>
      <c r="J1485">
        <v>5</v>
      </c>
      <c r="K1485" t="s">
        <v>19</v>
      </c>
      <c r="L1485" t="s">
        <v>33</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x14ac:dyDescent="0.3">
      <c r="A1486" t="s">
        <v>1585</v>
      </c>
      <c r="B1486" t="s">
        <v>44</v>
      </c>
      <c r="C1486">
        <v>3</v>
      </c>
      <c r="D1486">
        <v>23.1</v>
      </c>
      <c r="E1486">
        <v>69.300000000000011</v>
      </c>
      <c r="F1486" s="1">
        <v>45713</v>
      </c>
      <c r="G1486" s="1">
        <v>45714</v>
      </c>
      <c r="H1486" t="s">
        <v>89</v>
      </c>
      <c r="I1486" t="s">
        <v>40</v>
      </c>
      <c r="J1486">
        <v>3</v>
      </c>
      <c r="K1486" t="s">
        <v>19</v>
      </c>
      <c r="L1486" t="s">
        <v>33</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x14ac:dyDescent="0.3">
      <c r="A1487" t="s">
        <v>1586</v>
      </c>
      <c r="B1487" t="s">
        <v>32</v>
      </c>
      <c r="C1487">
        <v>1</v>
      </c>
      <c r="D1487">
        <v>22.3</v>
      </c>
      <c r="E1487">
        <v>22.3</v>
      </c>
      <c r="F1487" s="1">
        <v>45713</v>
      </c>
      <c r="G1487" s="1">
        <v>45715</v>
      </c>
      <c r="H1487" t="s">
        <v>27</v>
      </c>
      <c r="I1487" t="s">
        <v>40</v>
      </c>
      <c r="J1487">
        <v>4</v>
      </c>
      <c r="K1487" t="s">
        <v>19</v>
      </c>
      <c r="L1487" t="s">
        <v>33</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x14ac:dyDescent="0.3">
      <c r="A1488" t="s">
        <v>1587</v>
      </c>
      <c r="B1488" t="s">
        <v>69</v>
      </c>
      <c r="C1488">
        <v>2</v>
      </c>
      <c r="D1488">
        <v>99.5</v>
      </c>
      <c r="E1488">
        <v>199</v>
      </c>
      <c r="F1488" s="1">
        <v>45713</v>
      </c>
      <c r="G1488" s="1">
        <v>45715</v>
      </c>
      <c r="H1488" t="s">
        <v>27</v>
      </c>
      <c r="I1488" t="s">
        <v>40</v>
      </c>
      <c r="J1488">
        <v>4</v>
      </c>
      <c r="K1488" t="s">
        <v>19</v>
      </c>
      <c r="L1488" t="s">
        <v>33</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x14ac:dyDescent="0.3">
      <c r="A1489" t="s">
        <v>1588</v>
      </c>
      <c r="B1489" t="s">
        <v>69</v>
      </c>
      <c r="C1489">
        <v>4</v>
      </c>
      <c r="D1489">
        <v>47.4</v>
      </c>
      <c r="E1489">
        <v>189.6</v>
      </c>
      <c r="F1489" s="1">
        <v>45713</v>
      </c>
      <c r="G1489" s="1">
        <v>45716</v>
      </c>
      <c r="H1489" t="s">
        <v>27</v>
      </c>
      <c r="I1489" t="s">
        <v>35</v>
      </c>
      <c r="J1489">
        <v>4</v>
      </c>
      <c r="K1489" t="s">
        <v>19</v>
      </c>
      <c r="L1489" t="s">
        <v>33</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x14ac:dyDescent="0.3">
      <c r="A1490" t="s">
        <v>1589</v>
      </c>
      <c r="B1490" t="s">
        <v>16</v>
      </c>
      <c r="C1490">
        <v>11</v>
      </c>
      <c r="D1490">
        <v>37.5</v>
      </c>
      <c r="E1490">
        <v>412.5</v>
      </c>
      <c r="F1490" s="1">
        <v>45713</v>
      </c>
      <c r="G1490" s="1">
        <v>45715</v>
      </c>
      <c r="H1490" t="s">
        <v>27</v>
      </c>
      <c r="I1490" t="s">
        <v>18</v>
      </c>
      <c r="J1490">
        <v>1</v>
      </c>
      <c r="K1490" t="s">
        <v>19</v>
      </c>
      <c r="L1490" t="s">
        <v>33</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x14ac:dyDescent="0.3">
      <c r="A1491" t="s">
        <v>1590</v>
      </c>
      <c r="B1491" t="s">
        <v>54</v>
      </c>
      <c r="C1491">
        <v>1</v>
      </c>
      <c r="D1491">
        <v>45.1</v>
      </c>
      <c r="E1491">
        <v>45.1</v>
      </c>
      <c r="F1491" s="1">
        <v>45713</v>
      </c>
      <c r="G1491" s="1">
        <v>45718</v>
      </c>
      <c r="H1491" t="s">
        <v>23</v>
      </c>
      <c r="I1491" t="s">
        <v>51</v>
      </c>
      <c r="J1491">
        <v>5</v>
      </c>
      <c r="K1491" t="s">
        <v>19</v>
      </c>
      <c r="L1491" t="s">
        <v>186</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x14ac:dyDescent="0.3">
      <c r="A1492" t="s">
        <v>1591</v>
      </c>
      <c r="B1492" t="s">
        <v>37</v>
      </c>
      <c r="C1492">
        <v>10</v>
      </c>
      <c r="D1492">
        <v>34.4</v>
      </c>
      <c r="E1492">
        <v>344</v>
      </c>
      <c r="F1492" s="1">
        <v>45713</v>
      </c>
      <c r="G1492" s="1">
        <v>45716</v>
      </c>
      <c r="H1492" t="s">
        <v>23</v>
      </c>
      <c r="I1492" t="s">
        <v>40</v>
      </c>
      <c r="J1492">
        <v>4</v>
      </c>
      <c r="K1492" t="s">
        <v>19</v>
      </c>
      <c r="L1492" t="s">
        <v>98</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x14ac:dyDescent="0.3">
      <c r="A1493" t="s">
        <v>1592</v>
      </c>
      <c r="B1493" t="s">
        <v>32</v>
      </c>
      <c r="C1493">
        <v>2</v>
      </c>
      <c r="D1493">
        <v>38</v>
      </c>
      <c r="E1493">
        <v>76</v>
      </c>
      <c r="F1493" s="1">
        <v>45713</v>
      </c>
      <c r="G1493" s="1">
        <v>45715</v>
      </c>
      <c r="H1493" t="s">
        <v>27</v>
      </c>
      <c r="I1493" t="s">
        <v>35</v>
      </c>
      <c r="J1493">
        <v>4</v>
      </c>
      <c r="K1493" t="s">
        <v>19</v>
      </c>
      <c r="L1493" t="s">
        <v>52</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x14ac:dyDescent="0.3">
      <c r="A1494" t="s">
        <v>1593</v>
      </c>
      <c r="B1494" t="s">
        <v>30</v>
      </c>
      <c r="C1494">
        <v>14</v>
      </c>
      <c r="D1494">
        <v>32.4</v>
      </c>
      <c r="E1494">
        <v>453.59999999999997</v>
      </c>
      <c r="F1494" s="1">
        <v>45713</v>
      </c>
      <c r="G1494" s="1">
        <v>45716</v>
      </c>
      <c r="H1494" t="s">
        <v>23</v>
      </c>
      <c r="I1494" t="s">
        <v>70</v>
      </c>
      <c r="J1494">
        <v>4</v>
      </c>
      <c r="K1494" t="s">
        <v>19</v>
      </c>
      <c r="L1494" t="s">
        <v>55</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x14ac:dyDescent="0.3">
      <c r="A1495" t="s">
        <v>1594</v>
      </c>
      <c r="B1495" t="s">
        <v>39</v>
      </c>
      <c r="C1495">
        <v>3</v>
      </c>
      <c r="D1495">
        <v>40.9</v>
      </c>
      <c r="E1495">
        <v>122.69999999999999</v>
      </c>
      <c r="F1495" s="1">
        <v>45713</v>
      </c>
      <c r="G1495" s="1">
        <v>45713</v>
      </c>
      <c r="H1495" t="s">
        <v>17</v>
      </c>
      <c r="I1495" t="s">
        <v>35</v>
      </c>
      <c r="J1495">
        <v>4</v>
      </c>
      <c r="K1495" t="s">
        <v>19</v>
      </c>
      <c r="L1495" t="s">
        <v>62</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x14ac:dyDescent="0.3">
      <c r="A1496" t="s">
        <v>1595</v>
      </c>
      <c r="B1496" t="s">
        <v>42</v>
      </c>
      <c r="C1496">
        <v>7</v>
      </c>
      <c r="D1496">
        <v>76.2</v>
      </c>
      <c r="E1496">
        <v>533.4</v>
      </c>
      <c r="F1496" s="1">
        <v>45713</v>
      </c>
      <c r="G1496" s="1">
        <v>45715</v>
      </c>
      <c r="H1496" t="s">
        <v>27</v>
      </c>
      <c r="I1496" t="s">
        <v>40</v>
      </c>
      <c r="J1496">
        <v>3</v>
      </c>
      <c r="K1496" t="s">
        <v>19</v>
      </c>
      <c r="L1496" t="s">
        <v>62</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x14ac:dyDescent="0.3">
      <c r="A1497" t="s">
        <v>1596</v>
      </c>
      <c r="B1497" t="s">
        <v>26</v>
      </c>
      <c r="C1497">
        <v>1</v>
      </c>
      <c r="D1497">
        <v>85.6</v>
      </c>
      <c r="E1497">
        <v>85.6</v>
      </c>
      <c r="F1497" s="1">
        <v>45713</v>
      </c>
      <c r="G1497" s="1">
        <v>45715</v>
      </c>
      <c r="H1497" t="s">
        <v>23</v>
      </c>
      <c r="I1497" t="s">
        <v>40</v>
      </c>
      <c r="J1497">
        <v>4</v>
      </c>
      <c r="K1497" t="s">
        <v>19</v>
      </c>
      <c r="L1497" t="s">
        <v>62</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x14ac:dyDescent="0.3">
      <c r="A1498" t="s">
        <v>1597</v>
      </c>
      <c r="B1498" t="s">
        <v>32</v>
      </c>
      <c r="C1498">
        <v>4</v>
      </c>
      <c r="D1498">
        <v>25</v>
      </c>
      <c r="E1498">
        <v>100</v>
      </c>
      <c r="F1498" s="1">
        <v>45713</v>
      </c>
      <c r="G1498" s="1">
        <v>45715</v>
      </c>
      <c r="H1498" t="s">
        <v>27</v>
      </c>
      <c r="I1498" t="s">
        <v>40</v>
      </c>
      <c r="J1498">
        <v>5</v>
      </c>
      <c r="K1498" t="s">
        <v>19</v>
      </c>
      <c r="L1498" t="s">
        <v>62</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x14ac:dyDescent="0.3">
      <c r="A1499" t="s">
        <v>1598</v>
      </c>
      <c r="B1499" t="s">
        <v>26</v>
      </c>
      <c r="C1499">
        <v>5</v>
      </c>
      <c r="D1499">
        <v>150.69999999999999</v>
      </c>
      <c r="E1499">
        <v>753.5</v>
      </c>
      <c r="F1499" s="1">
        <v>45713</v>
      </c>
      <c r="G1499" s="1">
        <v>45714</v>
      </c>
      <c r="H1499" t="s">
        <v>17</v>
      </c>
      <c r="I1499" t="s">
        <v>18</v>
      </c>
      <c r="J1499">
        <v>5</v>
      </c>
      <c r="K1499" t="s">
        <v>19</v>
      </c>
      <c r="L1499" t="s">
        <v>62</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x14ac:dyDescent="0.3">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x14ac:dyDescent="0.3">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x14ac:dyDescent="0.3">
      <c r="A1502" t="s">
        <v>1601</v>
      </c>
      <c r="B1502" t="s">
        <v>46</v>
      </c>
      <c r="C1502">
        <v>3</v>
      </c>
      <c r="D1502">
        <v>51.9</v>
      </c>
      <c r="E1502">
        <v>155.69999999999999</v>
      </c>
      <c r="F1502" s="1">
        <v>45713</v>
      </c>
      <c r="G1502" s="1">
        <v>45719</v>
      </c>
      <c r="H1502" t="s">
        <v>27</v>
      </c>
      <c r="I1502" t="s">
        <v>18</v>
      </c>
      <c r="J1502">
        <v>2</v>
      </c>
      <c r="K1502" t="s">
        <v>19</v>
      </c>
      <c r="L1502" t="s">
        <v>77</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x14ac:dyDescent="0.3">
      <c r="A1503" t="s">
        <v>1602</v>
      </c>
      <c r="B1503" t="s">
        <v>22</v>
      </c>
      <c r="C1503">
        <v>2</v>
      </c>
      <c r="D1503">
        <v>30.9</v>
      </c>
      <c r="E1503">
        <v>61.8</v>
      </c>
      <c r="F1503" s="1">
        <v>45713</v>
      </c>
      <c r="G1503" s="1">
        <v>45715</v>
      </c>
      <c r="H1503" t="s">
        <v>27</v>
      </c>
      <c r="I1503" t="s">
        <v>35</v>
      </c>
      <c r="J1503">
        <v>4</v>
      </c>
      <c r="K1503" t="s">
        <v>19</v>
      </c>
      <c r="L1503" t="s">
        <v>108</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x14ac:dyDescent="0.3">
      <c r="A1504" t="s">
        <v>1603</v>
      </c>
      <c r="B1504" t="s">
        <v>32</v>
      </c>
      <c r="C1504">
        <v>3</v>
      </c>
      <c r="D1504">
        <v>21.2</v>
      </c>
      <c r="E1504">
        <v>63.599999999999994</v>
      </c>
      <c r="F1504" s="1">
        <v>45713</v>
      </c>
      <c r="G1504" s="1">
        <v>45716</v>
      </c>
      <c r="H1504" t="s">
        <v>27</v>
      </c>
      <c r="I1504" t="s">
        <v>35</v>
      </c>
      <c r="J1504">
        <v>4</v>
      </c>
      <c r="K1504" t="s">
        <v>19</v>
      </c>
      <c r="L1504" t="s">
        <v>110</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x14ac:dyDescent="0.3">
      <c r="A1505" t="s">
        <v>1604</v>
      </c>
      <c r="B1505" t="s">
        <v>76</v>
      </c>
      <c r="C1505">
        <v>17</v>
      </c>
      <c r="D1505">
        <v>17.5</v>
      </c>
      <c r="E1505">
        <v>297.5</v>
      </c>
      <c r="F1505" s="1">
        <v>45713</v>
      </c>
      <c r="G1505" s="1">
        <v>45714</v>
      </c>
      <c r="H1505" t="s">
        <v>23</v>
      </c>
      <c r="I1505" t="s">
        <v>35</v>
      </c>
      <c r="J1505">
        <v>3</v>
      </c>
      <c r="K1505" t="s">
        <v>19</v>
      </c>
      <c r="L1505" t="s">
        <v>82</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x14ac:dyDescent="0.3">
      <c r="A1506" t="s">
        <v>1605</v>
      </c>
      <c r="B1506" t="s">
        <v>69</v>
      </c>
      <c r="C1506">
        <v>2</v>
      </c>
      <c r="D1506">
        <v>53.8</v>
      </c>
      <c r="E1506">
        <v>107.6</v>
      </c>
      <c r="F1506" s="1">
        <v>45713</v>
      </c>
      <c r="G1506" s="1">
        <v>45718</v>
      </c>
      <c r="H1506" t="s">
        <v>27</v>
      </c>
      <c r="I1506" t="s">
        <v>18</v>
      </c>
      <c r="J1506">
        <v>5</v>
      </c>
      <c r="K1506" t="s">
        <v>19</v>
      </c>
      <c r="L1506" t="s">
        <v>115</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x14ac:dyDescent="0.3">
      <c r="A1507" t="s">
        <v>1606</v>
      </c>
      <c r="B1507" t="s">
        <v>171</v>
      </c>
      <c r="C1507">
        <v>2</v>
      </c>
      <c r="D1507">
        <v>17</v>
      </c>
      <c r="E1507">
        <v>34</v>
      </c>
      <c r="F1507" s="1">
        <v>45713</v>
      </c>
      <c r="G1507" s="1">
        <v>45714</v>
      </c>
      <c r="H1507" t="s">
        <v>23</v>
      </c>
      <c r="I1507" t="s">
        <v>51</v>
      </c>
      <c r="J1507">
        <v>4</v>
      </c>
      <c r="K1507" t="s">
        <v>19</v>
      </c>
      <c r="L1507" t="s">
        <v>115</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x14ac:dyDescent="0.3">
      <c r="A1508" t="s">
        <v>1607</v>
      </c>
      <c r="B1508" t="s">
        <v>39</v>
      </c>
      <c r="C1508">
        <v>1</v>
      </c>
      <c r="D1508">
        <v>103.2</v>
      </c>
      <c r="E1508">
        <v>103.2</v>
      </c>
      <c r="F1508" s="1">
        <v>45713</v>
      </c>
      <c r="G1508" s="1">
        <v>45721</v>
      </c>
      <c r="H1508" t="s">
        <v>23</v>
      </c>
      <c r="I1508" t="s">
        <v>40</v>
      </c>
      <c r="J1508">
        <v>3</v>
      </c>
      <c r="K1508" t="s">
        <v>19</v>
      </c>
      <c r="L1508" t="s">
        <v>24</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x14ac:dyDescent="0.3">
      <c r="A1509" t="s">
        <v>1608</v>
      </c>
      <c r="B1509" t="s">
        <v>39</v>
      </c>
      <c r="C1509">
        <v>4</v>
      </c>
      <c r="D1509">
        <v>70.3</v>
      </c>
      <c r="E1509">
        <v>281.2</v>
      </c>
      <c r="F1509" s="1">
        <v>45713</v>
      </c>
      <c r="G1509" s="1">
        <v>45714</v>
      </c>
      <c r="H1509" t="s">
        <v>23</v>
      </c>
      <c r="I1509" t="s">
        <v>18</v>
      </c>
      <c r="J1509">
        <v>4</v>
      </c>
      <c r="K1509" t="s">
        <v>19</v>
      </c>
      <c r="L1509" t="s">
        <v>33</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x14ac:dyDescent="0.3">
      <c r="A1510" t="s">
        <v>1609</v>
      </c>
      <c r="B1510" t="s">
        <v>26</v>
      </c>
      <c r="C1510">
        <v>2</v>
      </c>
      <c r="D1510">
        <v>73.8</v>
      </c>
      <c r="E1510">
        <v>147.6</v>
      </c>
      <c r="F1510" s="1">
        <v>45713</v>
      </c>
      <c r="G1510" s="1">
        <v>45713</v>
      </c>
      <c r="H1510" t="s">
        <v>23</v>
      </c>
      <c r="I1510" t="s">
        <v>51</v>
      </c>
      <c r="J1510">
        <v>5</v>
      </c>
      <c r="K1510" t="s">
        <v>19</v>
      </c>
      <c r="L1510" t="s">
        <v>33</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x14ac:dyDescent="0.3">
      <c r="A1511" t="s">
        <v>1610</v>
      </c>
      <c r="B1511" t="s">
        <v>22</v>
      </c>
      <c r="C1511">
        <v>12</v>
      </c>
      <c r="D1511">
        <v>67.7</v>
      </c>
      <c r="E1511">
        <v>812.40000000000009</v>
      </c>
      <c r="F1511" s="1">
        <v>45713</v>
      </c>
      <c r="G1511" s="1">
        <v>45717</v>
      </c>
      <c r="H1511" t="s">
        <v>23</v>
      </c>
      <c r="I1511" t="s">
        <v>35</v>
      </c>
      <c r="J1511">
        <v>3</v>
      </c>
      <c r="K1511" t="s">
        <v>19</v>
      </c>
      <c r="L1511" t="s">
        <v>33</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x14ac:dyDescent="0.3">
      <c r="A1512" t="s">
        <v>1611</v>
      </c>
      <c r="B1512" t="s">
        <v>76</v>
      </c>
      <c r="C1512">
        <v>7</v>
      </c>
      <c r="D1512">
        <v>43.8</v>
      </c>
      <c r="E1512">
        <v>306.59999999999997</v>
      </c>
      <c r="F1512" s="1">
        <v>45713</v>
      </c>
      <c r="G1512" s="1">
        <v>45715</v>
      </c>
      <c r="H1512" t="s">
        <v>23</v>
      </c>
      <c r="I1512" t="s">
        <v>35</v>
      </c>
      <c r="J1512">
        <v>4</v>
      </c>
      <c r="K1512" t="s">
        <v>19</v>
      </c>
      <c r="L1512" t="s">
        <v>33</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x14ac:dyDescent="0.3">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x14ac:dyDescent="0.3">
      <c r="A1514" t="s">
        <v>1613</v>
      </c>
      <c r="B1514" t="s">
        <v>44</v>
      </c>
      <c r="C1514">
        <v>2</v>
      </c>
      <c r="D1514">
        <v>26.3</v>
      </c>
      <c r="E1514">
        <v>52.6</v>
      </c>
      <c r="F1514" s="1">
        <v>45714</v>
      </c>
      <c r="G1514" s="1">
        <v>45716</v>
      </c>
      <c r="H1514" t="s">
        <v>27</v>
      </c>
      <c r="I1514" t="s">
        <v>18</v>
      </c>
      <c r="J1514">
        <v>3</v>
      </c>
      <c r="K1514" t="s">
        <v>19</v>
      </c>
      <c r="L1514" t="s">
        <v>33</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x14ac:dyDescent="0.3">
      <c r="A1515" t="s">
        <v>1614</v>
      </c>
      <c r="B1515" t="s">
        <v>39</v>
      </c>
      <c r="C1515">
        <v>4</v>
      </c>
      <c r="D1515">
        <v>52.6</v>
      </c>
      <c r="E1515">
        <v>210.4</v>
      </c>
      <c r="F1515" s="1">
        <v>45714</v>
      </c>
      <c r="G1515" s="1">
        <v>45716</v>
      </c>
      <c r="H1515" t="s">
        <v>27</v>
      </c>
      <c r="I1515" t="s">
        <v>40</v>
      </c>
      <c r="J1515">
        <v>3</v>
      </c>
      <c r="K1515" t="s">
        <v>19</v>
      </c>
      <c r="L1515" t="s">
        <v>33</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x14ac:dyDescent="0.3">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x14ac:dyDescent="0.3">
      <c r="A1517" t="s">
        <v>1616</v>
      </c>
      <c r="B1517" t="s">
        <v>37</v>
      </c>
      <c r="C1517">
        <v>4</v>
      </c>
      <c r="D1517">
        <v>38.9</v>
      </c>
      <c r="E1517">
        <v>155.6</v>
      </c>
      <c r="F1517" s="1">
        <v>45714</v>
      </c>
      <c r="G1517" s="1">
        <v>45715</v>
      </c>
      <c r="H1517" t="s">
        <v>27</v>
      </c>
      <c r="I1517" t="s">
        <v>18</v>
      </c>
      <c r="J1517">
        <v>4</v>
      </c>
      <c r="K1517" t="s">
        <v>19</v>
      </c>
      <c r="L1517" t="s">
        <v>33</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x14ac:dyDescent="0.3">
      <c r="A1518" t="s">
        <v>1617</v>
      </c>
      <c r="B1518" t="s">
        <v>46</v>
      </c>
      <c r="C1518">
        <v>5</v>
      </c>
      <c r="D1518">
        <v>35</v>
      </c>
      <c r="E1518">
        <v>175</v>
      </c>
      <c r="F1518" s="1">
        <v>45714</v>
      </c>
      <c r="G1518" s="1">
        <v>45716</v>
      </c>
      <c r="H1518" t="s">
        <v>23</v>
      </c>
      <c r="I1518" t="s">
        <v>18</v>
      </c>
      <c r="J1518">
        <v>4</v>
      </c>
      <c r="K1518" t="s">
        <v>19</v>
      </c>
      <c r="L1518" t="s">
        <v>33</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x14ac:dyDescent="0.3">
      <c r="A1519" t="s">
        <v>1618</v>
      </c>
      <c r="B1519" t="s">
        <v>26</v>
      </c>
      <c r="C1519">
        <v>2</v>
      </c>
      <c r="D1519">
        <v>121</v>
      </c>
      <c r="E1519">
        <v>242</v>
      </c>
      <c r="F1519" s="1">
        <v>45714</v>
      </c>
      <c r="G1519" s="1">
        <v>45715</v>
      </c>
      <c r="H1519" t="s">
        <v>27</v>
      </c>
      <c r="I1519" t="s">
        <v>35</v>
      </c>
      <c r="J1519">
        <v>3</v>
      </c>
      <c r="K1519" t="s">
        <v>19</v>
      </c>
      <c r="L1519" t="s">
        <v>33</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x14ac:dyDescent="0.3">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x14ac:dyDescent="0.3">
      <c r="A1521" t="s">
        <v>1620</v>
      </c>
      <c r="B1521" t="s">
        <v>22</v>
      </c>
      <c r="C1521">
        <v>21</v>
      </c>
      <c r="D1521">
        <v>63.8</v>
      </c>
      <c r="E1521">
        <v>1339.8</v>
      </c>
      <c r="F1521" s="1">
        <v>45714</v>
      </c>
      <c r="G1521" s="1">
        <v>45716</v>
      </c>
      <c r="H1521" t="s">
        <v>27</v>
      </c>
      <c r="I1521" t="s">
        <v>18</v>
      </c>
      <c r="J1521">
        <v>4</v>
      </c>
      <c r="K1521" t="s">
        <v>19</v>
      </c>
      <c r="L1521" t="s">
        <v>62</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x14ac:dyDescent="0.3">
      <c r="A1522" t="s">
        <v>1621</v>
      </c>
      <c r="B1522" t="s">
        <v>42</v>
      </c>
      <c r="C1522">
        <v>1</v>
      </c>
      <c r="D1522">
        <v>77.7</v>
      </c>
      <c r="E1522">
        <v>77.7</v>
      </c>
      <c r="F1522" s="1">
        <v>45714</v>
      </c>
      <c r="G1522" s="1">
        <v>45716</v>
      </c>
      <c r="H1522" t="s">
        <v>23</v>
      </c>
      <c r="I1522" t="s">
        <v>18</v>
      </c>
      <c r="J1522">
        <v>4</v>
      </c>
      <c r="K1522" t="s">
        <v>19</v>
      </c>
      <c r="L1522" t="s">
        <v>62</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x14ac:dyDescent="0.3">
      <c r="A1523" t="s">
        <v>1622</v>
      </c>
      <c r="B1523" t="s">
        <v>37</v>
      </c>
      <c r="C1523">
        <v>4</v>
      </c>
      <c r="D1523">
        <v>60.3</v>
      </c>
      <c r="E1523">
        <v>241.2</v>
      </c>
      <c r="F1523" s="1">
        <v>45714</v>
      </c>
      <c r="G1523" s="1">
        <v>45714</v>
      </c>
      <c r="H1523" t="s">
        <v>23</v>
      </c>
      <c r="I1523" t="s">
        <v>18</v>
      </c>
      <c r="J1523">
        <v>5</v>
      </c>
      <c r="K1523" t="s">
        <v>19</v>
      </c>
      <c r="L1523" t="s">
        <v>62</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x14ac:dyDescent="0.3">
      <c r="A1524" t="s">
        <v>1623</v>
      </c>
      <c r="B1524" t="s">
        <v>37</v>
      </c>
      <c r="C1524">
        <v>2</v>
      </c>
      <c r="D1524">
        <v>124.1</v>
      </c>
      <c r="E1524">
        <v>248.2</v>
      </c>
      <c r="F1524" s="1">
        <v>45714</v>
      </c>
      <c r="G1524" s="1">
        <v>45717</v>
      </c>
      <c r="H1524" t="s">
        <v>27</v>
      </c>
      <c r="I1524" t="s">
        <v>18</v>
      </c>
      <c r="J1524">
        <v>5</v>
      </c>
      <c r="K1524" t="s">
        <v>19</v>
      </c>
      <c r="L1524" t="s">
        <v>62</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x14ac:dyDescent="0.3">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x14ac:dyDescent="0.3">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x14ac:dyDescent="0.3">
      <c r="A1527" t="s">
        <v>1626</v>
      </c>
      <c r="B1527" t="s">
        <v>37</v>
      </c>
      <c r="C1527">
        <v>5</v>
      </c>
      <c r="D1527">
        <v>64.3</v>
      </c>
      <c r="E1527">
        <v>321.5</v>
      </c>
      <c r="F1527" s="1">
        <v>45714</v>
      </c>
      <c r="G1527" s="1">
        <v>45715</v>
      </c>
      <c r="H1527" t="s">
        <v>23</v>
      </c>
      <c r="I1527" t="s">
        <v>70</v>
      </c>
      <c r="J1527">
        <v>2</v>
      </c>
      <c r="K1527" t="s">
        <v>19</v>
      </c>
      <c r="L1527" t="s">
        <v>201</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x14ac:dyDescent="0.3">
      <c r="A1528" t="s">
        <v>1627</v>
      </c>
      <c r="B1528" t="s">
        <v>22</v>
      </c>
      <c r="C1528">
        <v>2</v>
      </c>
      <c r="D1528">
        <v>54.8</v>
      </c>
      <c r="E1528">
        <v>109.6</v>
      </c>
      <c r="F1528" s="1">
        <v>45714</v>
      </c>
      <c r="G1528" s="1">
        <v>45714</v>
      </c>
      <c r="H1528" t="s">
        <v>23</v>
      </c>
      <c r="I1528" t="s">
        <v>18</v>
      </c>
      <c r="J1528">
        <v>3</v>
      </c>
      <c r="K1528" t="s">
        <v>19</v>
      </c>
      <c r="L1528" t="s">
        <v>201</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x14ac:dyDescent="0.3">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x14ac:dyDescent="0.3">
      <c r="A1530" t="s">
        <v>1629</v>
      </c>
      <c r="B1530" t="s">
        <v>26</v>
      </c>
      <c r="C1530">
        <v>5</v>
      </c>
      <c r="D1530">
        <v>158.5</v>
      </c>
      <c r="E1530">
        <v>792.5</v>
      </c>
      <c r="F1530" s="1">
        <v>45714</v>
      </c>
      <c r="G1530" s="1">
        <v>45716</v>
      </c>
      <c r="H1530" t="s">
        <v>17</v>
      </c>
      <c r="I1530" t="s">
        <v>40</v>
      </c>
      <c r="J1530">
        <v>5</v>
      </c>
      <c r="K1530" t="s">
        <v>19</v>
      </c>
      <c r="L1530" t="s">
        <v>72</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x14ac:dyDescent="0.3">
      <c r="A1531" t="s">
        <v>1630</v>
      </c>
      <c r="B1531" t="s">
        <v>32</v>
      </c>
      <c r="C1531">
        <v>10</v>
      </c>
      <c r="D1531">
        <v>23.5</v>
      </c>
      <c r="E1531">
        <v>235</v>
      </c>
      <c r="F1531" s="1">
        <v>45714</v>
      </c>
      <c r="G1531" s="1">
        <v>45717</v>
      </c>
      <c r="H1531" t="s">
        <v>23</v>
      </c>
      <c r="I1531" t="s">
        <v>18</v>
      </c>
      <c r="J1531">
        <v>2</v>
      </c>
      <c r="K1531" t="s">
        <v>19</v>
      </c>
      <c r="L1531" t="s">
        <v>74</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x14ac:dyDescent="0.3">
      <c r="A1532" t="s">
        <v>1631</v>
      </c>
      <c r="B1532" t="s">
        <v>37</v>
      </c>
      <c r="C1532">
        <v>2</v>
      </c>
      <c r="D1532">
        <v>32.1</v>
      </c>
      <c r="E1532">
        <v>64.2</v>
      </c>
      <c r="F1532" s="1">
        <v>45714</v>
      </c>
      <c r="G1532" s="1">
        <v>45716</v>
      </c>
      <c r="H1532" t="s">
        <v>17</v>
      </c>
      <c r="I1532" t="s">
        <v>51</v>
      </c>
      <c r="J1532">
        <v>4</v>
      </c>
      <c r="K1532" t="s">
        <v>19</v>
      </c>
      <c r="L1532" t="s">
        <v>74</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x14ac:dyDescent="0.3">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x14ac:dyDescent="0.3">
      <c r="A1534" t="s">
        <v>1633</v>
      </c>
      <c r="B1534" t="s">
        <v>32</v>
      </c>
      <c r="C1534">
        <v>6</v>
      </c>
      <c r="D1534">
        <v>22.3</v>
      </c>
      <c r="E1534">
        <v>133.80000000000001</v>
      </c>
      <c r="F1534" s="1">
        <v>45714</v>
      </c>
      <c r="G1534" s="1">
        <v>45715</v>
      </c>
      <c r="H1534" t="s">
        <v>17</v>
      </c>
      <c r="I1534" t="s">
        <v>51</v>
      </c>
      <c r="J1534">
        <v>5</v>
      </c>
      <c r="K1534" t="s">
        <v>19</v>
      </c>
      <c r="L1534" t="s">
        <v>82</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x14ac:dyDescent="0.3">
      <c r="A1535" t="s">
        <v>1634</v>
      </c>
      <c r="B1535" t="s">
        <v>67</v>
      </c>
      <c r="C1535">
        <v>2</v>
      </c>
      <c r="D1535">
        <v>29.5</v>
      </c>
      <c r="E1535">
        <v>59</v>
      </c>
      <c r="F1535" s="1">
        <v>45714</v>
      </c>
      <c r="G1535" s="1">
        <v>45715</v>
      </c>
      <c r="H1535" t="s">
        <v>27</v>
      </c>
      <c r="I1535" t="s">
        <v>18</v>
      </c>
      <c r="J1535">
        <v>5</v>
      </c>
      <c r="K1535" t="s">
        <v>19</v>
      </c>
      <c r="L1535" t="s">
        <v>82</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x14ac:dyDescent="0.3">
      <c r="A1536" t="s">
        <v>1635</v>
      </c>
      <c r="B1536" t="s">
        <v>39</v>
      </c>
      <c r="C1536">
        <v>4</v>
      </c>
      <c r="D1536">
        <v>41.9</v>
      </c>
      <c r="E1536">
        <v>167.6</v>
      </c>
      <c r="F1536" s="1">
        <v>45714</v>
      </c>
      <c r="G1536" s="1">
        <v>45718</v>
      </c>
      <c r="H1536" t="s">
        <v>27</v>
      </c>
      <c r="I1536" t="s">
        <v>18</v>
      </c>
      <c r="J1536">
        <v>3</v>
      </c>
      <c r="K1536" t="s">
        <v>19</v>
      </c>
      <c r="L1536" t="s">
        <v>115</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x14ac:dyDescent="0.3">
      <c r="A1537" t="s">
        <v>1636</v>
      </c>
      <c r="B1537" t="s">
        <v>39</v>
      </c>
      <c r="C1537">
        <v>3</v>
      </c>
      <c r="D1537">
        <v>107.8</v>
      </c>
      <c r="E1537">
        <v>323.39999999999998</v>
      </c>
      <c r="F1537" s="1">
        <v>45714</v>
      </c>
      <c r="G1537" s="1">
        <v>45715</v>
      </c>
      <c r="H1537" t="s">
        <v>23</v>
      </c>
      <c r="I1537" t="s">
        <v>35</v>
      </c>
      <c r="J1537">
        <v>5</v>
      </c>
      <c r="K1537" t="s">
        <v>19</v>
      </c>
      <c r="L1537" t="s">
        <v>641</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x14ac:dyDescent="0.3">
      <c r="A1538" t="s">
        <v>1637</v>
      </c>
      <c r="B1538" t="s">
        <v>32</v>
      </c>
      <c r="C1538">
        <v>5</v>
      </c>
      <c r="D1538">
        <v>18.100000000000001</v>
      </c>
      <c r="E1538">
        <v>90.5</v>
      </c>
      <c r="F1538" s="1">
        <v>45714</v>
      </c>
      <c r="G1538" s="1">
        <v>45717</v>
      </c>
      <c r="H1538" t="s">
        <v>23</v>
      </c>
      <c r="I1538" t="s">
        <v>18</v>
      </c>
      <c r="J1538">
        <v>5</v>
      </c>
      <c r="K1538" t="s">
        <v>19</v>
      </c>
      <c r="L1538" t="s">
        <v>28</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x14ac:dyDescent="0.3">
      <c r="A1539" t="s">
        <v>1638</v>
      </c>
      <c r="B1539" t="s">
        <v>69</v>
      </c>
      <c r="C1539">
        <v>9</v>
      </c>
      <c r="D1539">
        <v>79.8</v>
      </c>
      <c r="E1539">
        <v>718.19999999999993</v>
      </c>
      <c r="F1539" s="1">
        <v>45714</v>
      </c>
      <c r="G1539" s="1">
        <v>45715</v>
      </c>
      <c r="H1539" t="s">
        <v>27</v>
      </c>
      <c r="I1539" t="s">
        <v>35</v>
      </c>
      <c r="J1539">
        <v>3</v>
      </c>
      <c r="K1539" t="s">
        <v>19</v>
      </c>
      <c r="L1539" t="s">
        <v>147</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x14ac:dyDescent="0.3">
      <c r="A1540" t="s">
        <v>1639</v>
      </c>
      <c r="B1540" t="s">
        <v>16</v>
      </c>
      <c r="C1540">
        <v>3</v>
      </c>
      <c r="D1540">
        <v>22.3</v>
      </c>
      <c r="E1540">
        <v>66.900000000000006</v>
      </c>
      <c r="F1540" s="1">
        <v>45714</v>
      </c>
      <c r="G1540" s="1">
        <v>45717</v>
      </c>
      <c r="H1540" t="s">
        <v>27</v>
      </c>
      <c r="I1540" t="s">
        <v>18</v>
      </c>
      <c r="J1540">
        <v>5</v>
      </c>
      <c r="K1540" t="s">
        <v>19</v>
      </c>
      <c r="L1540" t="s">
        <v>147</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x14ac:dyDescent="0.3">
      <c r="A1541" t="s">
        <v>1640</v>
      </c>
      <c r="B1541" t="s">
        <v>44</v>
      </c>
      <c r="C1541">
        <v>1</v>
      </c>
      <c r="D1541">
        <v>22.9</v>
      </c>
      <c r="E1541">
        <v>22.9</v>
      </c>
      <c r="F1541" s="1">
        <v>45714</v>
      </c>
      <c r="G1541" s="1">
        <v>45714</v>
      </c>
      <c r="H1541" t="s">
        <v>27</v>
      </c>
      <c r="I1541" t="s">
        <v>35</v>
      </c>
      <c r="J1541">
        <v>4</v>
      </c>
      <c r="K1541" t="s">
        <v>19</v>
      </c>
      <c r="L1541" t="s">
        <v>147</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x14ac:dyDescent="0.3">
      <c r="A1542" t="s">
        <v>1641</v>
      </c>
      <c r="B1542" t="s">
        <v>16</v>
      </c>
      <c r="C1542">
        <v>3</v>
      </c>
      <c r="D1542">
        <v>16.2</v>
      </c>
      <c r="E1542">
        <v>48.599999999999994</v>
      </c>
      <c r="F1542" s="1">
        <v>45715</v>
      </c>
      <c r="G1542" s="1">
        <v>45715</v>
      </c>
      <c r="H1542" t="s">
        <v>23</v>
      </c>
      <c r="I1542" t="s">
        <v>70</v>
      </c>
      <c r="J1542">
        <v>5</v>
      </c>
      <c r="K1542" t="s">
        <v>19</v>
      </c>
      <c r="L1542" t="s">
        <v>33</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x14ac:dyDescent="0.3">
      <c r="A1543" t="s">
        <v>1642</v>
      </c>
      <c r="B1543" t="s">
        <v>54</v>
      </c>
      <c r="C1543">
        <v>4</v>
      </c>
      <c r="D1543">
        <v>59.5</v>
      </c>
      <c r="E1543">
        <v>238</v>
      </c>
      <c r="F1543" s="1">
        <v>45715</v>
      </c>
      <c r="G1543" s="1">
        <v>45716</v>
      </c>
      <c r="H1543" t="s">
        <v>23</v>
      </c>
      <c r="I1543" t="s">
        <v>35</v>
      </c>
      <c r="J1543">
        <v>5</v>
      </c>
      <c r="K1543" t="s">
        <v>19</v>
      </c>
      <c r="L1543" t="s">
        <v>33</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x14ac:dyDescent="0.3">
      <c r="A1544" t="s">
        <v>1643</v>
      </c>
      <c r="B1544" t="s">
        <v>146</v>
      </c>
      <c r="C1544">
        <v>5</v>
      </c>
      <c r="D1544">
        <v>26.2</v>
      </c>
      <c r="E1544">
        <v>131</v>
      </c>
      <c r="F1544" s="1">
        <v>45715</v>
      </c>
      <c r="G1544" s="1">
        <v>45718</v>
      </c>
      <c r="H1544" t="s">
        <v>23</v>
      </c>
      <c r="I1544" t="s">
        <v>51</v>
      </c>
      <c r="J1544">
        <v>2</v>
      </c>
      <c r="K1544" t="s">
        <v>19</v>
      </c>
      <c r="L1544" t="s">
        <v>33</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x14ac:dyDescent="0.3">
      <c r="A1545" t="s">
        <v>1644</v>
      </c>
      <c r="B1545" t="s">
        <v>30</v>
      </c>
      <c r="C1545">
        <v>1</v>
      </c>
      <c r="D1545">
        <v>44.2</v>
      </c>
      <c r="E1545">
        <v>44.2</v>
      </c>
      <c r="F1545" s="1">
        <v>45715</v>
      </c>
      <c r="G1545" s="1">
        <v>45718</v>
      </c>
      <c r="H1545" t="s">
        <v>27</v>
      </c>
      <c r="I1545" t="s">
        <v>35</v>
      </c>
      <c r="J1545">
        <v>4</v>
      </c>
      <c r="K1545" t="s">
        <v>19</v>
      </c>
      <c r="L1545" t="s">
        <v>33</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x14ac:dyDescent="0.3">
      <c r="A1546" t="s">
        <v>1645</v>
      </c>
      <c r="B1546" t="s">
        <v>46</v>
      </c>
      <c r="C1546">
        <v>2</v>
      </c>
      <c r="D1546">
        <v>59.2</v>
      </c>
      <c r="E1546">
        <v>118.4</v>
      </c>
      <c r="F1546" s="1">
        <v>45715</v>
      </c>
      <c r="G1546" s="1">
        <v>45715</v>
      </c>
      <c r="H1546" t="s">
        <v>27</v>
      </c>
      <c r="I1546" t="s">
        <v>35</v>
      </c>
      <c r="J1546">
        <v>2</v>
      </c>
      <c r="K1546" t="s">
        <v>19</v>
      </c>
      <c r="L1546" t="s">
        <v>33</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x14ac:dyDescent="0.3">
      <c r="A1547" t="s">
        <v>1646</v>
      </c>
      <c r="B1547" t="s">
        <v>123</v>
      </c>
      <c r="C1547">
        <v>4</v>
      </c>
      <c r="D1547">
        <v>41.5</v>
      </c>
      <c r="E1547">
        <v>166</v>
      </c>
      <c r="F1547" s="1">
        <v>45715</v>
      </c>
      <c r="G1547" s="1">
        <v>45717</v>
      </c>
      <c r="H1547" t="s">
        <v>27</v>
      </c>
      <c r="I1547" t="s">
        <v>18</v>
      </c>
      <c r="J1547">
        <v>4</v>
      </c>
      <c r="K1547" t="s">
        <v>19</v>
      </c>
      <c r="L1547" t="s">
        <v>98</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x14ac:dyDescent="0.3">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x14ac:dyDescent="0.3">
      <c r="A1549" t="s">
        <v>1648</v>
      </c>
      <c r="B1549" t="s">
        <v>44</v>
      </c>
      <c r="C1549">
        <v>2</v>
      </c>
      <c r="D1549">
        <v>28.7</v>
      </c>
      <c r="E1549">
        <v>57.4</v>
      </c>
      <c r="F1549" s="1">
        <v>45715</v>
      </c>
      <c r="G1549" s="1">
        <v>45719</v>
      </c>
      <c r="H1549" t="s">
        <v>27</v>
      </c>
      <c r="I1549" t="s">
        <v>35</v>
      </c>
      <c r="J1549">
        <v>4</v>
      </c>
      <c r="K1549" t="s">
        <v>19</v>
      </c>
      <c r="L1549" t="s">
        <v>55</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x14ac:dyDescent="0.3">
      <c r="A1550" t="s">
        <v>1649</v>
      </c>
      <c r="B1550" t="s">
        <v>26</v>
      </c>
      <c r="C1550">
        <v>4</v>
      </c>
      <c r="D1550">
        <v>132.1</v>
      </c>
      <c r="E1550">
        <v>528.4</v>
      </c>
      <c r="F1550" s="1">
        <v>45715</v>
      </c>
      <c r="G1550" s="1">
        <v>45716</v>
      </c>
      <c r="H1550" t="s">
        <v>27</v>
      </c>
      <c r="I1550" t="s">
        <v>18</v>
      </c>
      <c r="J1550">
        <v>3</v>
      </c>
      <c r="K1550" t="s">
        <v>19</v>
      </c>
      <c r="L1550" t="s">
        <v>55</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x14ac:dyDescent="0.3">
      <c r="A1551" t="s">
        <v>1650</v>
      </c>
      <c r="B1551" t="s">
        <v>146</v>
      </c>
      <c r="C1551">
        <v>2</v>
      </c>
      <c r="D1551">
        <v>47</v>
      </c>
      <c r="E1551">
        <v>94</v>
      </c>
      <c r="F1551" s="1">
        <v>45715</v>
      </c>
      <c r="G1551" s="1">
        <v>45717</v>
      </c>
      <c r="H1551" t="s">
        <v>23</v>
      </c>
      <c r="I1551" t="s">
        <v>70</v>
      </c>
      <c r="J1551">
        <v>4</v>
      </c>
      <c r="K1551" t="s">
        <v>19</v>
      </c>
      <c r="L1551" t="s">
        <v>62</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x14ac:dyDescent="0.3">
      <c r="A1552" t="s">
        <v>1651</v>
      </c>
      <c r="B1552" t="s">
        <v>44</v>
      </c>
      <c r="C1552">
        <v>2</v>
      </c>
      <c r="D1552">
        <v>41.6</v>
      </c>
      <c r="E1552">
        <v>83.2</v>
      </c>
      <c r="F1552" s="1">
        <v>45715</v>
      </c>
      <c r="G1552" s="1">
        <v>45719</v>
      </c>
      <c r="H1552" t="s">
        <v>23</v>
      </c>
      <c r="I1552" t="s">
        <v>35</v>
      </c>
      <c r="J1552">
        <v>5</v>
      </c>
      <c r="K1552" t="s">
        <v>19</v>
      </c>
      <c r="L1552" t="s">
        <v>62</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x14ac:dyDescent="0.3">
      <c r="A1553" t="s">
        <v>1652</v>
      </c>
      <c r="B1553" t="s">
        <v>44</v>
      </c>
      <c r="C1553">
        <v>38</v>
      </c>
      <c r="D1553">
        <v>17.3</v>
      </c>
      <c r="E1553">
        <v>657.4</v>
      </c>
      <c r="F1553" s="1">
        <v>45715</v>
      </c>
      <c r="G1553" s="1">
        <v>45717</v>
      </c>
      <c r="H1553" t="s">
        <v>23</v>
      </c>
      <c r="I1553" t="s">
        <v>40</v>
      </c>
      <c r="J1553">
        <v>5</v>
      </c>
      <c r="K1553" t="s">
        <v>19</v>
      </c>
      <c r="L1553" t="s">
        <v>62</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x14ac:dyDescent="0.3">
      <c r="A1554" t="s">
        <v>1653</v>
      </c>
      <c r="B1554" t="s">
        <v>76</v>
      </c>
      <c r="C1554">
        <v>3</v>
      </c>
      <c r="D1554">
        <v>41.8</v>
      </c>
      <c r="E1554">
        <v>125.39999999999999</v>
      </c>
      <c r="F1554" s="1">
        <v>45715</v>
      </c>
      <c r="G1554" s="1">
        <v>45718</v>
      </c>
      <c r="H1554" t="s">
        <v>23</v>
      </c>
      <c r="I1554" t="s">
        <v>18</v>
      </c>
      <c r="J1554">
        <v>5</v>
      </c>
      <c r="K1554" t="s">
        <v>19</v>
      </c>
      <c r="L1554" t="s">
        <v>62</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x14ac:dyDescent="0.3">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x14ac:dyDescent="0.3">
      <c r="A1556" t="s">
        <v>1655</v>
      </c>
      <c r="B1556" t="s">
        <v>81</v>
      </c>
      <c r="C1556">
        <v>9</v>
      </c>
      <c r="D1556">
        <v>18.5</v>
      </c>
      <c r="E1556">
        <v>166.5</v>
      </c>
      <c r="F1556" s="1">
        <v>45715</v>
      </c>
      <c r="G1556" s="1">
        <v>45717</v>
      </c>
      <c r="H1556" t="s">
        <v>27</v>
      </c>
      <c r="I1556" t="s">
        <v>18</v>
      </c>
      <c r="J1556">
        <v>4</v>
      </c>
      <c r="K1556" t="s">
        <v>19</v>
      </c>
      <c r="L1556" t="s">
        <v>72</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x14ac:dyDescent="0.3">
      <c r="A1557" t="s">
        <v>1656</v>
      </c>
      <c r="B1557" t="s">
        <v>30</v>
      </c>
      <c r="C1557">
        <v>12</v>
      </c>
      <c r="D1557">
        <v>66.7</v>
      </c>
      <c r="E1557">
        <v>800.40000000000009</v>
      </c>
      <c r="F1557" s="1">
        <v>45715</v>
      </c>
      <c r="G1557" s="1">
        <v>45718</v>
      </c>
      <c r="H1557" t="s">
        <v>17</v>
      </c>
      <c r="I1557" t="s">
        <v>18</v>
      </c>
      <c r="J1557">
        <v>5</v>
      </c>
      <c r="K1557" t="s">
        <v>19</v>
      </c>
      <c r="L1557" t="s">
        <v>77</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x14ac:dyDescent="0.3">
      <c r="A1558" t="s">
        <v>1657</v>
      </c>
      <c r="B1558" t="s">
        <v>22</v>
      </c>
      <c r="C1558">
        <v>4</v>
      </c>
      <c r="D1558">
        <v>33.1</v>
      </c>
      <c r="E1558">
        <v>132.4</v>
      </c>
      <c r="F1558" s="1">
        <v>45715</v>
      </c>
      <c r="G1558" s="1">
        <v>45720</v>
      </c>
      <c r="H1558" t="s">
        <v>23</v>
      </c>
      <c r="I1558" t="s">
        <v>51</v>
      </c>
      <c r="J1558">
        <v>4</v>
      </c>
      <c r="K1558" t="s">
        <v>19</v>
      </c>
      <c r="L1558" t="s">
        <v>77</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x14ac:dyDescent="0.3">
      <c r="A1559" t="s">
        <v>1658</v>
      </c>
      <c r="B1559" t="s">
        <v>171</v>
      </c>
      <c r="C1559">
        <v>9</v>
      </c>
      <c r="D1559">
        <v>42.1</v>
      </c>
      <c r="E1559">
        <v>378.90000000000003</v>
      </c>
      <c r="F1559" s="1">
        <v>45715</v>
      </c>
      <c r="G1559" s="1">
        <v>45726</v>
      </c>
      <c r="H1559" t="s">
        <v>23</v>
      </c>
      <c r="I1559" t="s">
        <v>35</v>
      </c>
      <c r="J1559">
        <v>4</v>
      </c>
      <c r="K1559" t="s">
        <v>19</v>
      </c>
      <c r="L1559" t="s">
        <v>108</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x14ac:dyDescent="0.3">
      <c r="A1560" t="s">
        <v>1659</v>
      </c>
      <c r="B1560" t="s">
        <v>146</v>
      </c>
      <c r="C1560">
        <v>7</v>
      </c>
      <c r="D1560">
        <v>58.7</v>
      </c>
      <c r="E1560">
        <v>410.90000000000003</v>
      </c>
      <c r="F1560" s="1">
        <v>45715</v>
      </c>
      <c r="G1560" s="1">
        <v>45715</v>
      </c>
      <c r="H1560" t="s">
        <v>89</v>
      </c>
      <c r="I1560" t="s">
        <v>51</v>
      </c>
      <c r="J1560">
        <v>4</v>
      </c>
      <c r="K1560" t="s">
        <v>19</v>
      </c>
      <c r="L1560" t="s">
        <v>292</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x14ac:dyDescent="0.3">
      <c r="A1561" t="s">
        <v>1660</v>
      </c>
      <c r="B1561" t="s">
        <v>39</v>
      </c>
      <c r="C1561">
        <v>4</v>
      </c>
      <c r="D1561">
        <v>54</v>
      </c>
      <c r="E1561">
        <v>216</v>
      </c>
      <c r="F1561" s="1">
        <v>45715</v>
      </c>
      <c r="G1561" s="1">
        <v>45717</v>
      </c>
      <c r="H1561" t="s">
        <v>27</v>
      </c>
      <c r="I1561" t="s">
        <v>35</v>
      </c>
      <c r="J1561">
        <v>4</v>
      </c>
      <c r="K1561" t="s">
        <v>19</v>
      </c>
      <c r="L1561" t="s">
        <v>24</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x14ac:dyDescent="0.3">
      <c r="A1562" t="s">
        <v>1661</v>
      </c>
      <c r="B1562" t="s">
        <v>44</v>
      </c>
      <c r="C1562">
        <v>1</v>
      </c>
      <c r="D1562">
        <v>52.1</v>
      </c>
      <c r="E1562">
        <v>52.1</v>
      </c>
      <c r="F1562" s="1">
        <v>45715</v>
      </c>
      <c r="G1562" s="1">
        <v>45716</v>
      </c>
      <c r="H1562" t="s">
        <v>27</v>
      </c>
      <c r="I1562" t="s">
        <v>40</v>
      </c>
      <c r="J1562">
        <v>5</v>
      </c>
      <c r="K1562" t="s">
        <v>19</v>
      </c>
      <c r="L1562" t="s">
        <v>28</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x14ac:dyDescent="0.3">
      <c r="A1563" t="s">
        <v>1662</v>
      </c>
      <c r="B1563" t="s">
        <v>171</v>
      </c>
      <c r="C1563">
        <v>2</v>
      </c>
      <c r="D1563">
        <v>27</v>
      </c>
      <c r="E1563">
        <v>54</v>
      </c>
      <c r="F1563" s="1">
        <v>45715</v>
      </c>
      <c r="G1563" s="1">
        <v>45718</v>
      </c>
      <c r="H1563" t="s">
        <v>89</v>
      </c>
      <c r="I1563" t="s">
        <v>40</v>
      </c>
      <c r="J1563">
        <v>4</v>
      </c>
      <c r="K1563" t="s">
        <v>19</v>
      </c>
      <c r="L1563" t="s">
        <v>147</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x14ac:dyDescent="0.3">
      <c r="A1564" t="s">
        <v>1663</v>
      </c>
      <c r="B1564" t="s">
        <v>69</v>
      </c>
      <c r="C1564">
        <v>10</v>
      </c>
      <c r="D1564">
        <v>31</v>
      </c>
      <c r="E1564">
        <v>310</v>
      </c>
      <c r="F1564" s="1">
        <v>45716</v>
      </c>
      <c r="G1564" s="1">
        <v>45717</v>
      </c>
      <c r="H1564" t="s">
        <v>27</v>
      </c>
      <c r="I1564" t="s">
        <v>51</v>
      </c>
      <c r="J1564">
        <v>5</v>
      </c>
      <c r="K1564" t="s">
        <v>19</v>
      </c>
      <c r="L1564" t="s">
        <v>147</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x14ac:dyDescent="0.3">
      <c r="A1565" t="s">
        <v>1664</v>
      </c>
      <c r="B1565" t="s">
        <v>54</v>
      </c>
      <c r="C1565">
        <v>2</v>
      </c>
      <c r="D1565">
        <v>46.7</v>
      </c>
      <c r="E1565">
        <v>93.4</v>
      </c>
      <c r="F1565" s="1">
        <v>45716</v>
      </c>
      <c r="G1565" s="1">
        <v>45716</v>
      </c>
      <c r="H1565" t="s">
        <v>27</v>
      </c>
      <c r="I1565" t="s">
        <v>18</v>
      </c>
      <c r="J1565">
        <v>4</v>
      </c>
      <c r="K1565" t="s">
        <v>19</v>
      </c>
      <c r="L1565" t="s">
        <v>334</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x14ac:dyDescent="0.3">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x14ac:dyDescent="0.3">
      <c r="A1567" t="s">
        <v>1666</v>
      </c>
      <c r="B1567" t="s">
        <v>26</v>
      </c>
      <c r="C1567">
        <v>9</v>
      </c>
      <c r="D1567">
        <v>90.9</v>
      </c>
      <c r="E1567">
        <v>818.1</v>
      </c>
      <c r="F1567" s="1">
        <v>45716</v>
      </c>
      <c r="G1567" s="1">
        <v>45717</v>
      </c>
      <c r="H1567" t="s">
        <v>23</v>
      </c>
      <c r="I1567" t="s">
        <v>18</v>
      </c>
      <c r="J1567">
        <v>5</v>
      </c>
      <c r="K1567" t="s">
        <v>19</v>
      </c>
      <c r="L1567" t="s">
        <v>33</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x14ac:dyDescent="0.3">
      <c r="A1568" t="s">
        <v>1667</v>
      </c>
      <c r="B1568" t="s">
        <v>22</v>
      </c>
      <c r="C1568">
        <v>2</v>
      </c>
      <c r="D1568">
        <v>75.8</v>
      </c>
      <c r="E1568">
        <v>151.6</v>
      </c>
      <c r="F1568" s="1">
        <v>45716</v>
      </c>
      <c r="G1568" s="1">
        <v>45717</v>
      </c>
      <c r="H1568" t="s">
        <v>27</v>
      </c>
      <c r="I1568" t="s">
        <v>40</v>
      </c>
      <c r="J1568">
        <v>3</v>
      </c>
      <c r="K1568" t="s">
        <v>19</v>
      </c>
      <c r="L1568" t="s">
        <v>33</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x14ac:dyDescent="0.3">
      <c r="A1569" t="s">
        <v>1668</v>
      </c>
      <c r="B1569" t="s">
        <v>42</v>
      </c>
      <c r="C1569">
        <v>5</v>
      </c>
      <c r="D1569">
        <v>57.9</v>
      </c>
      <c r="E1569">
        <v>289.5</v>
      </c>
      <c r="F1569" s="1">
        <v>45716</v>
      </c>
      <c r="G1569" s="1">
        <v>45718</v>
      </c>
      <c r="H1569" t="s">
        <v>23</v>
      </c>
      <c r="I1569" t="s">
        <v>40</v>
      </c>
      <c r="J1569">
        <v>5</v>
      </c>
      <c r="K1569" t="s">
        <v>19</v>
      </c>
      <c r="L1569" t="s">
        <v>33</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x14ac:dyDescent="0.3">
      <c r="A1570" t="s">
        <v>1669</v>
      </c>
      <c r="B1570" t="s">
        <v>44</v>
      </c>
      <c r="C1570">
        <v>5</v>
      </c>
      <c r="D1570">
        <v>44.8</v>
      </c>
      <c r="E1570">
        <v>224</v>
      </c>
      <c r="F1570" s="1">
        <v>45716</v>
      </c>
      <c r="G1570" s="1">
        <v>45717</v>
      </c>
      <c r="H1570" t="s">
        <v>27</v>
      </c>
      <c r="I1570" t="s">
        <v>51</v>
      </c>
      <c r="J1570">
        <v>5</v>
      </c>
      <c r="K1570" t="s">
        <v>19</v>
      </c>
      <c r="L1570" t="s">
        <v>33</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x14ac:dyDescent="0.3">
      <c r="A1571" t="s">
        <v>1670</v>
      </c>
      <c r="B1571" t="s">
        <v>46</v>
      </c>
      <c r="C1571">
        <v>3</v>
      </c>
      <c r="D1571">
        <v>44.2</v>
      </c>
      <c r="E1571">
        <v>132.60000000000002</v>
      </c>
      <c r="F1571" s="1">
        <v>45716</v>
      </c>
      <c r="G1571" s="1">
        <v>45720</v>
      </c>
      <c r="H1571" t="s">
        <v>23</v>
      </c>
      <c r="I1571" t="s">
        <v>40</v>
      </c>
      <c r="J1571">
        <v>5</v>
      </c>
      <c r="K1571" t="s">
        <v>19</v>
      </c>
      <c r="L1571" t="s">
        <v>33</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x14ac:dyDescent="0.3">
      <c r="A1572" t="s">
        <v>1671</v>
      </c>
      <c r="B1572" t="s">
        <v>37</v>
      </c>
      <c r="C1572">
        <v>5</v>
      </c>
      <c r="D1572">
        <v>53.5</v>
      </c>
      <c r="E1572">
        <v>267.5</v>
      </c>
      <c r="F1572" s="1">
        <v>45716</v>
      </c>
      <c r="G1572" s="1">
        <v>45718</v>
      </c>
      <c r="H1572" t="s">
        <v>23</v>
      </c>
      <c r="I1572" t="s">
        <v>18</v>
      </c>
      <c r="J1572">
        <v>4</v>
      </c>
      <c r="K1572" t="s">
        <v>19</v>
      </c>
      <c r="L1572" t="s">
        <v>364</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x14ac:dyDescent="0.3">
      <c r="A1573" t="s">
        <v>1672</v>
      </c>
      <c r="B1573" t="s">
        <v>39</v>
      </c>
      <c r="C1573">
        <v>2</v>
      </c>
      <c r="D1573">
        <v>72.2</v>
      </c>
      <c r="E1573">
        <v>144.4</v>
      </c>
      <c r="F1573" s="1">
        <v>45716</v>
      </c>
      <c r="G1573" s="1">
        <v>45717</v>
      </c>
      <c r="H1573" t="s">
        <v>23</v>
      </c>
      <c r="I1573" t="s">
        <v>18</v>
      </c>
      <c r="J1573">
        <v>5</v>
      </c>
      <c r="K1573" t="s">
        <v>19</v>
      </c>
      <c r="L1573" t="s">
        <v>188</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x14ac:dyDescent="0.3">
      <c r="A1574" t="s">
        <v>1673</v>
      </c>
      <c r="B1574" t="s">
        <v>39</v>
      </c>
      <c r="C1574">
        <v>4</v>
      </c>
      <c r="D1574">
        <v>62.4</v>
      </c>
      <c r="E1574">
        <v>249.6</v>
      </c>
      <c r="F1574" s="1">
        <v>45716</v>
      </c>
      <c r="G1574" s="1">
        <v>45719</v>
      </c>
      <c r="H1574" t="s">
        <v>27</v>
      </c>
      <c r="I1574" t="s">
        <v>18</v>
      </c>
      <c r="J1574">
        <v>3</v>
      </c>
      <c r="K1574" t="s">
        <v>19</v>
      </c>
      <c r="L1574" t="s">
        <v>158</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x14ac:dyDescent="0.3">
      <c r="A1575" t="s">
        <v>1674</v>
      </c>
      <c r="B1575" t="s">
        <v>54</v>
      </c>
      <c r="C1575">
        <v>5</v>
      </c>
      <c r="D1575">
        <v>24.7</v>
      </c>
      <c r="E1575">
        <v>123.5</v>
      </c>
      <c r="F1575" s="1">
        <v>45716</v>
      </c>
      <c r="G1575" s="1">
        <v>45717</v>
      </c>
      <c r="H1575" t="s">
        <v>27</v>
      </c>
      <c r="I1575" t="s">
        <v>18</v>
      </c>
      <c r="J1575">
        <v>4</v>
      </c>
      <c r="K1575" t="s">
        <v>19</v>
      </c>
      <c r="L1575" t="s">
        <v>55</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x14ac:dyDescent="0.3">
      <c r="A1576" t="s">
        <v>1675</v>
      </c>
      <c r="B1576" t="s">
        <v>22</v>
      </c>
      <c r="C1576">
        <v>5</v>
      </c>
      <c r="D1576">
        <v>61.7</v>
      </c>
      <c r="E1576">
        <v>308.5</v>
      </c>
      <c r="F1576" s="1">
        <v>45716</v>
      </c>
      <c r="G1576" s="1">
        <v>45718</v>
      </c>
      <c r="H1576" t="s">
        <v>27</v>
      </c>
      <c r="I1576" t="s">
        <v>40</v>
      </c>
      <c r="J1576">
        <v>4</v>
      </c>
      <c r="K1576" t="s">
        <v>19</v>
      </c>
      <c r="L1576" t="s">
        <v>62</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x14ac:dyDescent="0.3">
      <c r="A1577" t="s">
        <v>1676</v>
      </c>
      <c r="B1577" t="s">
        <v>44</v>
      </c>
      <c r="C1577">
        <v>5</v>
      </c>
      <c r="D1577">
        <v>18.2</v>
      </c>
      <c r="E1577">
        <v>91</v>
      </c>
      <c r="F1577" s="1">
        <v>45716</v>
      </c>
      <c r="G1577" s="1">
        <v>45718</v>
      </c>
      <c r="H1577" t="s">
        <v>27</v>
      </c>
      <c r="I1577" t="s">
        <v>51</v>
      </c>
      <c r="J1577">
        <v>4</v>
      </c>
      <c r="K1577" t="s">
        <v>19</v>
      </c>
      <c r="L1577" t="s">
        <v>62</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x14ac:dyDescent="0.3">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x14ac:dyDescent="0.3">
      <c r="A1579" t="s">
        <v>1678</v>
      </c>
      <c r="B1579" t="s">
        <v>46</v>
      </c>
      <c r="C1579">
        <v>3</v>
      </c>
      <c r="D1579">
        <v>53.5</v>
      </c>
      <c r="E1579">
        <v>160.5</v>
      </c>
      <c r="F1579" s="1">
        <v>45716</v>
      </c>
      <c r="G1579" s="1">
        <v>45718</v>
      </c>
      <c r="H1579" t="s">
        <v>27</v>
      </c>
      <c r="I1579" t="s">
        <v>35</v>
      </c>
      <c r="J1579">
        <v>5</v>
      </c>
      <c r="K1579" t="s">
        <v>19</v>
      </c>
      <c r="L1579" t="s">
        <v>72</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x14ac:dyDescent="0.3">
      <c r="A1580" t="s">
        <v>1679</v>
      </c>
      <c r="B1580" t="s">
        <v>44</v>
      </c>
      <c r="C1580">
        <v>3</v>
      </c>
      <c r="D1580">
        <v>43.6</v>
      </c>
      <c r="E1580">
        <v>130.80000000000001</v>
      </c>
      <c r="F1580" s="1">
        <v>45716</v>
      </c>
      <c r="G1580" s="1">
        <v>45716</v>
      </c>
      <c r="H1580" t="s">
        <v>27</v>
      </c>
      <c r="I1580" t="s">
        <v>18</v>
      </c>
      <c r="J1580">
        <v>4</v>
      </c>
      <c r="K1580" t="s">
        <v>19</v>
      </c>
      <c r="L1580" t="s">
        <v>72</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x14ac:dyDescent="0.3">
      <c r="A1581" t="s">
        <v>1680</v>
      </c>
      <c r="B1581" t="s">
        <v>22</v>
      </c>
      <c r="C1581">
        <v>10</v>
      </c>
      <c r="D1581">
        <v>135</v>
      </c>
      <c r="E1581">
        <v>1350</v>
      </c>
      <c r="F1581" s="1">
        <v>45716</v>
      </c>
      <c r="G1581" s="1">
        <v>45718</v>
      </c>
      <c r="H1581" t="s">
        <v>27</v>
      </c>
      <c r="I1581" t="s">
        <v>18</v>
      </c>
      <c r="J1581">
        <v>5</v>
      </c>
      <c r="K1581" t="s">
        <v>19</v>
      </c>
      <c r="L1581" t="s">
        <v>72</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x14ac:dyDescent="0.3">
      <c r="A1582" t="s">
        <v>1681</v>
      </c>
      <c r="B1582" t="s">
        <v>44</v>
      </c>
      <c r="C1582">
        <v>5</v>
      </c>
      <c r="D1582">
        <v>38.5</v>
      </c>
      <c r="E1582">
        <v>192.5</v>
      </c>
      <c r="F1582" s="1">
        <v>45716</v>
      </c>
      <c r="G1582" s="1">
        <v>45716</v>
      </c>
      <c r="H1582" t="s">
        <v>23</v>
      </c>
      <c r="I1582" t="s">
        <v>70</v>
      </c>
      <c r="J1582">
        <v>5</v>
      </c>
      <c r="K1582" t="s">
        <v>19</v>
      </c>
      <c r="L1582" t="s">
        <v>74</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x14ac:dyDescent="0.3">
      <c r="A1583" t="s">
        <v>1682</v>
      </c>
      <c r="B1583" t="s">
        <v>46</v>
      </c>
      <c r="C1583">
        <v>2</v>
      </c>
      <c r="D1583">
        <v>24</v>
      </c>
      <c r="E1583">
        <v>48</v>
      </c>
      <c r="F1583" s="1">
        <v>45716</v>
      </c>
      <c r="G1583" s="1">
        <v>45721</v>
      </c>
      <c r="H1583" t="s">
        <v>27</v>
      </c>
      <c r="I1583" t="s">
        <v>18</v>
      </c>
      <c r="J1583">
        <v>4</v>
      </c>
      <c r="K1583" t="s">
        <v>19</v>
      </c>
      <c r="L1583" t="s">
        <v>77</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x14ac:dyDescent="0.3">
      <c r="A1584" t="s">
        <v>1683</v>
      </c>
      <c r="B1584" t="s">
        <v>32</v>
      </c>
      <c r="C1584">
        <v>3</v>
      </c>
      <c r="D1584">
        <v>28.2</v>
      </c>
      <c r="E1584">
        <v>84.6</v>
      </c>
      <c r="F1584" s="1">
        <v>45716</v>
      </c>
      <c r="G1584" s="1">
        <v>45718</v>
      </c>
      <c r="H1584" t="s">
        <v>23</v>
      </c>
      <c r="I1584" t="s">
        <v>18</v>
      </c>
      <c r="J1584">
        <v>1</v>
      </c>
      <c r="K1584" t="s">
        <v>19</v>
      </c>
      <c r="L1584" t="s">
        <v>108</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x14ac:dyDescent="0.3">
      <c r="A1585" t="s">
        <v>1684</v>
      </c>
      <c r="B1585" t="s">
        <v>42</v>
      </c>
      <c r="C1585">
        <v>3</v>
      </c>
      <c r="D1585">
        <v>37.4</v>
      </c>
      <c r="E1585">
        <v>112.19999999999999</v>
      </c>
      <c r="F1585" s="1">
        <v>45716</v>
      </c>
      <c r="G1585" s="1">
        <v>45717</v>
      </c>
      <c r="H1585" t="s">
        <v>27</v>
      </c>
      <c r="I1585" t="s">
        <v>51</v>
      </c>
      <c r="J1585">
        <v>4</v>
      </c>
      <c r="K1585" t="s">
        <v>19</v>
      </c>
      <c r="L1585" t="s">
        <v>24</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x14ac:dyDescent="0.3">
      <c r="A1586" t="s">
        <v>1685</v>
      </c>
      <c r="B1586" t="s">
        <v>39</v>
      </c>
      <c r="C1586">
        <v>3</v>
      </c>
      <c r="D1586">
        <v>53.5</v>
      </c>
      <c r="E1586">
        <v>160.5</v>
      </c>
      <c r="F1586" s="1">
        <v>45716</v>
      </c>
      <c r="G1586" s="1">
        <v>45719</v>
      </c>
      <c r="H1586" t="s">
        <v>17</v>
      </c>
      <c r="I1586" t="s">
        <v>70</v>
      </c>
      <c r="J1586">
        <v>2</v>
      </c>
      <c r="K1586" t="s">
        <v>19</v>
      </c>
      <c r="L1586" t="s">
        <v>24</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x14ac:dyDescent="0.3">
      <c r="A1587" t="s">
        <v>1686</v>
      </c>
      <c r="B1587" t="s">
        <v>67</v>
      </c>
      <c r="C1587">
        <v>5</v>
      </c>
      <c r="D1587">
        <v>36.200000000000003</v>
      </c>
      <c r="E1587">
        <v>181</v>
      </c>
      <c r="F1587" s="1">
        <v>45716</v>
      </c>
      <c r="G1587" s="1">
        <v>45717</v>
      </c>
      <c r="H1587" t="s">
        <v>23</v>
      </c>
      <c r="I1587" t="s">
        <v>35</v>
      </c>
      <c r="J1587">
        <v>5</v>
      </c>
      <c r="K1587" t="s">
        <v>19</v>
      </c>
      <c r="L1587" t="s">
        <v>331</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x14ac:dyDescent="0.3">
      <c r="A1588" t="s">
        <v>1687</v>
      </c>
      <c r="B1588" t="s">
        <v>16</v>
      </c>
      <c r="C1588">
        <v>8</v>
      </c>
      <c r="D1588">
        <v>31.9</v>
      </c>
      <c r="E1588">
        <v>255.2</v>
      </c>
      <c r="F1588" s="1">
        <v>45716</v>
      </c>
      <c r="G1588" s="1">
        <v>45717</v>
      </c>
      <c r="H1588" t="s">
        <v>27</v>
      </c>
      <c r="I1588" t="s">
        <v>70</v>
      </c>
      <c r="J1588">
        <v>4</v>
      </c>
      <c r="K1588" t="s">
        <v>19</v>
      </c>
      <c r="L1588" t="s">
        <v>33</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x14ac:dyDescent="0.3">
      <c r="A1589" t="s">
        <v>1688</v>
      </c>
      <c r="B1589" t="s">
        <v>44</v>
      </c>
      <c r="C1589">
        <v>3</v>
      </c>
      <c r="D1589">
        <v>21.3</v>
      </c>
      <c r="E1589">
        <v>63.900000000000006</v>
      </c>
      <c r="F1589" s="1">
        <v>45716</v>
      </c>
      <c r="G1589" s="1">
        <v>45717</v>
      </c>
      <c r="H1589" t="s">
        <v>23</v>
      </c>
      <c r="I1589" t="s">
        <v>18</v>
      </c>
      <c r="J1589">
        <v>5</v>
      </c>
      <c r="K1589" t="s">
        <v>19</v>
      </c>
      <c r="L1589" t="s">
        <v>33</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x14ac:dyDescent="0.3">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x14ac:dyDescent="0.3">
      <c r="A1591" t="s">
        <v>1690</v>
      </c>
      <c r="B1591" t="s">
        <v>39</v>
      </c>
      <c r="C1591">
        <v>3</v>
      </c>
      <c r="D1591">
        <v>110.5</v>
      </c>
      <c r="E1591">
        <v>331.5</v>
      </c>
      <c r="F1591" s="1">
        <v>45716</v>
      </c>
      <c r="G1591" s="1">
        <v>45717</v>
      </c>
      <c r="H1591" t="s">
        <v>27</v>
      </c>
      <c r="I1591" t="s">
        <v>18</v>
      </c>
      <c r="J1591">
        <v>1</v>
      </c>
      <c r="K1591" t="s">
        <v>19</v>
      </c>
      <c r="L1591" t="s">
        <v>33</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x14ac:dyDescent="0.3">
      <c r="A1592" t="s">
        <v>1691</v>
      </c>
      <c r="B1592" t="s">
        <v>54</v>
      </c>
      <c r="C1592">
        <v>7</v>
      </c>
      <c r="D1592">
        <v>32.6</v>
      </c>
      <c r="E1592">
        <v>228.20000000000002</v>
      </c>
      <c r="F1592" s="1">
        <v>45716</v>
      </c>
      <c r="G1592" s="1">
        <v>45718</v>
      </c>
      <c r="H1592" t="s">
        <v>27</v>
      </c>
      <c r="I1592" t="s">
        <v>18</v>
      </c>
      <c r="J1592">
        <v>3</v>
      </c>
      <c r="K1592" t="s">
        <v>19</v>
      </c>
      <c r="L1592" t="s">
        <v>33</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x14ac:dyDescent="0.3">
      <c r="A1593" t="s">
        <v>1692</v>
      </c>
      <c r="B1593" t="s">
        <v>37</v>
      </c>
      <c r="C1593">
        <v>3</v>
      </c>
      <c r="D1593">
        <v>55.6</v>
      </c>
      <c r="E1593">
        <v>166.8</v>
      </c>
      <c r="F1593" s="1">
        <v>45717</v>
      </c>
      <c r="G1593" s="1">
        <v>45730</v>
      </c>
      <c r="H1593" t="s">
        <v>27</v>
      </c>
      <c r="I1593" t="s">
        <v>18</v>
      </c>
      <c r="J1593">
        <v>4</v>
      </c>
      <c r="K1593" t="s">
        <v>19</v>
      </c>
      <c r="L1593" t="s">
        <v>33</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x14ac:dyDescent="0.3">
      <c r="A1594" t="s">
        <v>1693</v>
      </c>
      <c r="B1594" t="s">
        <v>22</v>
      </c>
      <c r="C1594">
        <v>4</v>
      </c>
      <c r="D1594">
        <v>38</v>
      </c>
      <c r="E1594">
        <v>152</v>
      </c>
      <c r="F1594" s="1">
        <v>45717</v>
      </c>
      <c r="G1594" s="1">
        <v>45718</v>
      </c>
      <c r="H1594" t="s">
        <v>27</v>
      </c>
      <c r="I1594" t="s">
        <v>51</v>
      </c>
      <c r="J1594">
        <v>5</v>
      </c>
      <c r="K1594" t="s">
        <v>19</v>
      </c>
      <c r="L1594" t="s">
        <v>52</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x14ac:dyDescent="0.3">
      <c r="A1595" t="s">
        <v>1694</v>
      </c>
      <c r="B1595" t="s">
        <v>54</v>
      </c>
      <c r="C1595">
        <v>2</v>
      </c>
      <c r="D1595">
        <v>51.8</v>
      </c>
      <c r="E1595">
        <v>103.6</v>
      </c>
      <c r="F1595" s="1">
        <v>45717</v>
      </c>
      <c r="G1595" s="1">
        <v>45723</v>
      </c>
      <c r="H1595" t="s">
        <v>23</v>
      </c>
      <c r="I1595" t="s">
        <v>35</v>
      </c>
      <c r="J1595">
        <v>2</v>
      </c>
      <c r="K1595" t="s">
        <v>19</v>
      </c>
      <c r="L1595" t="s">
        <v>55</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x14ac:dyDescent="0.3">
      <c r="A1596" t="s">
        <v>1695</v>
      </c>
      <c r="B1596" t="s">
        <v>67</v>
      </c>
      <c r="C1596">
        <v>8</v>
      </c>
      <c r="D1596">
        <v>28.7</v>
      </c>
      <c r="E1596">
        <v>229.6</v>
      </c>
      <c r="F1596" s="1">
        <v>45717</v>
      </c>
      <c r="G1596" s="1">
        <v>45722</v>
      </c>
      <c r="H1596" t="s">
        <v>27</v>
      </c>
      <c r="I1596" t="s">
        <v>18</v>
      </c>
      <c r="J1596">
        <v>4</v>
      </c>
      <c r="K1596" t="s">
        <v>19</v>
      </c>
      <c r="L1596" t="s">
        <v>55</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x14ac:dyDescent="0.3">
      <c r="A1597" t="s">
        <v>1696</v>
      </c>
      <c r="B1597" t="s">
        <v>39</v>
      </c>
      <c r="C1597">
        <v>12</v>
      </c>
      <c r="D1597">
        <v>52.2</v>
      </c>
      <c r="E1597">
        <v>626.40000000000009</v>
      </c>
      <c r="F1597" s="1">
        <v>45717</v>
      </c>
      <c r="G1597" s="1">
        <v>45717</v>
      </c>
      <c r="H1597" t="s">
        <v>23</v>
      </c>
      <c r="I1597" t="s">
        <v>18</v>
      </c>
      <c r="J1597">
        <v>3</v>
      </c>
      <c r="K1597" t="s">
        <v>19</v>
      </c>
      <c r="L1597" t="s">
        <v>55</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x14ac:dyDescent="0.3">
      <c r="A1598" t="s">
        <v>1697</v>
      </c>
      <c r="B1598" t="s">
        <v>22</v>
      </c>
      <c r="C1598">
        <v>2</v>
      </c>
      <c r="D1598">
        <v>68.2</v>
      </c>
      <c r="E1598">
        <v>136.4</v>
      </c>
      <c r="F1598" s="1">
        <v>45717</v>
      </c>
      <c r="G1598" s="1">
        <v>45718</v>
      </c>
      <c r="H1598" t="s">
        <v>17</v>
      </c>
      <c r="I1598" t="s">
        <v>40</v>
      </c>
      <c r="J1598">
        <v>4</v>
      </c>
      <c r="K1598" t="s">
        <v>19</v>
      </c>
      <c r="L1598" t="s">
        <v>59</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x14ac:dyDescent="0.3">
      <c r="A1599" t="s">
        <v>1698</v>
      </c>
      <c r="B1599" t="s">
        <v>16</v>
      </c>
      <c r="C1599">
        <v>3</v>
      </c>
      <c r="D1599">
        <v>34</v>
      </c>
      <c r="E1599">
        <v>102</v>
      </c>
      <c r="F1599" s="1">
        <v>45717</v>
      </c>
      <c r="G1599" s="1">
        <v>45721</v>
      </c>
      <c r="H1599" t="s">
        <v>27</v>
      </c>
      <c r="I1599" t="s">
        <v>18</v>
      </c>
      <c r="J1599">
        <v>4</v>
      </c>
      <c r="K1599" t="s">
        <v>19</v>
      </c>
      <c r="L1599" t="s">
        <v>62</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x14ac:dyDescent="0.3">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x14ac:dyDescent="0.3">
      <c r="A1601" t="s">
        <v>1700</v>
      </c>
      <c r="B1601" t="s">
        <v>37</v>
      </c>
      <c r="C1601">
        <v>8</v>
      </c>
      <c r="D1601">
        <v>34</v>
      </c>
      <c r="E1601">
        <v>272</v>
      </c>
      <c r="F1601" s="1">
        <v>45717</v>
      </c>
      <c r="G1601" s="1">
        <v>45725</v>
      </c>
      <c r="H1601" t="s">
        <v>27</v>
      </c>
      <c r="I1601" t="s">
        <v>70</v>
      </c>
      <c r="J1601">
        <v>4</v>
      </c>
      <c r="K1601" t="s">
        <v>19</v>
      </c>
      <c r="L1601" t="s">
        <v>62</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x14ac:dyDescent="0.3">
      <c r="A1602" t="s">
        <v>1701</v>
      </c>
      <c r="B1602" t="s">
        <v>69</v>
      </c>
      <c r="C1602">
        <v>2</v>
      </c>
      <c r="D1602">
        <v>109.1</v>
      </c>
      <c r="E1602">
        <v>218.2</v>
      </c>
      <c r="F1602" s="1">
        <v>45717</v>
      </c>
      <c r="G1602" s="1">
        <v>45719</v>
      </c>
      <c r="H1602" t="s">
        <v>23</v>
      </c>
      <c r="I1602" t="s">
        <v>18</v>
      </c>
      <c r="J1602">
        <v>5</v>
      </c>
      <c r="K1602" t="s">
        <v>19</v>
      </c>
      <c r="L1602" t="s">
        <v>62</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x14ac:dyDescent="0.3">
      <c r="A1603" t="s">
        <v>1702</v>
      </c>
      <c r="B1603" t="s">
        <v>146</v>
      </c>
      <c r="C1603">
        <v>2</v>
      </c>
      <c r="D1603">
        <v>64.8</v>
      </c>
      <c r="E1603">
        <v>129.6</v>
      </c>
      <c r="F1603" s="1">
        <v>45717</v>
      </c>
      <c r="G1603" s="1">
        <v>45719</v>
      </c>
      <c r="H1603" t="s">
        <v>23</v>
      </c>
      <c r="I1603" t="s">
        <v>18</v>
      </c>
      <c r="J1603">
        <v>5</v>
      </c>
      <c r="K1603" t="s">
        <v>19</v>
      </c>
      <c r="L1603" t="s">
        <v>62</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x14ac:dyDescent="0.3">
      <c r="A1604" t="s">
        <v>1703</v>
      </c>
      <c r="B1604" t="s">
        <v>54</v>
      </c>
      <c r="C1604">
        <v>2</v>
      </c>
      <c r="D1604">
        <v>21.1</v>
      </c>
      <c r="E1604">
        <v>42.2</v>
      </c>
      <c r="F1604" s="1">
        <v>45717</v>
      </c>
      <c r="G1604" s="1">
        <v>45717</v>
      </c>
      <c r="H1604" t="s">
        <v>27</v>
      </c>
      <c r="I1604" t="s">
        <v>35</v>
      </c>
      <c r="J1604">
        <v>4</v>
      </c>
      <c r="K1604" t="s">
        <v>19</v>
      </c>
      <c r="L1604" t="s">
        <v>77</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x14ac:dyDescent="0.3">
      <c r="A1605" t="s">
        <v>1704</v>
      </c>
      <c r="B1605" t="s">
        <v>16</v>
      </c>
      <c r="C1605">
        <v>8</v>
      </c>
      <c r="D1605">
        <v>21.3</v>
      </c>
      <c r="E1605">
        <v>170.4</v>
      </c>
      <c r="F1605" s="1">
        <v>45717</v>
      </c>
      <c r="G1605" s="1">
        <v>45719</v>
      </c>
      <c r="H1605" t="s">
        <v>23</v>
      </c>
      <c r="I1605" t="s">
        <v>51</v>
      </c>
      <c r="J1605">
        <v>3</v>
      </c>
      <c r="K1605" t="s">
        <v>19</v>
      </c>
      <c r="L1605" t="s">
        <v>108</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x14ac:dyDescent="0.3">
      <c r="A1606" t="s">
        <v>1705</v>
      </c>
      <c r="B1606" t="s">
        <v>46</v>
      </c>
      <c r="C1606">
        <v>3</v>
      </c>
      <c r="D1606">
        <v>24.3</v>
      </c>
      <c r="E1606">
        <v>72.900000000000006</v>
      </c>
      <c r="F1606" s="1">
        <v>45717</v>
      </c>
      <c r="G1606" s="1">
        <v>45718</v>
      </c>
      <c r="H1606" t="s">
        <v>23</v>
      </c>
      <c r="I1606" t="s">
        <v>35</v>
      </c>
      <c r="J1606">
        <v>4</v>
      </c>
      <c r="K1606" t="s">
        <v>19</v>
      </c>
      <c r="L1606" t="s">
        <v>110</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x14ac:dyDescent="0.3">
      <c r="A1607" t="s">
        <v>1706</v>
      </c>
      <c r="B1607" t="s">
        <v>44</v>
      </c>
      <c r="C1607">
        <v>1</v>
      </c>
      <c r="D1607">
        <v>43.3</v>
      </c>
      <c r="E1607">
        <v>43.3</v>
      </c>
      <c r="F1607" s="1">
        <v>45717</v>
      </c>
      <c r="G1607" s="1">
        <v>45721</v>
      </c>
      <c r="H1607" t="s">
        <v>23</v>
      </c>
      <c r="I1607" t="s">
        <v>35</v>
      </c>
      <c r="J1607">
        <v>3</v>
      </c>
      <c r="K1607" t="s">
        <v>19</v>
      </c>
      <c r="L1607" t="s">
        <v>82</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x14ac:dyDescent="0.3">
      <c r="A1608" t="s">
        <v>1707</v>
      </c>
      <c r="B1608" t="s">
        <v>46</v>
      </c>
      <c r="C1608">
        <v>3</v>
      </c>
      <c r="D1608">
        <v>41</v>
      </c>
      <c r="E1608">
        <v>123</v>
      </c>
      <c r="F1608" s="1">
        <v>45717</v>
      </c>
      <c r="G1608" s="1">
        <v>45718</v>
      </c>
      <c r="H1608" t="s">
        <v>27</v>
      </c>
      <c r="I1608" t="s">
        <v>51</v>
      </c>
      <c r="J1608">
        <v>2</v>
      </c>
      <c r="K1608" t="s">
        <v>19</v>
      </c>
      <c r="L1608" t="s">
        <v>115</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x14ac:dyDescent="0.3">
      <c r="A1609" t="s">
        <v>1708</v>
      </c>
      <c r="B1609" t="s">
        <v>128</v>
      </c>
      <c r="C1609">
        <v>3</v>
      </c>
      <c r="D1609">
        <v>54.1</v>
      </c>
      <c r="E1609">
        <v>162.30000000000001</v>
      </c>
      <c r="F1609" s="1">
        <v>45717</v>
      </c>
      <c r="G1609" s="1">
        <v>45719</v>
      </c>
      <c r="H1609" t="s">
        <v>27</v>
      </c>
      <c r="I1609" t="s">
        <v>70</v>
      </c>
      <c r="J1609">
        <v>4</v>
      </c>
      <c r="K1609" t="s">
        <v>19</v>
      </c>
      <c r="L1609" t="s">
        <v>115</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x14ac:dyDescent="0.3">
      <c r="A1610" t="s">
        <v>1709</v>
      </c>
      <c r="B1610" t="s">
        <v>67</v>
      </c>
      <c r="C1610">
        <v>2</v>
      </c>
      <c r="D1610">
        <v>39</v>
      </c>
      <c r="E1610">
        <v>78</v>
      </c>
      <c r="F1610" s="1">
        <v>45717</v>
      </c>
      <c r="G1610" s="1">
        <v>45718</v>
      </c>
      <c r="H1610" t="s">
        <v>23</v>
      </c>
      <c r="I1610" t="s">
        <v>35</v>
      </c>
      <c r="J1610">
        <v>5</v>
      </c>
      <c r="K1610" t="s">
        <v>19</v>
      </c>
      <c r="L1610" t="s">
        <v>24</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x14ac:dyDescent="0.3">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x14ac:dyDescent="0.3">
      <c r="A1612" t="s">
        <v>1711</v>
      </c>
      <c r="B1612" t="s">
        <v>44</v>
      </c>
      <c r="C1612">
        <v>3</v>
      </c>
      <c r="D1612">
        <v>24.1</v>
      </c>
      <c r="E1612">
        <v>72.300000000000011</v>
      </c>
      <c r="F1612" s="1">
        <v>45717</v>
      </c>
      <c r="G1612" s="1">
        <v>45718</v>
      </c>
      <c r="H1612" t="s">
        <v>23</v>
      </c>
      <c r="I1612" t="s">
        <v>18</v>
      </c>
      <c r="J1612">
        <v>5</v>
      </c>
      <c r="K1612" t="s">
        <v>19</v>
      </c>
      <c r="L1612" t="s">
        <v>334</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x14ac:dyDescent="0.3">
      <c r="A1613" t="s">
        <v>1712</v>
      </c>
      <c r="B1613" t="s">
        <v>39</v>
      </c>
      <c r="C1613">
        <v>5</v>
      </c>
      <c r="D1613">
        <v>52.3</v>
      </c>
      <c r="E1613">
        <v>261.5</v>
      </c>
      <c r="F1613" s="1">
        <v>45717</v>
      </c>
      <c r="G1613" s="1">
        <v>45718</v>
      </c>
      <c r="H1613" t="s">
        <v>23</v>
      </c>
      <c r="I1613" t="s">
        <v>40</v>
      </c>
      <c r="J1613">
        <v>4</v>
      </c>
      <c r="K1613" t="s">
        <v>19</v>
      </c>
      <c r="L1613" t="s">
        <v>33</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x14ac:dyDescent="0.3">
      <c r="A1614" t="s">
        <v>1713</v>
      </c>
      <c r="B1614" t="s">
        <v>69</v>
      </c>
      <c r="C1614">
        <v>4</v>
      </c>
      <c r="D1614">
        <v>68.8</v>
      </c>
      <c r="E1614">
        <v>275.2</v>
      </c>
      <c r="F1614" s="1">
        <v>45717</v>
      </c>
      <c r="G1614" s="1">
        <v>45721</v>
      </c>
      <c r="H1614" t="s">
        <v>27</v>
      </c>
      <c r="I1614" t="s">
        <v>70</v>
      </c>
      <c r="J1614">
        <v>5</v>
      </c>
      <c r="K1614" t="s">
        <v>19</v>
      </c>
      <c r="L1614" t="s">
        <v>33</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x14ac:dyDescent="0.3">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x14ac:dyDescent="0.3">
      <c r="A1616" t="s">
        <v>1715</v>
      </c>
      <c r="B1616" t="s">
        <v>123</v>
      </c>
      <c r="C1616">
        <v>5</v>
      </c>
      <c r="D1616">
        <v>48.2</v>
      </c>
      <c r="E1616">
        <v>241</v>
      </c>
      <c r="F1616" s="1">
        <v>45718</v>
      </c>
      <c r="G1616" s="1">
        <v>45720</v>
      </c>
      <c r="H1616" t="s">
        <v>27</v>
      </c>
      <c r="I1616" t="s">
        <v>51</v>
      </c>
      <c r="J1616">
        <v>4</v>
      </c>
      <c r="K1616" t="s">
        <v>19</v>
      </c>
      <c r="L1616" t="s">
        <v>33</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x14ac:dyDescent="0.3">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x14ac:dyDescent="0.3">
      <c r="A1618" t="s">
        <v>1717</v>
      </c>
      <c r="B1618" t="s">
        <v>46</v>
      </c>
      <c r="C1618">
        <v>1</v>
      </c>
      <c r="D1618">
        <v>59.7</v>
      </c>
      <c r="E1618">
        <v>59.7</v>
      </c>
      <c r="F1618" s="1">
        <v>45718</v>
      </c>
      <c r="G1618" s="1">
        <v>45721</v>
      </c>
      <c r="H1618" t="s">
        <v>27</v>
      </c>
      <c r="I1618" t="s">
        <v>70</v>
      </c>
      <c r="J1618">
        <v>4</v>
      </c>
      <c r="K1618" t="s">
        <v>19</v>
      </c>
      <c r="L1618" t="s">
        <v>33</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x14ac:dyDescent="0.3">
      <c r="A1619" t="s">
        <v>1718</v>
      </c>
      <c r="B1619" t="s">
        <v>39</v>
      </c>
      <c r="C1619">
        <v>1</v>
      </c>
      <c r="D1619">
        <v>48.3</v>
      </c>
      <c r="E1619">
        <v>48.3</v>
      </c>
      <c r="F1619" s="1">
        <v>45718</v>
      </c>
      <c r="G1619" s="1">
        <v>45732</v>
      </c>
      <c r="H1619" t="s">
        <v>89</v>
      </c>
      <c r="I1619" t="s">
        <v>18</v>
      </c>
      <c r="J1619">
        <v>5</v>
      </c>
      <c r="K1619" t="s">
        <v>19</v>
      </c>
      <c r="L1619" t="s">
        <v>33</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x14ac:dyDescent="0.3">
      <c r="A1620" t="s">
        <v>1719</v>
      </c>
      <c r="B1620" t="s">
        <v>44</v>
      </c>
      <c r="C1620">
        <v>3</v>
      </c>
      <c r="D1620">
        <v>45.5</v>
      </c>
      <c r="E1620">
        <v>136.5</v>
      </c>
      <c r="F1620" s="1">
        <v>45718</v>
      </c>
      <c r="G1620" s="1">
        <v>45720</v>
      </c>
      <c r="H1620" t="s">
        <v>23</v>
      </c>
      <c r="I1620" t="s">
        <v>40</v>
      </c>
      <c r="J1620">
        <v>3</v>
      </c>
      <c r="K1620" t="s">
        <v>19</v>
      </c>
      <c r="L1620" t="s">
        <v>33</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x14ac:dyDescent="0.3">
      <c r="A1621" t="s">
        <v>1720</v>
      </c>
      <c r="B1621" t="s">
        <v>46</v>
      </c>
      <c r="C1621">
        <v>27</v>
      </c>
      <c r="D1621">
        <v>51</v>
      </c>
      <c r="E1621">
        <v>1377</v>
      </c>
      <c r="F1621" s="1">
        <v>45718</v>
      </c>
      <c r="G1621" s="1">
        <v>45718</v>
      </c>
      <c r="H1621" t="s">
        <v>27</v>
      </c>
      <c r="I1621" t="s">
        <v>40</v>
      </c>
      <c r="J1621">
        <v>4</v>
      </c>
      <c r="K1621" t="s">
        <v>19</v>
      </c>
      <c r="L1621" t="s">
        <v>33</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x14ac:dyDescent="0.3">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x14ac:dyDescent="0.3">
      <c r="A1623" t="s">
        <v>1722</v>
      </c>
      <c r="B1623" t="s">
        <v>54</v>
      </c>
      <c r="C1623">
        <v>2</v>
      </c>
      <c r="D1623">
        <v>30.4</v>
      </c>
      <c r="E1623">
        <v>60.8</v>
      </c>
      <c r="F1623" s="1">
        <v>45718</v>
      </c>
      <c r="G1623" s="1">
        <v>45720</v>
      </c>
      <c r="H1623" t="s">
        <v>23</v>
      </c>
      <c r="I1623" t="s">
        <v>40</v>
      </c>
      <c r="J1623">
        <v>4</v>
      </c>
      <c r="K1623" t="s">
        <v>19</v>
      </c>
      <c r="L1623" t="s">
        <v>33</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x14ac:dyDescent="0.3">
      <c r="A1624" t="s">
        <v>1723</v>
      </c>
      <c r="B1624" t="s">
        <v>42</v>
      </c>
      <c r="C1624">
        <v>2</v>
      </c>
      <c r="D1624">
        <v>71.5</v>
      </c>
      <c r="E1624">
        <v>143</v>
      </c>
      <c r="F1624" s="1">
        <v>45718</v>
      </c>
      <c r="G1624" s="1">
        <v>45722</v>
      </c>
      <c r="H1624" t="s">
        <v>27</v>
      </c>
      <c r="I1624" t="s">
        <v>18</v>
      </c>
      <c r="J1624">
        <v>4</v>
      </c>
      <c r="K1624" t="s">
        <v>19</v>
      </c>
      <c r="L1624" t="s">
        <v>33</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x14ac:dyDescent="0.3">
      <c r="A1625" t="s">
        <v>1724</v>
      </c>
      <c r="B1625" t="s">
        <v>44</v>
      </c>
      <c r="C1625">
        <v>6</v>
      </c>
      <c r="D1625">
        <v>18</v>
      </c>
      <c r="E1625">
        <v>108</v>
      </c>
      <c r="F1625" s="1">
        <v>45718</v>
      </c>
      <c r="G1625" s="1">
        <v>45719</v>
      </c>
      <c r="H1625" t="s">
        <v>89</v>
      </c>
      <c r="I1625" t="s">
        <v>35</v>
      </c>
      <c r="J1625">
        <v>5</v>
      </c>
      <c r="K1625" t="s">
        <v>19</v>
      </c>
      <c r="L1625" t="s">
        <v>55</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x14ac:dyDescent="0.3">
      <c r="A1626" t="s">
        <v>1725</v>
      </c>
      <c r="B1626" t="s">
        <v>123</v>
      </c>
      <c r="C1626">
        <v>11</v>
      </c>
      <c r="D1626">
        <v>45.6</v>
      </c>
      <c r="E1626">
        <v>501.6</v>
      </c>
      <c r="F1626" s="1">
        <v>45718</v>
      </c>
      <c r="G1626" s="1">
        <v>45719</v>
      </c>
      <c r="H1626" t="s">
        <v>89</v>
      </c>
      <c r="I1626" t="s">
        <v>35</v>
      </c>
      <c r="J1626">
        <v>3</v>
      </c>
      <c r="K1626" t="s">
        <v>19</v>
      </c>
      <c r="L1626" t="s">
        <v>59</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x14ac:dyDescent="0.3">
      <c r="A1627" t="s">
        <v>1726</v>
      </c>
      <c r="B1627" t="s">
        <v>46</v>
      </c>
      <c r="C1627">
        <v>1</v>
      </c>
      <c r="D1627">
        <v>31.8</v>
      </c>
      <c r="E1627">
        <v>31.8</v>
      </c>
      <c r="F1627" s="1">
        <v>45718</v>
      </c>
      <c r="G1627" s="1">
        <v>45722</v>
      </c>
      <c r="H1627" t="s">
        <v>27</v>
      </c>
      <c r="I1627" t="s">
        <v>18</v>
      </c>
      <c r="J1627">
        <v>5</v>
      </c>
      <c r="K1627" t="s">
        <v>19</v>
      </c>
      <c r="L1627" t="s">
        <v>59</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x14ac:dyDescent="0.3">
      <c r="A1628" t="s">
        <v>1727</v>
      </c>
      <c r="B1628" t="s">
        <v>44</v>
      </c>
      <c r="C1628">
        <v>5</v>
      </c>
      <c r="D1628">
        <v>19.899999999999999</v>
      </c>
      <c r="E1628">
        <v>99.5</v>
      </c>
      <c r="F1628" s="1">
        <v>45718</v>
      </c>
      <c r="G1628" s="1">
        <v>45719</v>
      </c>
      <c r="H1628" t="s">
        <v>27</v>
      </c>
      <c r="I1628" t="s">
        <v>35</v>
      </c>
      <c r="J1628">
        <v>4</v>
      </c>
      <c r="K1628" t="s">
        <v>19</v>
      </c>
      <c r="L1628" t="s">
        <v>59</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x14ac:dyDescent="0.3">
      <c r="A1629" t="s">
        <v>1728</v>
      </c>
      <c r="B1629" t="s">
        <v>69</v>
      </c>
      <c r="C1629">
        <v>9</v>
      </c>
      <c r="D1629">
        <v>52.1</v>
      </c>
      <c r="E1629">
        <v>468.90000000000003</v>
      </c>
      <c r="F1629" s="1">
        <v>45718</v>
      </c>
      <c r="G1629" s="1">
        <v>45720</v>
      </c>
      <c r="H1629" t="s">
        <v>23</v>
      </c>
      <c r="I1629" t="s">
        <v>18</v>
      </c>
      <c r="J1629">
        <v>4</v>
      </c>
      <c r="K1629" t="s">
        <v>19</v>
      </c>
      <c r="L1629" t="s">
        <v>62</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x14ac:dyDescent="0.3">
      <c r="A1630" t="s">
        <v>1729</v>
      </c>
      <c r="B1630" t="s">
        <v>22</v>
      </c>
      <c r="C1630">
        <v>7</v>
      </c>
      <c r="D1630">
        <v>45.9</v>
      </c>
      <c r="E1630">
        <v>321.3</v>
      </c>
      <c r="F1630" s="1">
        <v>45718</v>
      </c>
      <c r="G1630" s="1">
        <v>45719</v>
      </c>
      <c r="H1630" t="s">
        <v>23</v>
      </c>
      <c r="I1630" t="s">
        <v>18</v>
      </c>
      <c r="J1630">
        <v>3</v>
      </c>
      <c r="K1630" t="s">
        <v>19</v>
      </c>
      <c r="L1630" t="s">
        <v>62</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x14ac:dyDescent="0.3">
      <c r="A1631" t="s">
        <v>1730</v>
      </c>
      <c r="B1631" t="s">
        <v>22</v>
      </c>
      <c r="C1631">
        <v>10</v>
      </c>
      <c r="D1631">
        <v>115.9</v>
      </c>
      <c r="E1631">
        <v>1159</v>
      </c>
      <c r="F1631" s="1">
        <v>45718</v>
      </c>
      <c r="G1631" s="1">
        <v>45721</v>
      </c>
      <c r="H1631" t="s">
        <v>27</v>
      </c>
      <c r="I1631" t="s">
        <v>35</v>
      </c>
      <c r="J1631">
        <v>4</v>
      </c>
      <c r="K1631" t="s">
        <v>19</v>
      </c>
      <c r="L1631" t="s">
        <v>62</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x14ac:dyDescent="0.3">
      <c r="A1632" t="s">
        <v>1731</v>
      </c>
      <c r="B1632" t="s">
        <v>39</v>
      </c>
      <c r="C1632">
        <v>9</v>
      </c>
      <c r="D1632">
        <v>86</v>
      </c>
      <c r="E1632">
        <v>774</v>
      </c>
      <c r="F1632" s="1">
        <v>45718</v>
      </c>
      <c r="G1632" s="1">
        <v>45723</v>
      </c>
      <c r="H1632" t="s">
        <v>27</v>
      </c>
      <c r="I1632" t="s">
        <v>18</v>
      </c>
      <c r="J1632">
        <v>3</v>
      </c>
      <c r="K1632" t="s">
        <v>19</v>
      </c>
      <c r="L1632" t="s">
        <v>62</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x14ac:dyDescent="0.3">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x14ac:dyDescent="0.3">
      <c r="A1634" t="s">
        <v>1733</v>
      </c>
      <c r="B1634" t="s">
        <v>54</v>
      </c>
      <c r="C1634">
        <v>3</v>
      </c>
      <c r="D1634">
        <v>26.7</v>
      </c>
      <c r="E1634">
        <v>80.099999999999994</v>
      </c>
      <c r="F1634" s="1">
        <v>45718</v>
      </c>
      <c r="G1634" s="1">
        <v>45722</v>
      </c>
      <c r="H1634" t="s">
        <v>27</v>
      </c>
      <c r="I1634" t="s">
        <v>18</v>
      </c>
      <c r="J1634">
        <v>4</v>
      </c>
      <c r="K1634" t="s">
        <v>19</v>
      </c>
      <c r="L1634" t="s">
        <v>77</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x14ac:dyDescent="0.3">
      <c r="A1635" t="s">
        <v>1734</v>
      </c>
      <c r="B1635" t="s">
        <v>44</v>
      </c>
      <c r="C1635">
        <v>7</v>
      </c>
      <c r="D1635">
        <v>46.6</v>
      </c>
      <c r="E1635">
        <v>326.2</v>
      </c>
      <c r="F1635" s="1">
        <v>45718</v>
      </c>
      <c r="G1635" s="1">
        <v>45720</v>
      </c>
      <c r="H1635" t="s">
        <v>17</v>
      </c>
      <c r="I1635" t="s">
        <v>51</v>
      </c>
      <c r="J1635">
        <v>4</v>
      </c>
      <c r="K1635" t="s">
        <v>19</v>
      </c>
      <c r="L1635" t="s">
        <v>77</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x14ac:dyDescent="0.3">
      <c r="A1636" t="s">
        <v>1735</v>
      </c>
      <c r="B1636" t="s">
        <v>30</v>
      </c>
      <c r="C1636">
        <v>3</v>
      </c>
      <c r="D1636">
        <v>84.6</v>
      </c>
      <c r="E1636">
        <v>253.79999999999998</v>
      </c>
      <c r="F1636" s="1">
        <v>45718</v>
      </c>
      <c r="G1636" s="1">
        <v>45720</v>
      </c>
      <c r="H1636" t="s">
        <v>23</v>
      </c>
      <c r="I1636" t="s">
        <v>70</v>
      </c>
      <c r="J1636">
        <v>4</v>
      </c>
      <c r="K1636" t="s">
        <v>19</v>
      </c>
      <c r="L1636" t="s">
        <v>77</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x14ac:dyDescent="0.3">
      <c r="A1637" t="s">
        <v>1736</v>
      </c>
      <c r="B1637" t="s">
        <v>42</v>
      </c>
      <c r="C1637">
        <v>14</v>
      </c>
      <c r="D1637">
        <v>41.5</v>
      </c>
      <c r="E1637">
        <v>581</v>
      </c>
      <c r="F1637" s="1">
        <v>45718</v>
      </c>
      <c r="G1637" s="1">
        <v>45732</v>
      </c>
      <c r="H1637" t="s">
        <v>23</v>
      </c>
      <c r="I1637" t="s">
        <v>35</v>
      </c>
      <c r="J1637">
        <v>4</v>
      </c>
      <c r="K1637" t="s">
        <v>19</v>
      </c>
      <c r="L1637" t="s">
        <v>1116</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x14ac:dyDescent="0.3">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x14ac:dyDescent="0.3">
      <c r="A1639" t="s">
        <v>1738</v>
      </c>
      <c r="B1639" t="s">
        <v>32</v>
      </c>
      <c r="C1639">
        <v>7</v>
      </c>
      <c r="D1639">
        <v>46.7</v>
      </c>
      <c r="E1639">
        <v>326.90000000000003</v>
      </c>
      <c r="F1639" s="1">
        <v>45718</v>
      </c>
      <c r="G1639" s="1">
        <v>45720</v>
      </c>
      <c r="H1639" t="s">
        <v>89</v>
      </c>
      <c r="I1639" t="s">
        <v>18</v>
      </c>
      <c r="J1639">
        <v>5</v>
      </c>
      <c r="K1639" t="s">
        <v>19</v>
      </c>
      <c r="L1639" t="s">
        <v>108</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x14ac:dyDescent="0.3">
      <c r="A1640" t="s">
        <v>1739</v>
      </c>
      <c r="B1640" t="s">
        <v>123</v>
      </c>
      <c r="C1640">
        <v>7</v>
      </c>
      <c r="D1640">
        <v>21</v>
      </c>
      <c r="E1640">
        <v>147</v>
      </c>
      <c r="F1640" s="1">
        <v>45718</v>
      </c>
      <c r="G1640" s="1">
        <v>45721</v>
      </c>
      <c r="H1640" t="s">
        <v>23</v>
      </c>
      <c r="I1640" t="s">
        <v>40</v>
      </c>
      <c r="J1640">
        <v>3</v>
      </c>
      <c r="K1640" t="s">
        <v>19</v>
      </c>
      <c r="L1640" t="s">
        <v>115</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x14ac:dyDescent="0.3">
      <c r="A1641" t="s">
        <v>1740</v>
      </c>
      <c r="B1641" t="s">
        <v>37</v>
      </c>
      <c r="C1641">
        <v>7</v>
      </c>
      <c r="D1641">
        <v>29.4</v>
      </c>
      <c r="E1641">
        <v>205.79999999999998</v>
      </c>
      <c r="F1641" s="1">
        <v>45718</v>
      </c>
      <c r="G1641" s="1">
        <v>45718</v>
      </c>
      <c r="H1641" t="s">
        <v>23</v>
      </c>
      <c r="I1641" t="s">
        <v>51</v>
      </c>
      <c r="J1641">
        <v>5</v>
      </c>
      <c r="K1641" t="s">
        <v>19</v>
      </c>
      <c r="L1641" t="s">
        <v>115</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x14ac:dyDescent="0.3">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x14ac:dyDescent="0.3">
      <c r="A1643" t="s">
        <v>1742</v>
      </c>
      <c r="B1643" t="s">
        <v>39</v>
      </c>
      <c r="C1643">
        <v>1</v>
      </c>
      <c r="D1643">
        <v>42.2</v>
      </c>
      <c r="E1643">
        <v>42.2</v>
      </c>
      <c r="F1643" s="1">
        <v>45719</v>
      </c>
      <c r="G1643" s="1">
        <v>45721</v>
      </c>
      <c r="H1643" t="s">
        <v>27</v>
      </c>
      <c r="I1643" t="s">
        <v>18</v>
      </c>
      <c r="J1643">
        <v>5</v>
      </c>
      <c r="K1643" t="s">
        <v>19</v>
      </c>
      <c r="L1643" t="s">
        <v>115</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x14ac:dyDescent="0.3">
      <c r="A1644" t="s">
        <v>1743</v>
      </c>
      <c r="B1644" t="s">
        <v>39</v>
      </c>
      <c r="C1644">
        <v>1</v>
      </c>
      <c r="D1644">
        <v>53.7</v>
      </c>
      <c r="E1644">
        <v>53.7</v>
      </c>
      <c r="F1644" s="1">
        <v>45719</v>
      </c>
      <c r="G1644" s="1">
        <v>45721</v>
      </c>
      <c r="H1644" t="s">
        <v>23</v>
      </c>
      <c r="I1644" t="s">
        <v>35</v>
      </c>
      <c r="J1644">
        <v>3</v>
      </c>
      <c r="K1644" t="s">
        <v>19</v>
      </c>
      <c r="L1644" t="s">
        <v>24</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x14ac:dyDescent="0.3">
      <c r="A1645" t="s">
        <v>1744</v>
      </c>
      <c r="B1645" t="s">
        <v>26</v>
      </c>
      <c r="C1645">
        <v>2</v>
      </c>
      <c r="D1645">
        <v>123.9</v>
      </c>
      <c r="E1645">
        <v>247.8</v>
      </c>
      <c r="F1645" s="1">
        <v>45719</v>
      </c>
      <c r="G1645" s="1">
        <v>45722</v>
      </c>
      <c r="H1645" t="s">
        <v>23</v>
      </c>
      <c r="I1645" t="s">
        <v>40</v>
      </c>
      <c r="J1645">
        <v>4</v>
      </c>
      <c r="K1645" t="s">
        <v>19</v>
      </c>
      <c r="L1645" t="s">
        <v>24</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x14ac:dyDescent="0.3">
      <c r="A1646" t="s">
        <v>1745</v>
      </c>
      <c r="B1646" t="s">
        <v>32</v>
      </c>
      <c r="C1646">
        <v>3</v>
      </c>
      <c r="D1646">
        <v>35.9</v>
      </c>
      <c r="E1646">
        <v>107.69999999999999</v>
      </c>
      <c r="F1646" s="1">
        <v>45719</v>
      </c>
      <c r="G1646" s="1">
        <v>45721</v>
      </c>
      <c r="H1646" t="s">
        <v>23</v>
      </c>
      <c r="I1646" t="s">
        <v>40</v>
      </c>
      <c r="J1646">
        <v>4</v>
      </c>
      <c r="K1646" t="s">
        <v>19</v>
      </c>
      <c r="L1646" t="s">
        <v>147</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x14ac:dyDescent="0.3">
      <c r="A1647" t="s">
        <v>1746</v>
      </c>
      <c r="B1647" t="s">
        <v>32</v>
      </c>
      <c r="C1647">
        <v>2</v>
      </c>
      <c r="D1647">
        <v>23.6</v>
      </c>
      <c r="E1647">
        <v>47.2</v>
      </c>
      <c r="F1647" s="1">
        <v>45719</v>
      </c>
      <c r="G1647" s="1">
        <v>45722</v>
      </c>
      <c r="H1647" t="s">
        <v>23</v>
      </c>
      <c r="I1647" t="s">
        <v>18</v>
      </c>
      <c r="J1647">
        <v>5</v>
      </c>
      <c r="K1647" t="s">
        <v>19</v>
      </c>
      <c r="L1647" t="s">
        <v>33</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x14ac:dyDescent="0.3">
      <c r="A1648" t="s">
        <v>1747</v>
      </c>
      <c r="B1648" t="s">
        <v>123</v>
      </c>
      <c r="C1648">
        <v>35</v>
      </c>
      <c r="D1648">
        <v>45.7</v>
      </c>
      <c r="E1648">
        <v>1599.5</v>
      </c>
      <c r="F1648" s="1">
        <v>45719</v>
      </c>
      <c r="G1648" s="1">
        <v>45720</v>
      </c>
      <c r="H1648" t="s">
        <v>23</v>
      </c>
      <c r="I1648" t="s">
        <v>18</v>
      </c>
      <c r="J1648">
        <v>3</v>
      </c>
      <c r="K1648" t="s">
        <v>19</v>
      </c>
      <c r="L1648" t="s">
        <v>33</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x14ac:dyDescent="0.3">
      <c r="A1649" t="s">
        <v>1748</v>
      </c>
      <c r="B1649" t="s">
        <v>39</v>
      </c>
      <c r="C1649">
        <v>11</v>
      </c>
      <c r="D1649">
        <v>118.3</v>
      </c>
      <c r="E1649">
        <v>1301.3</v>
      </c>
      <c r="F1649" s="1">
        <v>45719</v>
      </c>
      <c r="G1649" s="1">
        <v>45721</v>
      </c>
      <c r="H1649" t="s">
        <v>23</v>
      </c>
      <c r="I1649" t="s">
        <v>70</v>
      </c>
      <c r="J1649">
        <v>5</v>
      </c>
      <c r="K1649" t="s">
        <v>19</v>
      </c>
      <c r="L1649" t="s">
        <v>33</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x14ac:dyDescent="0.3">
      <c r="A1650" t="s">
        <v>1749</v>
      </c>
      <c r="B1650" t="s">
        <v>171</v>
      </c>
      <c r="C1650">
        <v>1</v>
      </c>
      <c r="D1650">
        <v>36</v>
      </c>
      <c r="E1650">
        <v>36</v>
      </c>
      <c r="F1650" s="1">
        <v>45719</v>
      </c>
      <c r="G1650" s="1">
        <v>45720</v>
      </c>
      <c r="H1650" t="s">
        <v>27</v>
      </c>
      <c r="I1650" t="s">
        <v>18</v>
      </c>
      <c r="J1650">
        <v>3</v>
      </c>
      <c r="K1650" t="s">
        <v>19</v>
      </c>
      <c r="L1650" t="s">
        <v>33</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x14ac:dyDescent="0.3">
      <c r="A1651" t="s">
        <v>1750</v>
      </c>
      <c r="B1651" t="s">
        <v>44</v>
      </c>
      <c r="C1651">
        <v>2</v>
      </c>
      <c r="D1651">
        <v>37.1</v>
      </c>
      <c r="E1651">
        <v>74.2</v>
      </c>
      <c r="F1651" s="1">
        <v>45719</v>
      </c>
      <c r="G1651" s="1">
        <v>45722</v>
      </c>
      <c r="H1651" t="s">
        <v>27</v>
      </c>
      <c r="I1651" t="s">
        <v>40</v>
      </c>
      <c r="J1651">
        <v>4</v>
      </c>
      <c r="K1651" t="s">
        <v>19</v>
      </c>
      <c r="L1651" t="s">
        <v>33</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x14ac:dyDescent="0.3">
      <c r="A1652" t="s">
        <v>1751</v>
      </c>
      <c r="B1652" t="s">
        <v>146</v>
      </c>
      <c r="C1652">
        <v>3</v>
      </c>
      <c r="D1652">
        <v>45.1</v>
      </c>
      <c r="E1652">
        <v>135.30000000000001</v>
      </c>
      <c r="F1652" s="1">
        <v>45719</v>
      </c>
      <c r="G1652" s="1">
        <v>45721</v>
      </c>
      <c r="H1652" t="s">
        <v>27</v>
      </c>
      <c r="I1652" t="s">
        <v>35</v>
      </c>
      <c r="J1652">
        <v>5</v>
      </c>
      <c r="K1652" t="s">
        <v>19</v>
      </c>
      <c r="L1652" t="s">
        <v>33</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x14ac:dyDescent="0.3">
      <c r="A1653" t="s">
        <v>1752</v>
      </c>
      <c r="B1653" t="s">
        <v>37</v>
      </c>
      <c r="C1653">
        <v>16</v>
      </c>
      <c r="D1653">
        <v>37.9</v>
      </c>
      <c r="E1653">
        <v>606.4</v>
      </c>
      <c r="F1653" s="1">
        <v>45719</v>
      </c>
      <c r="G1653" s="1">
        <v>45720</v>
      </c>
      <c r="H1653" t="s">
        <v>27</v>
      </c>
      <c r="I1653" t="s">
        <v>51</v>
      </c>
      <c r="J1653">
        <v>5</v>
      </c>
      <c r="K1653" t="s">
        <v>19</v>
      </c>
      <c r="L1653" t="s">
        <v>33</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x14ac:dyDescent="0.3">
      <c r="A1654" t="s">
        <v>1753</v>
      </c>
      <c r="B1654" t="s">
        <v>26</v>
      </c>
      <c r="C1654">
        <v>2</v>
      </c>
      <c r="D1654">
        <v>121.6</v>
      </c>
      <c r="E1654">
        <v>243.2</v>
      </c>
      <c r="F1654" s="1">
        <v>45719</v>
      </c>
      <c r="G1654" s="1">
        <v>45722</v>
      </c>
      <c r="H1654" t="s">
        <v>23</v>
      </c>
      <c r="I1654" t="s">
        <v>51</v>
      </c>
      <c r="J1654">
        <v>5</v>
      </c>
      <c r="K1654" t="s">
        <v>19</v>
      </c>
      <c r="L1654" t="s">
        <v>33</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x14ac:dyDescent="0.3">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x14ac:dyDescent="0.3">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x14ac:dyDescent="0.3">
      <c r="A1657" t="s">
        <v>1756</v>
      </c>
      <c r="B1657" t="s">
        <v>26</v>
      </c>
      <c r="C1657">
        <v>4</v>
      </c>
      <c r="D1657">
        <v>115.7</v>
      </c>
      <c r="E1657">
        <v>462.8</v>
      </c>
      <c r="F1657" s="1">
        <v>45719</v>
      </c>
      <c r="G1657" s="1">
        <v>45722</v>
      </c>
      <c r="H1657" t="s">
        <v>27</v>
      </c>
      <c r="I1657" t="s">
        <v>35</v>
      </c>
      <c r="J1657">
        <v>4</v>
      </c>
      <c r="K1657" t="s">
        <v>19</v>
      </c>
      <c r="L1657" t="s">
        <v>33</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x14ac:dyDescent="0.3">
      <c r="A1658" t="s">
        <v>1757</v>
      </c>
      <c r="B1658" t="s">
        <v>26</v>
      </c>
      <c r="C1658">
        <v>6</v>
      </c>
      <c r="D1658">
        <v>99.4</v>
      </c>
      <c r="E1658">
        <v>596.40000000000009</v>
      </c>
      <c r="F1658" s="1">
        <v>45719</v>
      </c>
      <c r="G1658" s="1">
        <v>45722</v>
      </c>
      <c r="H1658" t="s">
        <v>23</v>
      </c>
      <c r="I1658" t="s">
        <v>18</v>
      </c>
      <c r="J1658">
        <v>5</v>
      </c>
      <c r="K1658" t="s">
        <v>19</v>
      </c>
      <c r="L1658" t="s">
        <v>33</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x14ac:dyDescent="0.3">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x14ac:dyDescent="0.3">
      <c r="A1660" t="s">
        <v>1759</v>
      </c>
      <c r="B1660" t="s">
        <v>32</v>
      </c>
      <c r="C1660">
        <v>2</v>
      </c>
      <c r="D1660">
        <v>35.5</v>
      </c>
      <c r="E1660">
        <v>71</v>
      </c>
      <c r="F1660" s="1">
        <v>45719</v>
      </c>
      <c r="G1660" s="1">
        <v>45722</v>
      </c>
      <c r="H1660" t="s">
        <v>23</v>
      </c>
      <c r="I1660" t="s">
        <v>18</v>
      </c>
      <c r="J1660">
        <v>5</v>
      </c>
      <c r="K1660" t="s">
        <v>19</v>
      </c>
      <c r="L1660" t="s">
        <v>188</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x14ac:dyDescent="0.3">
      <c r="A1661" t="s">
        <v>1760</v>
      </c>
      <c r="B1661" t="s">
        <v>26</v>
      </c>
      <c r="C1661">
        <v>4</v>
      </c>
      <c r="D1661">
        <v>93.3</v>
      </c>
      <c r="E1661">
        <v>373.2</v>
      </c>
      <c r="F1661" s="1">
        <v>45719</v>
      </c>
      <c r="G1661" s="1">
        <v>45722</v>
      </c>
      <c r="H1661" t="s">
        <v>27</v>
      </c>
      <c r="I1661" t="s">
        <v>18</v>
      </c>
      <c r="J1661">
        <v>5</v>
      </c>
      <c r="K1661" t="s">
        <v>19</v>
      </c>
      <c r="L1661" t="s">
        <v>55</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x14ac:dyDescent="0.3">
      <c r="A1662" t="s">
        <v>1761</v>
      </c>
      <c r="B1662" t="s">
        <v>128</v>
      </c>
      <c r="C1662">
        <v>1</v>
      </c>
      <c r="D1662">
        <v>31.4</v>
      </c>
      <c r="E1662">
        <v>31.4</v>
      </c>
      <c r="F1662" s="1">
        <v>45719</v>
      </c>
      <c r="G1662" s="1">
        <v>45724</v>
      </c>
      <c r="H1662" t="s">
        <v>27</v>
      </c>
      <c r="I1662" t="s">
        <v>40</v>
      </c>
      <c r="J1662">
        <v>5</v>
      </c>
      <c r="K1662" t="s">
        <v>19</v>
      </c>
      <c r="L1662" t="s">
        <v>55</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x14ac:dyDescent="0.3">
      <c r="A1663" t="s">
        <v>1762</v>
      </c>
      <c r="B1663" t="s">
        <v>22</v>
      </c>
      <c r="C1663">
        <v>1</v>
      </c>
      <c r="D1663">
        <v>85.9</v>
      </c>
      <c r="E1663">
        <v>85.9</v>
      </c>
      <c r="F1663" s="1">
        <v>45719</v>
      </c>
      <c r="G1663" s="1">
        <v>45722</v>
      </c>
      <c r="H1663" t="s">
        <v>23</v>
      </c>
      <c r="I1663" t="s">
        <v>35</v>
      </c>
      <c r="J1663">
        <v>4</v>
      </c>
      <c r="K1663" t="s">
        <v>19</v>
      </c>
      <c r="L1663" t="s">
        <v>55</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x14ac:dyDescent="0.3">
      <c r="A1664" t="s">
        <v>1763</v>
      </c>
      <c r="B1664" t="s">
        <v>39</v>
      </c>
      <c r="C1664">
        <v>8</v>
      </c>
      <c r="D1664">
        <v>41.7</v>
      </c>
      <c r="E1664">
        <v>333.6</v>
      </c>
      <c r="F1664" s="1">
        <v>45719</v>
      </c>
      <c r="G1664" s="1">
        <v>45727</v>
      </c>
      <c r="H1664" t="s">
        <v>23</v>
      </c>
      <c r="I1664" t="s">
        <v>18</v>
      </c>
      <c r="J1664">
        <v>5</v>
      </c>
      <c r="K1664" t="s">
        <v>19</v>
      </c>
      <c r="L1664" t="s">
        <v>59</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x14ac:dyDescent="0.3">
      <c r="A1665" t="s">
        <v>1764</v>
      </c>
      <c r="B1665" t="s">
        <v>44</v>
      </c>
      <c r="C1665">
        <v>4</v>
      </c>
      <c r="D1665">
        <v>31.5</v>
      </c>
      <c r="E1665">
        <v>126</v>
      </c>
      <c r="F1665" s="1">
        <v>45719</v>
      </c>
      <c r="G1665" s="1">
        <v>45720</v>
      </c>
      <c r="H1665" t="s">
        <v>27</v>
      </c>
      <c r="I1665" t="s">
        <v>18</v>
      </c>
      <c r="J1665">
        <v>4</v>
      </c>
      <c r="K1665" t="s">
        <v>19</v>
      </c>
      <c r="L1665" t="s">
        <v>59</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x14ac:dyDescent="0.3">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x14ac:dyDescent="0.3">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x14ac:dyDescent="0.3">
      <c r="A1668" t="s">
        <v>1767</v>
      </c>
      <c r="B1668" t="s">
        <v>26</v>
      </c>
      <c r="C1668">
        <v>3</v>
      </c>
      <c r="D1668">
        <v>65.2</v>
      </c>
      <c r="E1668">
        <v>195.60000000000002</v>
      </c>
      <c r="F1668" s="1">
        <v>45719</v>
      </c>
      <c r="G1668" s="1">
        <v>45720</v>
      </c>
      <c r="H1668" t="s">
        <v>27</v>
      </c>
      <c r="I1668" t="s">
        <v>40</v>
      </c>
      <c r="J1668">
        <v>5</v>
      </c>
      <c r="K1668" t="s">
        <v>19</v>
      </c>
      <c r="L1668" t="s">
        <v>201</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x14ac:dyDescent="0.3">
      <c r="A1669" t="s">
        <v>1768</v>
      </c>
      <c r="B1669" t="s">
        <v>44</v>
      </c>
      <c r="C1669">
        <v>9</v>
      </c>
      <c r="D1669">
        <v>65.5</v>
      </c>
      <c r="E1669">
        <v>589.5</v>
      </c>
      <c r="F1669" s="1">
        <v>45719</v>
      </c>
      <c r="G1669" s="1">
        <v>45722</v>
      </c>
      <c r="H1669" t="s">
        <v>27</v>
      </c>
      <c r="I1669" t="s">
        <v>18</v>
      </c>
      <c r="J1669">
        <v>5</v>
      </c>
      <c r="K1669" t="s">
        <v>19</v>
      </c>
      <c r="L1669" t="s">
        <v>72</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x14ac:dyDescent="0.3">
      <c r="A1670" t="s">
        <v>1769</v>
      </c>
      <c r="B1670" t="s">
        <v>39</v>
      </c>
      <c r="C1670">
        <v>3</v>
      </c>
      <c r="D1670">
        <v>52.8</v>
      </c>
      <c r="E1670">
        <v>158.39999999999998</v>
      </c>
      <c r="F1670" s="1">
        <v>45719</v>
      </c>
      <c r="G1670" s="1">
        <v>45722</v>
      </c>
      <c r="H1670" t="s">
        <v>23</v>
      </c>
      <c r="I1670" t="s">
        <v>40</v>
      </c>
      <c r="J1670">
        <v>4</v>
      </c>
      <c r="K1670" t="s">
        <v>19</v>
      </c>
      <c r="L1670" t="s">
        <v>72</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x14ac:dyDescent="0.3">
      <c r="A1671" t="s">
        <v>1770</v>
      </c>
      <c r="B1671" t="s">
        <v>46</v>
      </c>
      <c r="C1671">
        <v>5</v>
      </c>
      <c r="D1671">
        <v>24</v>
      </c>
      <c r="E1671">
        <v>120</v>
      </c>
      <c r="F1671" s="1">
        <v>45719</v>
      </c>
      <c r="G1671" s="1">
        <v>45723</v>
      </c>
      <c r="H1671" t="s">
        <v>23</v>
      </c>
      <c r="I1671" t="s">
        <v>18</v>
      </c>
      <c r="J1671">
        <v>3</v>
      </c>
      <c r="K1671" t="s">
        <v>19</v>
      </c>
      <c r="L1671" t="s">
        <v>77</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x14ac:dyDescent="0.3">
      <c r="A1672" t="s">
        <v>1771</v>
      </c>
      <c r="B1672" t="s">
        <v>30</v>
      </c>
      <c r="C1672">
        <v>3</v>
      </c>
      <c r="D1672">
        <v>51.2</v>
      </c>
      <c r="E1672">
        <v>153.60000000000002</v>
      </c>
      <c r="F1672" s="1">
        <v>45719</v>
      </c>
      <c r="G1672" s="1">
        <v>45720</v>
      </c>
      <c r="H1672" t="s">
        <v>27</v>
      </c>
      <c r="I1672" t="s">
        <v>18</v>
      </c>
      <c r="J1672">
        <v>4</v>
      </c>
      <c r="K1672" t="s">
        <v>19</v>
      </c>
      <c r="L1672" t="s">
        <v>309</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x14ac:dyDescent="0.3">
      <c r="A1673" t="s">
        <v>1772</v>
      </c>
      <c r="B1673" t="s">
        <v>37</v>
      </c>
      <c r="C1673">
        <v>3</v>
      </c>
      <c r="D1673">
        <v>28.3</v>
      </c>
      <c r="E1673">
        <v>84.9</v>
      </c>
      <c r="F1673" s="1">
        <v>45719</v>
      </c>
      <c r="G1673" s="1">
        <v>45721</v>
      </c>
      <c r="H1673" t="s">
        <v>23</v>
      </c>
      <c r="I1673" t="s">
        <v>70</v>
      </c>
      <c r="J1673">
        <v>4</v>
      </c>
      <c r="K1673" t="s">
        <v>19</v>
      </c>
      <c r="L1673" t="s">
        <v>110</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x14ac:dyDescent="0.3">
      <c r="A1674" t="s">
        <v>1773</v>
      </c>
      <c r="B1674" t="s">
        <v>39</v>
      </c>
      <c r="C1674">
        <v>3</v>
      </c>
      <c r="D1674">
        <v>42.3</v>
      </c>
      <c r="E1674">
        <v>126.89999999999999</v>
      </c>
      <c r="F1674" s="1">
        <v>45719</v>
      </c>
      <c r="G1674" s="1">
        <v>45719</v>
      </c>
      <c r="H1674" t="s">
        <v>27</v>
      </c>
      <c r="I1674" t="s">
        <v>40</v>
      </c>
      <c r="J1674">
        <v>3</v>
      </c>
      <c r="K1674" t="s">
        <v>19</v>
      </c>
      <c r="L1674" t="s">
        <v>110</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x14ac:dyDescent="0.3">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x14ac:dyDescent="0.3">
      <c r="A1676" t="s">
        <v>1775</v>
      </c>
      <c r="B1676" t="s">
        <v>39</v>
      </c>
      <c r="C1676">
        <v>7</v>
      </c>
      <c r="D1676">
        <v>47.3</v>
      </c>
      <c r="E1676">
        <v>331.09999999999997</v>
      </c>
      <c r="F1676" s="1">
        <v>45720</v>
      </c>
      <c r="G1676" s="1">
        <v>45723</v>
      </c>
      <c r="H1676" t="s">
        <v>27</v>
      </c>
      <c r="I1676" t="s">
        <v>70</v>
      </c>
      <c r="J1676">
        <v>3</v>
      </c>
      <c r="K1676" t="s">
        <v>19</v>
      </c>
      <c r="L1676" t="s">
        <v>115</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x14ac:dyDescent="0.3">
      <c r="A1677" t="s">
        <v>1776</v>
      </c>
      <c r="B1677" t="s">
        <v>44</v>
      </c>
      <c r="C1677">
        <v>16</v>
      </c>
      <c r="D1677">
        <v>27.3</v>
      </c>
      <c r="E1677">
        <v>436.8</v>
      </c>
      <c r="F1677" s="1">
        <v>45720</v>
      </c>
      <c r="G1677" s="1">
        <v>45721</v>
      </c>
      <c r="H1677" t="s">
        <v>27</v>
      </c>
      <c r="I1677" t="s">
        <v>40</v>
      </c>
      <c r="J1677">
        <v>4</v>
      </c>
      <c r="K1677" t="s">
        <v>19</v>
      </c>
      <c r="L1677" t="s">
        <v>115</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x14ac:dyDescent="0.3">
      <c r="A1678" t="s">
        <v>1777</v>
      </c>
      <c r="B1678" t="s">
        <v>54</v>
      </c>
      <c r="C1678">
        <v>6</v>
      </c>
      <c r="D1678">
        <v>34.9</v>
      </c>
      <c r="E1678">
        <v>209.39999999999998</v>
      </c>
      <c r="F1678" s="1">
        <v>45720</v>
      </c>
      <c r="G1678" s="1">
        <v>45731</v>
      </c>
      <c r="H1678" t="s">
        <v>27</v>
      </c>
      <c r="I1678" t="s">
        <v>18</v>
      </c>
      <c r="J1678">
        <v>4</v>
      </c>
      <c r="K1678" t="s">
        <v>19</v>
      </c>
      <c r="L1678" t="s">
        <v>115</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x14ac:dyDescent="0.3">
      <c r="A1679" t="s">
        <v>1778</v>
      </c>
      <c r="B1679" t="s">
        <v>39</v>
      </c>
      <c r="C1679">
        <v>2</v>
      </c>
      <c r="D1679">
        <v>53.9</v>
      </c>
      <c r="E1679">
        <v>107.8</v>
      </c>
      <c r="F1679" s="1">
        <v>45720</v>
      </c>
      <c r="G1679" s="1">
        <v>45723</v>
      </c>
      <c r="H1679" t="s">
        <v>89</v>
      </c>
      <c r="I1679" t="s">
        <v>18</v>
      </c>
      <c r="J1679">
        <v>2</v>
      </c>
      <c r="K1679" t="s">
        <v>19</v>
      </c>
      <c r="L1679" t="s">
        <v>24</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x14ac:dyDescent="0.3">
      <c r="A1680" t="s">
        <v>1779</v>
      </c>
      <c r="B1680" t="s">
        <v>26</v>
      </c>
      <c r="C1680">
        <v>2</v>
      </c>
      <c r="D1680">
        <v>87.2</v>
      </c>
      <c r="E1680">
        <v>174.4</v>
      </c>
      <c r="F1680" s="1">
        <v>45720</v>
      </c>
      <c r="G1680" s="1">
        <v>45721</v>
      </c>
      <c r="H1680" t="s">
        <v>27</v>
      </c>
      <c r="I1680" t="s">
        <v>18</v>
      </c>
      <c r="J1680">
        <v>3</v>
      </c>
      <c r="K1680" t="s">
        <v>19</v>
      </c>
      <c r="L1680" t="s">
        <v>24</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x14ac:dyDescent="0.3">
      <c r="A1681" t="s">
        <v>1780</v>
      </c>
      <c r="B1681" t="s">
        <v>123</v>
      </c>
      <c r="C1681">
        <v>1</v>
      </c>
      <c r="D1681">
        <v>58.8</v>
      </c>
      <c r="E1681">
        <v>58.8</v>
      </c>
      <c r="F1681" s="1">
        <v>45720</v>
      </c>
      <c r="G1681" s="1">
        <v>45722</v>
      </c>
      <c r="H1681" t="s">
        <v>27</v>
      </c>
      <c r="I1681" t="s">
        <v>40</v>
      </c>
      <c r="J1681">
        <v>4</v>
      </c>
      <c r="K1681" t="s">
        <v>19</v>
      </c>
      <c r="L1681" t="s">
        <v>587</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x14ac:dyDescent="0.3">
      <c r="A1682" t="s">
        <v>1781</v>
      </c>
      <c r="B1682" t="s">
        <v>26</v>
      </c>
      <c r="C1682">
        <v>7</v>
      </c>
      <c r="D1682">
        <v>125.5</v>
      </c>
      <c r="E1682">
        <v>878.5</v>
      </c>
      <c r="F1682" s="1">
        <v>45720</v>
      </c>
      <c r="G1682" s="1">
        <v>45721</v>
      </c>
      <c r="H1682" t="s">
        <v>23</v>
      </c>
      <c r="I1682" t="s">
        <v>40</v>
      </c>
      <c r="J1682">
        <v>2</v>
      </c>
      <c r="K1682" t="s">
        <v>19</v>
      </c>
      <c r="L1682" t="s">
        <v>147</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x14ac:dyDescent="0.3">
      <c r="A1683" t="s">
        <v>1782</v>
      </c>
      <c r="B1683" t="s">
        <v>22</v>
      </c>
      <c r="C1683">
        <v>4</v>
      </c>
      <c r="D1683">
        <v>124.6</v>
      </c>
      <c r="E1683">
        <v>498.4</v>
      </c>
      <c r="F1683" s="1">
        <v>45720</v>
      </c>
      <c r="G1683" s="1">
        <v>45722</v>
      </c>
      <c r="H1683" t="s">
        <v>27</v>
      </c>
      <c r="I1683" t="s">
        <v>18</v>
      </c>
      <c r="J1683">
        <v>3</v>
      </c>
      <c r="K1683" t="s">
        <v>19</v>
      </c>
      <c r="L1683" t="s">
        <v>147</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x14ac:dyDescent="0.3">
      <c r="A1684" t="s">
        <v>1783</v>
      </c>
      <c r="B1684" t="s">
        <v>22</v>
      </c>
      <c r="C1684">
        <v>7</v>
      </c>
      <c r="D1684">
        <v>39.9</v>
      </c>
      <c r="E1684">
        <v>279.3</v>
      </c>
      <c r="F1684" s="1">
        <v>45720</v>
      </c>
      <c r="G1684" s="1">
        <v>45721</v>
      </c>
      <c r="H1684" t="s">
        <v>23</v>
      </c>
      <c r="I1684" t="s">
        <v>40</v>
      </c>
      <c r="J1684">
        <v>3</v>
      </c>
      <c r="K1684" t="s">
        <v>19</v>
      </c>
      <c r="L1684" t="s">
        <v>33</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x14ac:dyDescent="0.3">
      <c r="A1685" t="s">
        <v>1784</v>
      </c>
      <c r="B1685" t="s">
        <v>39</v>
      </c>
      <c r="C1685">
        <v>1</v>
      </c>
      <c r="D1685">
        <v>94.6</v>
      </c>
      <c r="E1685">
        <v>94.6</v>
      </c>
      <c r="F1685" s="1">
        <v>45720</v>
      </c>
      <c r="G1685" s="1">
        <v>45734</v>
      </c>
      <c r="H1685" t="s">
        <v>27</v>
      </c>
      <c r="I1685" t="s">
        <v>18</v>
      </c>
      <c r="J1685">
        <v>3</v>
      </c>
      <c r="K1685" t="s">
        <v>19</v>
      </c>
      <c r="L1685" t="s">
        <v>33</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x14ac:dyDescent="0.3">
      <c r="A1686" t="s">
        <v>1785</v>
      </c>
      <c r="B1686" t="s">
        <v>26</v>
      </c>
      <c r="C1686">
        <v>2</v>
      </c>
      <c r="D1686">
        <v>149.6</v>
      </c>
      <c r="E1686">
        <v>299.2</v>
      </c>
      <c r="F1686" s="1">
        <v>45720</v>
      </c>
      <c r="G1686" s="1">
        <v>45721</v>
      </c>
      <c r="H1686" t="s">
        <v>27</v>
      </c>
      <c r="I1686" t="s">
        <v>18</v>
      </c>
      <c r="J1686">
        <v>4</v>
      </c>
      <c r="K1686" t="s">
        <v>19</v>
      </c>
      <c r="L1686" t="s">
        <v>33</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x14ac:dyDescent="0.3">
      <c r="A1687" t="s">
        <v>1786</v>
      </c>
      <c r="B1687" t="s">
        <v>44</v>
      </c>
      <c r="C1687">
        <v>1</v>
      </c>
      <c r="D1687">
        <v>52.2</v>
      </c>
      <c r="E1687">
        <v>52.2</v>
      </c>
      <c r="F1687" s="1">
        <v>45720</v>
      </c>
      <c r="G1687" s="1">
        <v>45721</v>
      </c>
      <c r="H1687" t="s">
        <v>17</v>
      </c>
      <c r="I1687" t="s">
        <v>35</v>
      </c>
      <c r="J1687">
        <v>4</v>
      </c>
      <c r="K1687" t="s">
        <v>19</v>
      </c>
      <c r="L1687" t="s">
        <v>33</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x14ac:dyDescent="0.3">
      <c r="A1688" t="s">
        <v>1787</v>
      </c>
      <c r="B1688" t="s">
        <v>39</v>
      </c>
      <c r="C1688">
        <v>2</v>
      </c>
      <c r="D1688">
        <v>96.5</v>
      </c>
      <c r="E1688">
        <v>193</v>
      </c>
      <c r="F1688" s="1">
        <v>45720</v>
      </c>
      <c r="G1688" s="1">
        <v>45721</v>
      </c>
      <c r="H1688" t="s">
        <v>27</v>
      </c>
      <c r="I1688" t="s">
        <v>35</v>
      </c>
      <c r="J1688">
        <v>3</v>
      </c>
      <c r="K1688" t="s">
        <v>19</v>
      </c>
      <c r="L1688" t="s">
        <v>33</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x14ac:dyDescent="0.3">
      <c r="A1689" t="s">
        <v>1788</v>
      </c>
      <c r="B1689" t="s">
        <v>44</v>
      </c>
      <c r="C1689">
        <v>2</v>
      </c>
      <c r="D1689">
        <v>79.8</v>
      </c>
      <c r="E1689">
        <v>159.6</v>
      </c>
      <c r="F1689" s="1">
        <v>45720</v>
      </c>
      <c r="G1689" s="1">
        <v>45722</v>
      </c>
      <c r="H1689" t="s">
        <v>27</v>
      </c>
      <c r="I1689" t="s">
        <v>18</v>
      </c>
      <c r="J1689">
        <v>3</v>
      </c>
      <c r="K1689" t="s">
        <v>19</v>
      </c>
      <c r="L1689" t="s">
        <v>33</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x14ac:dyDescent="0.3">
      <c r="A1690" t="s">
        <v>1789</v>
      </c>
      <c r="B1690" t="s">
        <v>44</v>
      </c>
      <c r="C1690">
        <v>3</v>
      </c>
      <c r="D1690">
        <v>35.6</v>
      </c>
      <c r="E1690">
        <v>106.80000000000001</v>
      </c>
      <c r="F1690" s="1">
        <v>45720</v>
      </c>
      <c r="G1690" s="1">
        <v>45721</v>
      </c>
      <c r="H1690" t="s">
        <v>27</v>
      </c>
      <c r="I1690" t="s">
        <v>40</v>
      </c>
      <c r="J1690">
        <v>4</v>
      </c>
      <c r="K1690" t="s">
        <v>19</v>
      </c>
      <c r="L1690" t="s">
        <v>33</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x14ac:dyDescent="0.3">
      <c r="A1691" t="s">
        <v>1790</v>
      </c>
      <c r="B1691" t="s">
        <v>128</v>
      </c>
      <c r="C1691">
        <v>1</v>
      </c>
      <c r="D1691">
        <v>50.2</v>
      </c>
      <c r="E1691">
        <v>50.2</v>
      </c>
      <c r="F1691" s="1">
        <v>45720</v>
      </c>
      <c r="G1691" s="1">
        <v>45721</v>
      </c>
      <c r="H1691" t="s">
        <v>27</v>
      </c>
      <c r="I1691" t="s">
        <v>35</v>
      </c>
      <c r="J1691">
        <v>5</v>
      </c>
      <c r="K1691" t="s">
        <v>19</v>
      </c>
      <c r="L1691" t="s">
        <v>33</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x14ac:dyDescent="0.3">
      <c r="A1692" t="s">
        <v>1791</v>
      </c>
      <c r="B1692" t="s">
        <v>22</v>
      </c>
      <c r="C1692">
        <v>3</v>
      </c>
      <c r="D1692">
        <v>55.3</v>
      </c>
      <c r="E1692">
        <v>165.89999999999998</v>
      </c>
      <c r="F1692" s="1">
        <v>45720</v>
      </c>
      <c r="G1692" s="1">
        <v>45723</v>
      </c>
      <c r="H1692" t="s">
        <v>27</v>
      </c>
      <c r="I1692" t="s">
        <v>18</v>
      </c>
      <c r="J1692">
        <v>2</v>
      </c>
      <c r="K1692" t="s">
        <v>19</v>
      </c>
      <c r="L1692" t="s">
        <v>416</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x14ac:dyDescent="0.3">
      <c r="A1693" t="s">
        <v>1792</v>
      </c>
      <c r="B1693" t="s">
        <v>39</v>
      </c>
      <c r="C1693">
        <v>7</v>
      </c>
      <c r="D1693">
        <v>104.5</v>
      </c>
      <c r="E1693">
        <v>731.5</v>
      </c>
      <c r="F1693" s="1">
        <v>45720</v>
      </c>
      <c r="G1693" s="1">
        <v>45724</v>
      </c>
      <c r="H1693" t="s">
        <v>27</v>
      </c>
      <c r="I1693" t="s">
        <v>35</v>
      </c>
      <c r="J1693">
        <v>4</v>
      </c>
      <c r="K1693" t="s">
        <v>19</v>
      </c>
      <c r="L1693" t="s">
        <v>59</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x14ac:dyDescent="0.3">
      <c r="A1694" t="s">
        <v>1793</v>
      </c>
      <c r="B1694" t="s">
        <v>39</v>
      </c>
      <c r="C1694">
        <v>4</v>
      </c>
      <c r="D1694">
        <v>66.5</v>
      </c>
      <c r="E1694">
        <v>266</v>
      </c>
      <c r="F1694" s="1">
        <v>45720</v>
      </c>
      <c r="G1694" s="1">
        <v>45722</v>
      </c>
      <c r="H1694" t="s">
        <v>23</v>
      </c>
      <c r="I1694" t="s">
        <v>35</v>
      </c>
      <c r="J1694">
        <v>4</v>
      </c>
      <c r="K1694" t="s">
        <v>19</v>
      </c>
      <c r="L1694" t="s">
        <v>59</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x14ac:dyDescent="0.3">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x14ac:dyDescent="0.3">
      <c r="A1696" t="s">
        <v>1795</v>
      </c>
      <c r="B1696" t="s">
        <v>39</v>
      </c>
      <c r="C1696">
        <v>3</v>
      </c>
      <c r="D1696">
        <v>63.8</v>
      </c>
      <c r="E1696">
        <v>191.39999999999998</v>
      </c>
      <c r="F1696" s="1">
        <v>45720</v>
      </c>
      <c r="G1696" s="1">
        <v>45723</v>
      </c>
      <c r="H1696" t="s">
        <v>27</v>
      </c>
      <c r="I1696" t="s">
        <v>35</v>
      </c>
      <c r="J1696">
        <v>4</v>
      </c>
      <c r="K1696" t="s">
        <v>19</v>
      </c>
      <c r="L1696" t="s">
        <v>62</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x14ac:dyDescent="0.3">
      <c r="A1697" t="s">
        <v>1796</v>
      </c>
      <c r="B1697" t="s">
        <v>123</v>
      </c>
      <c r="C1697">
        <v>1</v>
      </c>
      <c r="D1697">
        <v>21.4</v>
      </c>
      <c r="E1697">
        <v>21.4</v>
      </c>
      <c r="F1697" s="1">
        <v>45720</v>
      </c>
      <c r="G1697" s="1">
        <v>45720</v>
      </c>
      <c r="H1697" t="s">
        <v>23</v>
      </c>
      <c r="I1697" t="s">
        <v>70</v>
      </c>
      <c r="J1697">
        <v>4</v>
      </c>
      <c r="K1697" t="s">
        <v>19</v>
      </c>
      <c r="L1697" t="s">
        <v>62</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x14ac:dyDescent="0.3">
      <c r="A1698" t="s">
        <v>1797</v>
      </c>
      <c r="B1698" t="s">
        <v>44</v>
      </c>
      <c r="C1698">
        <v>4</v>
      </c>
      <c r="D1698">
        <v>44.1</v>
      </c>
      <c r="E1698">
        <v>176.4</v>
      </c>
      <c r="F1698" s="1">
        <v>45720</v>
      </c>
      <c r="G1698" s="1">
        <v>45722</v>
      </c>
      <c r="H1698" t="s">
        <v>27</v>
      </c>
      <c r="I1698" t="s">
        <v>40</v>
      </c>
      <c r="J1698">
        <v>4</v>
      </c>
      <c r="K1698" t="s">
        <v>19</v>
      </c>
      <c r="L1698" t="s">
        <v>62</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x14ac:dyDescent="0.3">
      <c r="A1699" t="s">
        <v>1798</v>
      </c>
      <c r="B1699" t="s">
        <v>37</v>
      </c>
      <c r="C1699">
        <v>8</v>
      </c>
      <c r="D1699">
        <v>57.6</v>
      </c>
      <c r="E1699">
        <v>460.8</v>
      </c>
      <c r="F1699" s="1">
        <v>45720</v>
      </c>
      <c r="G1699" s="1">
        <v>45722</v>
      </c>
      <c r="H1699" t="s">
        <v>23</v>
      </c>
      <c r="I1699" t="s">
        <v>35</v>
      </c>
      <c r="J1699">
        <v>5</v>
      </c>
      <c r="K1699" t="s">
        <v>19</v>
      </c>
      <c r="L1699" t="s">
        <v>62</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x14ac:dyDescent="0.3">
      <c r="A1700" t="s">
        <v>1799</v>
      </c>
      <c r="B1700" t="s">
        <v>46</v>
      </c>
      <c r="C1700">
        <v>2</v>
      </c>
      <c r="D1700">
        <v>20.3</v>
      </c>
      <c r="E1700">
        <v>40.6</v>
      </c>
      <c r="F1700" s="1">
        <v>45720</v>
      </c>
      <c r="G1700" s="1">
        <v>45726</v>
      </c>
      <c r="H1700" t="s">
        <v>27</v>
      </c>
      <c r="I1700" t="s">
        <v>51</v>
      </c>
      <c r="J1700">
        <v>4</v>
      </c>
      <c r="K1700" t="s">
        <v>19</v>
      </c>
      <c r="L1700" t="s">
        <v>62</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x14ac:dyDescent="0.3">
      <c r="A1701" t="s">
        <v>1800</v>
      </c>
      <c r="B1701" t="s">
        <v>44</v>
      </c>
      <c r="C1701">
        <v>1</v>
      </c>
      <c r="D1701">
        <v>22.9</v>
      </c>
      <c r="E1701">
        <v>22.9</v>
      </c>
      <c r="F1701" s="1">
        <v>45720</v>
      </c>
      <c r="G1701" s="1">
        <v>45722</v>
      </c>
      <c r="H1701" t="s">
        <v>27</v>
      </c>
      <c r="I1701" t="s">
        <v>40</v>
      </c>
      <c r="J1701">
        <v>5</v>
      </c>
      <c r="K1701" t="s">
        <v>19</v>
      </c>
      <c r="L1701" t="s">
        <v>62</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x14ac:dyDescent="0.3">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x14ac:dyDescent="0.3">
      <c r="A1703" t="s">
        <v>1802</v>
      </c>
      <c r="B1703" t="s">
        <v>22</v>
      </c>
      <c r="C1703">
        <v>9</v>
      </c>
      <c r="D1703">
        <v>37.4</v>
      </c>
      <c r="E1703">
        <v>336.59999999999997</v>
      </c>
      <c r="F1703" s="1">
        <v>45720</v>
      </c>
      <c r="G1703" s="1">
        <v>45724</v>
      </c>
      <c r="H1703" t="s">
        <v>23</v>
      </c>
      <c r="I1703" t="s">
        <v>35</v>
      </c>
      <c r="J1703">
        <v>4</v>
      </c>
      <c r="K1703" t="s">
        <v>19</v>
      </c>
      <c r="L1703" t="s">
        <v>77</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x14ac:dyDescent="0.3">
      <c r="A1704" t="s">
        <v>1803</v>
      </c>
      <c r="B1704" t="s">
        <v>146</v>
      </c>
      <c r="C1704">
        <v>2</v>
      </c>
      <c r="D1704">
        <v>79</v>
      </c>
      <c r="E1704">
        <v>158</v>
      </c>
      <c r="F1704" s="1">
        <v>45720</v>
      </c>
      <c r="G1704" s="1">
        <v>45721</v>
      </c>
      <c r="H1704" t="s">
        <v>23</v>
      </c>
      <c r="I1704" t="s">
        <v>40</v>
      </c>
      <c r="J1704">
        <v>4</v>
      </c>
      <c r="K1704" t="s">
        <v>19</v>
      </c>
      <c r="L1704" t="s">
        <v>243</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x14ac:dyDescent="0.3">
      <c r="A1705" t="s">
        <v>1804</v>
      </c>
      <c r="B1705" t="s">
        <v>16</v>
      </c>
      <c r="C1705">
        <v>3</v>
      </c>
      <c r="D1705">
        <v>19.3</v>
      </c>
      <c r="E1705">
        <v>57.900000000000006</v>
      </c>
      <c r="F1705" s="1">
        <v>45720</v>
      </c>
      <c r="G1705" s="1">
        <v>45721</v>
      </c>
      <c r="H1705" t="s">
        <v>27</v>
      </c>
      <c r="I1705" t="s">
        <v>70</v>
      </c>
      <c r="J1705">
        <v>4</v>
      </c>
      <c r="K1705" t="s">
        <v>19</v>
      </c>
      <c r="L1705" t="s">
        <v>115</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x14ac:dyDescent="0.3">
      <c r="A1706" t="s">
        <v>1805</v>
      </c>
      <c r="B1706" t="s">
        <v>16</v>
      </c>
      <c r="C1706">
        <v>1</v>
      </c>
      <c r="D1706">
        <v>24</v>
      </c>
      <c r="E1706">
        <v>24</v>
      </c>
      <c r="F1706" s="1">
        <v>45720</v>
      </c>
      <c r="G1706" s="1">
        <v>45721</v>
      </c>
      <c r="H1706" t="s">
        <v>27</v>
      </c>
      <c r="I1706" t="s">
        <v>35</v>
      </c>
      <c r="J1706">
        <v>4</v>
      </c>
      <c r="K1706" t="s">
        <v>19</v>
      </c>
      <c r="L1706" t="s">
        <v>24</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x14ac:dyDescent="0.3">
      <c r="A1707" t="s">
        <v>1806</v>
      </c>
      <c r="B1707" t="s">
        <v>39</v>
      </c>
      <c r="C1707">
        <v>5</v>
      </c>
      <c r="D1707">
        <v>71.3</v>
      </c>
      <c r="E1707">
        <v>356.5</v>
      </c>
      <c r="F1707" s="1">
        <v>45720</v>
      </c>
      <c r="G1707" s="1">
        <v>45723</v>
      </c>
      <c r="H1707" t="s">
        <v>27</v>
      </c>
      <c r="I1707" t="s">
        <v>40</v>
      </c>
      <c r="J1707">
        <v>4</v>
      </c>
      <c r="K1707" t="s">
        <v>19</v>
      </c>
      <c r="L1707" t="s">
        <v>28</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x14ac:dyDescent="0.3">
      <c r="A1708" t="s">
        <v>1807</v>
      </c>
      <c r="B1708" t="s">
        <v>37</v>
      </c>
      <c r="C1708">
        <v>2</v>
      </c>
      <c r="D1708">
        <v>166.2</v>
      </c>
      <c r="E1708">
        <v>332.4</v>
      </c>
      <c r="F1708" s="1">
        <v>45720</v>
      </c>
      <c r="G1708" s="1">
        <v>45721</v>
      </c>
      <c r="H1708" t="s">
        <v>23</v>
      </c>
      <c r="I1708" t="s">
        <v>18</v>
      </c>
      <c r="J1708">
        <v>5</v>
      </c>
      <c r="K1708" t="s">
        <v>19</v>
      </c>
      <c r="L1708" t="s">
        <v>949</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x14ac:dyDescent="0.3">
      <c r="A1709" t="s">
        <v>1808</v>
      </c>
      <c r="B1709" t="s">
        <v>39</v>
      </c>
      <c r="C1709">
        <v>1</v>
      </c>
      <c r="D1709">
        <v>81</v>
      </c>
      <c r="E1709">
        <v>81</v>
      </c>
      <c r="F1709" s="1">
        <v>45720</v>
      </c>
      <c r="G1709" s="1">
        <v>45721</v>
      </c>
      <c r="H1709" t="s">
        <v>27</v>
      </c>
      <c r="I1709" t="s">
        <v>40</v>
      </c>
      <c r="J1709">
        <v>3</v>
      </c>
      <c r="K1709" t="s">
        <v>19</v>
      </c>
      <c r="L1709" t="s">
        <v>33</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x14ac:dyDescent="0.3">
      <c r="A1710" t="s">
        <v>1809</v>
      </c>
      <c r="B1710" t="s">
        <v>54</v>
      </c>
      <c r="C1710">
        <v>6</v>
      </c>
      <c r="D1710">
        <v>38.5</v>
      </c>
      <c r="E1710">
        <v>231</v>
      </c>
      <c r="F1710" s="1">
        <v>45720</v>
      </c>
      <c r="G1710" s="1">
        <v>45724</v>
      </c>
      <c r="H1710" t="s">
        <v>27</v>
      </c>
      <c r="I1710" t="s">
        <v>18</v>
      </c>
      <c r="J1710">
        <v>4</v>
      </c>
      <c r="K1710" t="s">
        <v>19</v>
      </c>
      <c r="L1710" t="s">
        <v>33</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x14ac:dyDescent="0.3">
      <c r="A1711" t="s">
        <v>1810</v>
      </c>
      <c r="B1711" t="s">
        <v>39</v>
      </c>
      <c r="C1711">
        <v>1</v>
      </c>
      <c r="D1711">
        <v>86.1</v>
      </c>
      <c r="E1711">
        <v>86.1</v>
      </c>
      <c r="F1711" s="1">
        <v>45720</v>
      </c>
      <c r="G1711" s="1">
        <v>45722</v>
      </c>
      <c r="H1711" t="s">
        <v>27</v>
      </c>
      <c r="I1711" t="s">
        <v>51</v>
      </c>
      <c r="J1711">
        <v>4</v>
      </c>
      <c r="K1711" t="s">
        <v>19</v>
      </c>
      <c r="L1711" t="s">
        <v>33</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x14ac:dyDescent="0.3">
      <c r="A1712" t="s">
        <v>1811</v>
      </c>
      <c r="B1712" t="s">
        <v>26</v>
      </c>
      <c r="C1712">
        <v>5</v>
      </c>
      <c r="D1712">
        <v>51</v>
      </c>
      <c r="E1712">
        <v>255</v>
      </c>
      <c r="F1712" s="1">
        <v>45720</v>
      </c>
      <c r="G1712" s="1">
        <v>45721</v>
      </c>
      <c r="H1712" t="s">
        <v>23</v>
      </c>
      <c r="I1712" t="s">
        <v>18</v>
      </c>
      <c r="J1712">
        <v>3</v>
      </c>
      <c r="K1712" t="s">
        <v>19</v>
      </c>
      <c r="L1712" t="s">
        <v>33</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x14ac:dyDescent="0.3">
      <c r="A1713" t="s">
        <v>1812</v>
      </c>
      <c r="B1713" t="s">
        <v>30</v>
      </c>
      <c r="C1713">
        <v>5</v>
      </c>
      <c r="D1713">
        <v>115.4</v>
      </c>
      <c r="E1713">
        <v>577</v>
      </c>
      <c r="F1713" s="1">
        <v>45720</v>
      </c>
      <c r="G1713" s="1">
        <v>45721</v>
      </c>
      <c r="H1713" t="s">
        <v>23</v>
      </c>
      <c r="I1713" t="s">
        <v>18</v>
      </c>
      <c r="J1713">
        <v>4</v>
      </c>
      <c r="K1713" t="s">
        <v>19</v>
      </c>
      <c r="L1713" t="s">
        <v>33</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x14ac:dyDescent="0.3">
      <c r="A1714" t="s">
        <v>1813</v>
      </c>
      <c r="B1714" t="s">
        <v>39</v>
      </c>
      <c r="C1714">
        <v>4</v>
      </c>
      <c r="D1714">
        <v>176.5</v>
      </c>
      <c r="E1714">
        <v>706</v>
      </c>
      <c r="F1714" s="1">
        <v>45720</v>
      </c>
      <c r="G1714" s="1">
        <v>45721</v>
      </c>
      <c r="H1714" t="s">
        <v>27</v>
      </c>
      <c r="I1714" t="s">
        <v>40</v>
      </c>
      <c r="J1714">
        <v>5</v>
      </c>
      <c r="K1714" t="s">
        <v>19</v>
      </c>
      <c r="L1714" t="s">
        <v>33</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x14ac:dyDescent="0.3">
      <c r="A1715" t="s">
        <v>1814</v>
      </c>
      <c r="B1715" t="s">
        <v>42</v>
      </c>
      <c r="C1715">
        <v>3</v>
      </c>
      <c r="D1715">
        <v>48.9</v>
      </c>
      <c r="E1715">
        <v>146.69999999999999</v>
      </c>
      <c r="F1715" s="1">
        <v>45720</v>
      </c>
      <c r="G1715" s="1">
        <v>45721</v>
      </c>
      <c r="H1715" t="s">
        <v>23</v>
      </c>
      <c r="I1715" t="s">
        <v>70</v>
      </c>
      <c r="J1715">
        <v>4</v>
      </c>
      <c r="K1715" t="s">
        <v>19</v>
      </c>
      <c r="L1715" t="s">
        <v>33</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x14ac:dyDescent="0.3">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x14ac:dyDescent="0.3">
      <c r="A1717" t="s">
        <v>1816</v>
      </c>
      <c r="B1717" t="s">
        <v>26</v>
      </c>
      <c r="C1717">
        <v>2</v>
      </c>
      <c r="D1717">
        <v>118.5</v>
      </c>
      <c r="E1717">
        <v>237</v>
      </c>
      <c r="F1717" s="1">
        <v>45720</v>
      </c>
      <c r="G1717" s="1">
        <v>45723</v>
      </c>
      <c r="H1717" t="s">
        <v>23</v>
      </c>
      <c r="I1717" t="s">
        <v>35</v>
      </c>
      <c r="J1717">
        <v>5</v>
      </c>
      <c r="K1717" t="s">
        <v>19</v>
      </c>
      <c r="L1717" t="s">
        <v>98</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x14ac:dyDescent="0.3">
      <c r="A1718" t="s">
        <v>1817</v>
      </c>
      <c r="B1718" t="s">
        <v>123</v>
      </c>
      <c r="C1718">
        <v>7</v>
      </c>
      <c r="D1718">
        <v>59.1</v>
      </c>
      <c r="E1718">
        <v>413.7</v>
      </c>
      <c r="F1718" s="1">
        <v>45720</v>
      </c>
      <c r="G1718" s="1">
        <v>45721</v>
      </c>
      <c r="H1718" t="s">
        <v>27</v>
      </c>
      <c r="I1718" t="s">
        <v>51</v>
      </c>
      <c r="J1718">
        <v>4</v>
      </c>
      <c r="K1718" t="s">
        <v>19</v>
      </c>
      <c r="L1718" t="s">
        <v>188</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x14ac:dyDescent="0.3">
      <c r="A1719" t="s">
        <v>1818</v>
      </c>
      <c r="B1719" t="s">
        <v>32</v>
      </c>
      <c r="C1719">
        <v>1</v>
      </c>
      <c r="D1719">
        <v>21.2</v>
      </c>
      <c r="E1719">
        <v>21.2</v>
      </c>
      <c r="F1719" s="1">
        <v>45720</v>
      </c>
      <c r="G1719" s="1">
        <v>45721</v>
      </c>
      <c r="H1719" t="s">
        <v>27</v>
      </c>
      <c r="I1719" t="s">
        <v>18</v>
      </c>
      <c r="J1719">
        <v>3</v>
      </c>
      <c r="K1719" t="s">
        <v>19</v>
      </c>
      <c r="L1719" t="s">
        <v>55</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x14ac:dyDescent="0.3">
      <c r="A1720" t="s">
        <v>1819</v>
      </c>
      <c r="B1720" t="s">
        <v>39</v>
      </c>
      <c r="C1720">
        <v>2</v>
      </c>
      <c r="D1720">
        <v>68.8</v>
      </c>
      <c r="E1720">
        <v>137.6</v>
      </c>
      <c r="F1720" s="1">
        <v>45720</v>
      </c>
      <c r="G1720" s="1">
        <v>45725</v>
      </c>
      <c r="H1720" t="s">
        <v>27</v>
      </c>
      <c r="I1720" t="s">
        <v>51</v>
      </c>
      <c r="J1720">
        <v>5</v>
      </c>
      <c r="K1720" t="s">
        <v>19</v>
      </c>
      <c r="L1720" t="s">
        <v>55</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x14ac:dyDescent="0.3">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x14ac:dyDescent="0.3">
      <c r="A1722" t="s">
        <v>1821</v>
      </c>
      <c r="B1722" t="s">
        <v>69</v>
      </c>
      <c r="C1722">
        <v>5</v>
      </c>
      <c r="D1722">
        <v>66.3</v>
      </c>
      <c r="E1722">
        <v>331.5</v>
      </c>
      <c r="F1722" s="1">
        <v>45721</v>
      </c>
      <c r="G1722" s="1">
        <v>45724</v>
      </c>
      <c r="H1722" t="s">
        <v>27</v>
      </c>
      <c r="I1722" t="s">
        <v>70</v>
      </c>
      <c r="J1722">
        <v>4</v>
      </c>
      <c r="K1722" t="s">
        <v>19</v>
      </c>
      <c r="L1722" t="s">
        <v>55</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x14ac:dyDescent="0.3">
      <c r="A1723" t="s">
        <v>1822</v>
      </c>
      <c r="B1723" t="s">
        <v>39</v>
      </c>
      <c r="C1723">
        <v>3</v>
      </c>
      <c r="D1723">
        <v>97.5</v>
      </c>
      <c r="E1723">
        <v>292.5</v>
      </c>
      <c r="F1723" s="1">
        <v>45721</v>
      </c>
      <c r="G1723" s="1">
        <v>45721</v>
      </c>
      <c r="H1723" t="s">
        <v>23</v>
      </c>
      <c r="I1723" t="s">
        <v>51</v>
      </c>
      <c r="J1723">
        <v>4</v>
      </c>
      <c r="K1723" t="s">
        <v>19</v>
      </c>
      <c r="L1723" t="s">
        <v>62</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x14ac:dyDescent="0.3">
      <c r="A1724" t="s">
        <v>1823</v>
      </c>
      <c r="B1724" t="s">
        <v>22</v>
      </c>
      <c r="C1724">
        <v>2</v>
      </c>
      <c r="D1724">
        <v>44</v>
      </c>
      <c r="E1724">
        <v>88</v>
      </c>
      <c r="F1724" s="1">
        <v>45721</v>
      </c>
      <c r="G1724" s="1">
        <v>45724</v>
      </c>
      <c r="H1724" t="s">
        <v>27</v>
      </c>
      <c r="I1724" t="s">
        <v>35</v>
      </c>
      <c r="J1724">
        <v>5</v>
      </c>
      <c r="K1724" t="s">
        <v>19</v>
      </c>
      <c r="L1724" t="s">
        <v>62</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x14ac:dyDescent="0.3">
      <c r="A1725" t="s">
        <v>1824</v>
      </c>
      <c r="B1725" t="s">
        <v>16</v>
      </c>
      <c r="C1725">
        <v>1</v>
      </c>
      <c r="D1725">
        <v>21.9</v>
      </c>
      <c r="E1725">
        <v>21.9</v>
      </c>
      <c r="F1725" s="1">
        <v>45721</v>
      </c>
      <c r="G1725" s="1">
        <v>45722</v>
      </c>
      <c r="H1725" t="s">
        <v>23</v>
      </c>
      <c r="I1725" t="s">
        <v>18</v>
      </c>
      <c r="J1725">
        <v>4</v>
      </c>
      <c r="K1725" t="s">
        <v>19</v>
      </c>
      <c r="L1725" t="s">
        <v>62</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x14ac:dyDescent="0.3">
      <c r="A1726" t="s">
        <v>1825</v>
      </c>
      <c r="B1726" t="s">
        <v>32</v>
      </c>
      <c r="C1726">
        <v>7</v>
      </c>
      <c r="D1726">
        <v>21.5</v>
      </c>
      <c r="E1726">
        <v>150.5</v>
      </c>
      <c r="F1726" s="1">
        <v>45721</v>
      </c>
      <c r="G1726" s="1">
        <v>45723</v>
      </c>
      <c r="H1726" t="s">
        <v>27</v>
      </c>
      <c r="I1726" t="s">
        <v>35</v>
      </c>
      <c r="J1726">
        <v>5</v>
      </c>
      <c r="K1726" t="s">
        <v>19</v>
      </c>
      <c r="L1726" t="s">
        <v>72</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x14ac:dyDescent="0.3">
      <c r="A1727" t="s">
        <v>1826</v>
      </c>
      <c r="B1727" t="s">
        <v>69</v>
      </c>
      <c r="C1727">
        <v>6</v>
      </c>
      <c r="D1727">
        <v>133</v>
      </c>
      <c r="E1727">
        <v>798</v>
      </c>
      <c r="F1727" s="1">
        <v>45721</v>
      </c>
      <c r="G1727" s="1">
        <v>45722</v>
      </c>
      <c r="H1727" t="s">
        <v>89</v>
      </c>
      <c r="I1727" t="s">
        <v>18</v>
      </c>
      <c r="J1727">
        <v>5</v>
      </c>
      <c r="K1727" t="s">
        <v>19</v>
      </c>
      <c r="L1727" t="s">
        <v>74</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x14ac:dyDescent="0.3">
      <c r="A1728" t="s">
        <v>1827</v>
      </c>
      <c r="B1728" t="s">
        <v>44</v>
      </c>
      <c r="C1728">
        <v>2</v>
      </c>
      <c r="D1728">
        <v>47.7</v>
      </c>
      <c r="E1728">
        <v>95.4</v>
      </c>
      <c r="F1728" s="1">
        <v>45721</v>
      </c>
      <c r="G1728" s="1">
        <v>45725</v>
      </c>
      <c r="H1728" t="s">
        <v>23</v>
      </c>
      <c r="I1728" t="s">
        <v>18</v>
      </c>
      <c r="J1728">
        <v>5</v>
      </c>
      <c r="K1728" t="s">
        <v>19</v>
      </c>
      <c r="L1728" t="s">
        <v>74</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x14ac:dyDescent="0.3">
      <c r="A1729" t="s">
        <v>1828</v>
      </c>
      <c r="B1729" t="s">
        <v>128</v>
      </c>
      <c r="C1729">
        <v>3</v>
      </c>
      <c r="D1729">
        <v>58.1</v>
      </c>
      <c r="E1729">
        <v>174.3</v>
      </c>
      <c r="F1729" s="1">
        <v>45721</v>
      </c>
      <c r="G1729" s="1">
        <v>45722</v>
      </c>
      <c r="H1729" t="s">
        <v>27</v>
      </c>
      <c r="I1729" t="s">
        <v>18</v>
      </c>
      <c r="J1729">
        <v>4</v>
      </c>
      <c r="K1729" t="s">
        <v>19</v>
      </c>
      <c r="L1729" t="s">
        <v>77</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x14ac:dyDescent="0.3">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x14ac:dyDescent="0.3">
      <c r="A1731" t="s">
        <v>1830</v>
      </c>
      <c r="B1731" t="s">
        <v>46</v>
      </c>
      <c r="C1731">
        <v>1</v>
      </c>
      <c r="D1731">
        <v>24.1</v>
      </c>
      <c r="E1731">
        <v>24.1</v>
      </c>
      <c r="F1731" s="1">
        <v>45721</v>
      </c>
      <c r="G1731" s="1">
        <v>45724</v>
      </c>
      <c r="H1731" t="s">
        <v>23</v>
      </c>
      <c r="I1731" t="s">
        <v>40</v>
      </c>
      <c r="J1731">
        <v>3</v>
      </c>
      <c r="K1731" t="s">
        <v>19</v>
      </c>
      <c r="L1731" t="s">
        <v>110</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x14ac:dyDescent="0.3">
      <c r="A1732" t="s">
        <v>1831</v>
      </c>
      <c r="B1732" t="s">
        <v>54</v>
      </c>
      <c r="C1732">
        <v>5</v>
      </c>
      <c r="D1732">
        <v>51.5</v>
      </c>
      <c r="E1732">
        <v>257.5</v>
      </c>
      <c r="F1732" s="1">
        <v>45721</v>
      </c>
      <c r="G1732" s="1">
        <v>45726</v>
      </c>
      <c r="H1732" t="s">
        <v>27</v>
      </c>
      <c r="I1732" t="s">
        <v>18</v>
      </c>
      <c r="J1732">
        <v>4</v>
      </c>
      <c r="K1732" t="s">
        <v>19</v>
      </c>
      <c r="L1732" t="s">
        <v>82</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x14ac:dyDescent="0.3">
      <c r="A1733" t="s">
        <v>1832</v>
      </c>
      <c r="B1733" t="s">
        <v>16</v>
      </c>
      <c r="C1733">
        <v>11</v>
      </c>
      <c r="D1733">
        <v>25.8</v>
      </c>
      <c r="E1733">
        <v>283.8</v>
      </c>
      <c r="F1733" s="1">
        <v>45721</v>
      </c>
      <c r="G1733" s="1">
        <v>45725</v>
      </c>
      <c r="H1733" t="s">
        <v>27</v>
      </c>
      <c r="I1733" t="s">
        <v>51</v>
      </c>
      <c r="J1733">
        <v>2</v>
      </c>
      <c r="K1733" t="s">
        <v>19</v>
      </c>
      <c r="L1733" t="s">
        <v>115</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x14ac:dyDescent="0.3">
      <c r="A1734" t="s">
        <v>1833</v>
      </c>
      <c r="B1734" t="s">
        <v>46</v>
      </c>
      <c r="C1734">
        <v>4</v>
      </c>
      <c r="D1734">
        <v>47.7</v>
      </c>
      <c r="E1734">
        <v>190.8</v>
      </c>
      <c r="F1734" s="1">
        <v>45721</v>
      </c>
      <c r="G1734" s="1">
        <v>45721</v>
      </c>
      <c r="H1734" t="s">
        <v>27</v>
      </c>
      <c r="I1734" t="s">
        <v>18</v>
      </c>
      <c r="J1734">
        <v>3</v>
      </c>
      <c r="K1734" t="s">
        <v>19</v>
      </c>
      <c r="L1734" t="s">
        <v>115</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x14ac:dyDescent="0.3">
      <c r="A1735" t="s">
        <v>1834</v>
      </c>
      <c r="B1735" t="s">
        <v>42</v>
      </c>
      <c r="C1735">
        <v>5</v>
      </c>
      <c r="D1735">
        <v>73.599999999999994</v>
      </c>
      <c r="E1735">
        <v>368</v>
      </c>
      <c r="F1735" s="1">
        <v>45721</v>
      </c>
      <c r="G1735" s="1">
        <v>45725</v>
      </c>
      <c r="H1735" t="s">
        <v>23</v>
      </c>
      <c r="I1735" t="s">
        <v>35</v>
      </c>
      <c r="J1735">
        <v>4</v>
      </c>
      <c r="K1735" t="s">
        <v>19</v>
      </c>
      <c r="L1735" t="s">
        <v>115</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x14ac:dyDescent="0.3">
      <c r="A1736" t="s">
        <v>1835</v>
      </c>
      <c r="B1736" t="s">
        <v>37</v>
      </c>
      <c r="C1736">
        <v>7</v>
      </c>
      <c r="D1736">
        <v>91.2</v>
      </c>
      <c r="E1736">
        <v>638.4</v>
      </c>
      <c r="F1736" s="1">
        <v>45721</v>
      </c>
      <c r="G1736" s="1">
        <v>45722</v>
      </c>
      <c r="H1736" t="s">
        <v>23</v>
      </c>
      <c r="I1736" t="s">
        <v>35</v>
      </c>
      <c r="J1736">
        <v>5</v>
      </c>
      <c r="K1736" t="s">
        <v>19</v>
      </c>
      <c r="L1736" t="s">
        <v>115</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x14ac:dyDescent="0.3">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x14ac:dyDescent="0.3">
      <c r="A1738" t="s">
        <v>1837</v>
      </c>
      <c r="B1738" t="s">
        <v>46</v>
      </c>
      <c r="C1738">
        <v>8</v>
      </c>
      <c r="D1738">
        <v>98</v>
      </c>
      <c r="E1738">
        <v>784</v>
      </c>
      <c r="F1738" s="1">
        <v>45721</v>
      </c>
      <c r="G1738" s="1">
        <v>45725</v>
      </c>
      <c r="H1738" t="s">
        <v>27</v>
      </c>
      <c r="I1738" t="s">
        <v>40</v>
      </c>
      <c r="J1738">
        <v>4</v>
      </c>
      <c r="K1738" t="s">
        <v>19</v>
      </c>
      <c r="L1738" t="s">
        <v>28</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x14ac:dyDescent="0.3">
      <c r="A1739" t="s">
        <v>1838</v>
      </c>
      <c r="B1739" t="s">
        <v>22</v>
      </c>
      <c r="C1739">
        <v>8</v>
      </c>
      <c r="D1739">
        <v>43.6</v>
      </c>
      <c r="E1739">
        <v>348.8</v>
      </c>
      <c r="F1739" s="1">
        <v>45721</v>
      </c>
      <c r="G1739" s="1">
        <v>45722</v>
      </c>
      <c r="H1739" t="s">
        <v>27</v>
      </c>
      <c r="I1739" t="s">
        <v>40</v>
      </c>
      <c r="J1739">
        <v>4</v>
      </c>
      <c r="K1739" t="s">
        <v>19</v>
      </c>
      <c r="L1739" t="s">
        <v>147</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x14ac:dyDescent="0.3">
      <c r="A1740" t="s">
        <v>1839</v>
      </c>
      <c r="B1740" t="s">
        <v>44</v>
      </c>
      <c r="C1740">
        <v>10</v>
      </c>
      <c r="D1740">
        <v>37.799999999999997</v>
      </c>
      <c r="E1740">
        <v>378</v>
      </c>
      <c r="F1740" s="1">
        <v>45721</v>
      </c>
      <c r="G1740" s="1">
        <v>45721</v>
      </c>
      <c r="H1740" t="s">
        <v>89</v>
      </c>
      <c r="I1740" t="s">
        <v>18</v>
      </c>
      <c r="J1740">
        <v>4</v>
      </c>
      <c r="K1740" t="s">
        <v>19</v>
      </c>
      <c r="L1740" t="s">
        <v>949</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x14ac:dyDescent="0.3">
      <c r="A1741" t="s">
        <v>1840</v>
      </c>
      <c r="B1741" t="s">
        <v>135</v>
      </c>
      <c r="C1741">
        <v>5</v>
      </c>
      <c r="D1741">
        <v>63.7</v>
      </c>
      <c r="E1741">
        <v>318.5</v>
      </c>
      <c r="F1741" s="1">
        <v>45721</v>
      </c>
      <c r="G1741" s="1">
        <v>45724</v>
      </c>
      <c r="H1741" t="s">
        <v>27</v>
      </c>
      <c r="I1741" t="s">
        <v>40</v>
      </c>
      <c r="J1741">
        <v>3</v>
      </c>
      <c r="K1741" t="s">
        <v>19</v>
      </c>
      <c r="L1741" t="s">
        <v>33</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x14ac:dyDescent="0.3">
      <c r="A1742" t="s">
        <v>1841</v>
      </c>
      <c r="B1742" t="s">
        <v>37</v>
      </c>
      <c r="C1742">
        <v>9</v>
      </c>
      <c r="D1742">
        <v>62.9</v>
      </c>
      <c r="E1742">
        <v>566.1</v>
      </c>
      <c r="F1742" s="1">
        <v>45721</v>
      </c>
      <c r="G1742" s="1">
        <v>45726</v>
      </c>
      <c r="H1742" t="s">
        <v>23</v>
      </c>
      <c r="I1742" t="s">
        <v>51</v>
      </c>
      <c r="J1742">
        <v>5</v>
      </c>
      <c r="K1742" t="s">
        <v>19</v>
      </c>
      <c r="L1742" t="s">
        <v>33</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x14ac:dyDescent="0.3">
      <c r="A1743" t="s">
        <v>1842</v>
      </c>
      <c r="B1743" t="s">
        <v>39</v>
      </c>
      <c r="C1743">
        <v>7</v>
      </c>
      <c r="D1743">
        <v>61.7</v>
      </c>
      <c r="E1743">
        <v>431.90000000000003</v>
      </c>
      <c r="F1743" s="1">
        <v>45721</v>
      </c>
      <c r="G1743" s="1">
        <v>45724</v>
      </c>
      <c r="H1743" t="s">
        <v>27</v>
      </c>
      <c r="I1743" t="s">
        <v>40</v>
      </c>
      <c r="J1743">
        <v>5</v>
      </c>
      <c r="K1743" t="s">
        <v>19</v>
      </c>
      <c r="L1743" t="s">
        <v>33</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x14ac:dyDescent="0.3">
      <c r="A1744" t="s">
        <v>1843</v>
      </c>
      <c r="B1744" t="s">
        <v>146</v>
      </c>
      <c r="C1744">
        <v>14</v>
      </c>
      <c r="D1744">
        <v>36.5</v>
      </c>
      <c r="E1744">
        <v>511</v>
      </c>
      <c r="F1744" s="1">
        <v>45721</v>
      </c>
      <c r="G1744" s="1">
        <v>45722</v>
      </c>
      <c r="H1744" t="s">
        <v>23</v>
      </c>
      <c r="I1744" t="s">
        <v>18</v>
      </c>
      <c r="J1744">
        <v>5</v>
      </c>
      <c r="K1744" t="s">
        <v>19</v>
      </c>
      <c r="L1744" t="s">
        <v>33</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x14ac:dyDescent="0.3">
      <c r="A1745" t="s">
        <v>1844</v>
      </c>
      <c r="B1745" t="s">
        <v>67</v>
      </c>
      <c r="C1745">
        <v>3</v>
      </c>
      <c r="D1745">
        <v>98.6</v>
      </c>
      <c r="E1745">
        <v>295.79999999999995</v>
      </c>
      <c r="F1745" s="1">
        <v>45721</v>
      </c>
      <c r="G1745" s="1">
        <v>45724</v>
      </c>
      <c r="H1745" t="s">
        <v>89</v>
      </c>
      <c r="I1745" t="s">
        <v>18</v>
      </c>
      <c r="J1745">
        <v>2</v>
      </c>
      <c r="K1745" t="s">
        <v>19</v>
      </c>
      <c r="L1745" t="s">
        <v>33</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x14ac:dyDescent="0.3">
      <c r="A1746" t="s">
        <v>1845</v>
      </c>
      <c r="B1746" t="s">
        <v>44</v>
      </c>
      <c r="C1746">
        <v>2</v>
      </c>
      <c r="D1746">
        <v>19.2</v>
      </c>
      <c r="E1746">
        <v>38.4</v>
      </c>
      <c r="F1746" s="1">
        <v>45721</v>
      </c>
      <c r="G1746" s="1">
        <v>45731</v>
      </c>
      <c r="H1746" t="s">
        <v>23</v>
      </c>
      <c r="I1746" t="s">
        <v>18</v>
      </c>
      <c r="J1746">
        <v>4</v>
      </c>
      <c r="K1746" t="s">
        <v>19</v>
      </c>
      <c r="L1746" t="s">
        <v>33</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x14ac:dyDescent="0.3">
      <c r="A1747" t="s">
        <v>1846</v>
      </c>
      <c r="B1747" t="s">
        <v>30</v>
      </c>
      <c r="C1747">
        <v>6</v>
      </c>
      <c r="D1747">
        <v>55.6</v>
      </c>
      <c r="E1747">
        <v>333.6</v>
      </c>
      <c r="F1747" s="1">
        <v>45721</v>
      </c>
      <c r="G1747" s="1">
        <v>45725</v>
      </c>
      <c r="H1747" t="s">
        <v>27</v>
      </c>
      <c r="I1747" t="s">
        <v>18</v>
      </c>
      <c r="J1747">
        <v>5</v>
      </c>
      <c r="K1747" t="s">
        <v>19</v>
      </c>
      <c r="L1747" t="s">
        <v>33</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x14ac:dyDescent="0.3">
      <c r="A1748" t="s">
        <v>1847</v>
      </c>
      <c r="B1748" t="s">
        <v>37</v>
      </c>
      <c r="C1748">
        <v>6</v>
      </c>
      <c r="D1748">
        <v>56.4</v>
      </c>
      <c r="E1748">
        <v>338.4</v>
      </c>
      <c r="F1748" s="1">
        <v>45721</v>
      </c>
      <c r="G1748" s="1">
        <v>45722</v>
      </c>
      <c r="H1748" t="s">
        <v>27</v>
      </c>
      <c r="I1748" t="s">
        <v>35</v>
      </c>
      <c r="J1748">
        <v>4</v>
      </c>
      <c r="K1748" t="s">
        <v>19</v>
      </c>
      <c r="L1748" t="s">
        <v>33</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x14ac:dyDescent="0.3">
      <c r="A1749" t="s">
        <v>1848</v>
      </c>
      <c r="B1749" t="s">
        <v>32</v>
      </c>
      <c r="C1749">
        <v>8</v>
      </c>
      <c r="D1749">
        <v>43.1</v>
      </c>
      <c r="E1749">
        <v>344.8</v>
      </c>
      <c r="F1749" s="1">
        <v>45721</v>
      </c>
      <c r="G1749" s="1">
        <v>45725</v>
      </c>
      <c r="H1749" t="s">
        <v>27</v>
      </c>
      <c r="I1749" t="s">
        <v>70</v>
      </c>
      <c r="J1749">
        <v>4</v>
      </c>
      <c r="K1749" t="s">
        <v>19</v>
      </c>
      <c r="L1749" t="s">
        <v>33</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x14ac:dyDescent="0.3">
      <c r="A1750" t="s">
        <v>1849</v>
      </c>
      <c r="B1750" t="s">
        <v>22</v>
      </c>
      <c r="C1750">
        <v>2</v>
      </c>
      <c r="D1750">
        <v>77.3</v>
      </c>
      <c r="E1750">
        <v>154.6</v>
      </c>
      <c r="F1750" s="1">
        <v>45721</v>
      </c>
      <c r="G1750" s="1">
        <v>45723</v>
      </c>
      <c r="H1750" t="s">
        <v>23</v>
      </c>
      <c r="I1750" t="s">
        <v>18</v>
      </c>
      <c r="J1750">
        <v>4</v>
      </c>
      <c r="K1750" t="s">
        <v>19</v>
      </c>
      <c r="L1750" t="s">
        <v>55</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x14ac:dyDescent="0.3">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x14ac:dyDescent="0.3">
      <c r="A1752" t="s">
        <v>1851</v>
      </c>
      <c r="B1752" t="s">
        <v>16</v>
      </c>
      <c r="C1752">
        <v>7</v>
      </c>
      <c r="D1752">
        <v>16.8</v>
      </c>
      <c r="E1752">
        <v>117.60000000000001</v>
      </c>
      <c r="F1752" s="1">
        <v>45721</v>
      </c>
      <c r="G1752" s="1">
        <v>45724</v>
      </c>
      <c r="H1752" t="s">
        <v>23</v>
      </c>
      <c r="I1752" t="s">
        <v>40</v>
      </c>
      <c r="J1752">
        <v>3</v>
      </c>
      <c r="K1752" t="s">
        <v>19</v>
      </c>
      <c r="L1752" t="s">
        <v>62</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x14ac:dyDescent="0.3">
      <c r="A1753" t="s">
        <v>1852</v>
      </c>
      <c r="B1753" t="s">
        <v>26</v>
      </c>
      <c r="C1753">
        <v>3</v>
      </c>
      <c r="D1753">
        <v>63.2</v>
      </c>
      <c r="E1753">
        <v>189.60000000000002</v>
      </c>
      <c r="F1753" s="1">
        <v>45721</v>
      </c>
      <c r="G1753" s="1">
        <v>45722</v>
      </c>
      <c r="H1753" t="s">
        <v>27</v>
      </c>
      <c r="I1753" t="s">
        <v>18</v>
      </c>
      <c r="J1753">
        <v>5</v>
      </c>
      <c r="K1753" t="s">
        <v>19</v>
      </c>
      <c r="L1753" t="s">
        <v>62</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x14ac:dyDescent="0.3">
      <c r="A1754" t="s">
        <v>1853</v>
      </c>
      <c r="B1754" t="s">
        <v>81</v>
      </c>
      <c r="C1754">
        <v>23</v>
      </c>
      <c r="D1754">
        <v>39.700000000000003</v>
      </c>
      <c r="E1754">
        <v>913.1</v>
      </c>
      <c r="F1754" s="1">
        <v>45721</v>
      </c>
      <c r="G1754" s="1">
        <v>45722</v>
      </c>
      <c r="H1754" t="s">
        <v>23</v>
      </c>
      <c r="I1754" t="s">
        <v>18</v>
      </c>
      <c r="J1754">
        <v>4</v>
      </c>
      <c r="K1754" t="s">
        <v>19</v>
      </c>
      <c r="L1754" t="s">
        <v>62</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x14ac:dyDescent="0.3">
      <c r="A1755" t="s">
        <v>1854</v>
      </c>
      <c r="B1755" t="s">
        <v>54</v>
      </c>
      <c r="C1755">
        <v>3</v>
      </c>
      <c r="D1755">
        <v>45.8</v>
      </c>
      <c r="E1755">
        <v>137.39999999999998</v>
      </c>
      <c r="F1755" s="1">
        <v>45721</v>
      </c>
      <c r="G1755" s="1">
        <v>45722</v>
      </c>
      <c r="H1755" t="s">
        <v>27</v>
      </c>
      <c r="I1755" t="s">
        <v>35</v>
      </c>
      <c r="J1755">
        <v>5</v>
      </c>
      <c r="K1755" t="s">
        <v>19</v>
      </c>
      <c r="L1755" t="s">
        <v>62</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x14ac:dyDescent="0.3">
      <c r="A1756" t="s">
        <v>1855</v>
      </c>
      <c r="B1756" t="s">
        <v>16</v>
      </c>
      <c r="C1756">
        <v>6</v>
      </c>
      <c r="D1756">
        <v>12.4</v>
      </c>
      <c r="E1756">
        <v>74.400000000000006</v>
      </c>
      <c r="F1756" s="1">
        <v>45721</v>
      </c>
      <c r="G1756" s="1">
        <v>45724</v>
      </c>
      <c r="H1756" t="s">
        <v>23</v>
      </c>
      <c r="I1756" t="s">
        <v>18</v>
      </c>
      <c r="J1756">
        <v>4</v>
      </c>
      <c r="K1756" t="s">
        <v>19</v>
      </c>
      <c r="L1756" t="s">
        <v>62</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x14ac:dyDescent="0.3">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x14ac:dyDescent="0.3">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x14ac:dyDescent="0.3">
      <c r="A1759" t="s">
        <v>1858</v>
      </c>
      <c r="B1759" t="s">
        <v>22</v>
      </c>
      <c r="C1759">
        <v>2</v>
      </c>
      <c r="D1759">
        <v>51.9</v>
      </c>
      <c r="E1759">
        <v>103.8</v>
      </c>
      <c r="F1759" s="1">
        <v>45722</v>
      </c>
      <c r="G1759" s="1">
        <v>45723</v>
      </c>
      <c r="H1759" t="s">
        <v>23</v>
      </c>
      <c r="I1759" t="s">
        <v>35</v>
      </c>
      <c r="J1759">
        <v>5</v>
      </c>
      <c r="K1759" t="s">
        <v>19</v>
      </c>
      <c r="L1759" t="s">
        <v>201</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x14ac:dyDescent="0.3">
      <c r="A1760" t="s">
        <v>1859</v>
      </c>
      <c r="B1760" t="s">
        <v>26</v>
      </c>
      <c r="C1760">
        <v>2</v>
      </c>
      <c r="D1760">
        <v>93.4</v>
      </c>
      <c r="E1760">
        <v>186.8</v>
      </c>
      <c r="F1760" s="1">
        <v>45722</v>
      </c>
      <c r="G1760" s="1">
        <v>45729</v>
      </c>
      <c r="H1760" t="s">
        <v>23</v>
      </c>
      <c r="I1760" t="s">
        <v>18</v>
      </c>
      <c r="J1760">
        <v>1</v>
      </c>
      <c r="K1760" t="s">
        <v>19</v>
      </c>
      <c r="L1760" t="s">
        <v>77</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x14ac:dyDescent="0.3">
      <c r="A1761" t="s">
        <v>1860</v>
      </c>
      <c r="B1761" t="s">
        <v>42</v>
      </c>
      <c r="C1761">
        <v>6</v>
      </c>
      <c r="D1761">
        <v>30.8</v>
      </c>
      <c r="E1761">
        <v>184.8</v>
      </c>
      <c r="F1761" s="1">
        <v>45722</v>
      </c>
      <c r="G1761" s="1">
        <v>45725</v>
      </c>
      <c r="H1761" t="s">
        <v>27</v>
      </c>
      <c r="I1761" t="s">
        <v>35</v>
      </c>
      <c r="J1761">
        <v>4</v>
      </c>
      <c r="K1761" t="s">
        <v>19</v>
      </c>
      <c r="L1761" t="s">
        <v>77</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x14ac:dyDescent="0.3">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x14ac:dyDescent="0.3">
      <c r="A1763" t="s">
        <v>1862</v>
      </c>
      <c r="B1763" t="s">
        <v>39</v>
      </c>
      <c r="C1763">
        <v>11</v>
      </c>
      <c r="D1763">
        <v>40.4</v>
      </c>
      <c r="E1763">
        <v>444.4</v>
      </c>
      <c r="F1763" s="1">
        <v>45722</v>
      </c>
      <c r="G1763" s="1">
        <v>45724</v>
      </c>
      <c r="H1763" t="s">
        <v>23</v>
      </c>
      <c r="I1763" t="s">
        <v>40</v>
      </c>
      <c r="J1763">
        <v>5</v>
      </c>
      <c r="K1763" t="s">
        <v>19</v>
      </c>
      <c r="L1763" t="s">
        <v>108</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x14ac:dyDescent="0.3">
      <c r="A1764" t="s">
        <v>1863</v>
      </c>
      <c r="B1764" t="s">
        <v>26</v>
      </c>
      <c r="C1764">
        <v>19</v>
      </c>
      <c r="D1764">
        <v>131.5</v>
      </c>
      <c r="E1764">
        <v>2498.5</v>
      </c>
      <c r="F1764" s="1">
        <v>45722</v>
      </c>
      <c r="G1764" s="1">
        <v>45724</v>
      </c>
      <c r="H1764" t="s">
        <v>23</v>
      </c>
      <c r="I1764" t="s">
        <v>35</v>
      </c>
      <c r="J1764">
        <v>3</v>
      </c>
      <c r="K1764" t="s">
        <v>19</v>
      </c>
      <c r="L1764" t="s">
        <v>108</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x14ac:dyDescent="0.3">
      <c r="A1765" t="s">
        <v>1864</v>
      </c>
      <c r="B1765" t="s">
        <v>146</v>
      </c>
      <c r="C1765">
        <v>7</v>
      </c>
      <c r="D1765">
        <v>61.6</v>
      </c>
      <c r="E1765">
        <v>431.2</v>
      </c>
      <c r="F1765" s="1">
        <v>45722</v>
      </c>
      <c r="G1765" s="1">
        <v>45723</v>
      </c>
      <c r="H1765" t="s">
        <v>23</v>
      </c>
      <c r="I1765" t="s">
        <v>40</v>
      </c>
      <c r="J1765">
        <v>4</v>
      </c>
      <c r="K1765" t="s">
        <v>19</v>
      </c>
      <c r="L1765" t="s">
        <v>115</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x14ac:dyDescent="0.3">
      <c r="A1766" t="s">
        <v>1865</v>
      </c>
      <c r="B1766" t="s">
        <v>46</v>
      </c>
      <c r="C1766">
        <v>5</v>
      </c>
      <c r="D1766">
        <v>32.700000000000003</v>
      </c>
      <c r="E1766">
        <v>163.5</v>
      </c>
      <c r="F1766" s="1">
        <v>45722</v>
      </c>
      <c r="G1766" s="1">
        <v>45724</v>
      </c>
      <c r="H1766" t="s">
        <v>23</v>
      </c>
      <c r="I1766" t="s">
        <v>40</v>
      </c>
      <c r="J1766">
        <v>4</v>
      </c>
      <c r="K1766" t="s">
        <v>19</v>
      </c>
      <c r="L1766" t="s">
        <v>24</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x14ac:dyDescent="0.3">
      <c r="A1767" t="s">
        <v>1866</v>
      </c>
      <c r="B1767" t="s">
        <v>16</v>
      </c>
      <c r="C1767">
        <v>10</v>
      </c>
      <c r="D1767">
        <v>13.7</v>
      </c>
      <c r="E1767">
        <v>137</v>
      </c>
      <c r="F1767" s="1">
        <v>45722</v>
      </c>
      <c r="G1767" s="1">
        <v>45723</v>
      </c>
      <c r="H1767" t="s">
        <v>23</v>
      </c>
      <c r="I1767" t="s">
        <v>18</v>
      </c>
      <c r="J1767">
        <v>5</v>
      </c>
      <c r="K1767" t="s">
        <v>19</v>
      </c>
      <c r="L1767" t="s">
        <v>33</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x14ac:dyDescent="0.3">
      <c r="A1768" t="s">
        <v>1867</v>
      </c>
      <c r="B1768" t="s">
        <v>16</v>
      </c>
      <c r="C1768">
        <v>4</v>
      </c>
      <c r="D1768">
        <v>32.1</v>
      </c>
      <c r="E1768">
        <v>128.4</v>
      </c>
      <c r="F1768" s="1">
        <v>45722</v>
      </c>
      <c r="G1768" s="1">
        <v>45723</v>
      </c>
      <c r="H1768" t="s">
        <v>23</v>
      </c>
      <c r="I1768" t="s">
        <v>70</v>
      </c>
      <c r="J1768">
        <v>3</v>
      </c>
      <c r="K1768" t="s">
        <v>19</v>
      </c>
      <c r="L1768" t="s">
        <v>33</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x14ac:dyDescent="0.3">
      <c r="A1769" t="s">
        <v>1868</v>
      </c>
      <c r="B1769" t="s">
        <v>81</v>
      </c>
      <c r="C1769">
        <v>8</v>
      </c>
      <c r="D1769">
        <v>12</v>
      </c>
      <c r="E1769">
        <v>96</v>
      </c>
      <c r="F1769" s="1">
        <v>45722</v>
      </c>
      <c r="G1769" s="1">
        <v>45723</v>
      </c>
      <c r="H1769" t="s">
        <v>23</v>
      </c>
      <c r="I1769" t="s">
        <v>35</v>
      </c>
      <c r="J1769">
        <v>4</v>
      </c>
      <c r="K1769" t="s">
        <v>19</v>
      </c>
      <c r="L1769" t="s">
        <v>186</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x14ac:dyDescent="0.3">
      <c r="A1770" t="s">
        <v>1869</v>
      </c>
      <c r="B1770" t="s">
        <v>69</v>
      </c>
      <c r="C1770">
        <v>1</v>
      </c>
      <c r="D1770">
        <v>64.3</v>
      </c>
      <c r="E1770">
        <v>64.3</v>
      </c>
      <c r="F1770" s="1">
        <v>45722</v>
      </c>
      <c r="G1770" s="1">
        <v>45724</v>
      </c>
      <c r="H1770" t="s">
        <v>27</v>
      </c>
      <c r="I1770" t="s">
        <v>40</v>
      </c>
      <c r="J1770">
        <v>5</v>
      </c>
      <c r="K1770" t="s">
        <v>19</v>
      </c>
      <c r="L1770" t="s">
        <v>55</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x14ac:dyDescent="0.3">
      <c r="A1771" t="s">
        <v>1870</v>
      </c>
      <c r="B1771" t="s">
        <v>22</v>
      </c>
      <c r="C1771">
        <v>3</v>
      </c>
      <c r="D1771">
        <v>58.2</v>
      </c>
      <c r="E1771">
        <v>174.60000000000002</v>
      </c>
      <c r="F1771" s="1">
        <v>45722</v>
      </c>
      <c r="G1771" s="1">
        <v>45724</v>
      </c>
      <c r="H1771" t="s">
        <v>27</v>
      </c>
      <c r="I1771" t="s">
        <v>35</v>
      </c>
      <c r="J1771">
        <v>5</v>
      </c>
      <c r="K1771" t="s">
        <v>19</v>
      </c>
      <c r="L1771" t="s">
        <v>55</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x14ac:dyDescent="0.3">
      <c r="A1772" t="s">
        <v>1871</v>
      </c>
      <c r="B1772" t="s">
        <v>39</v>
      </c>
      <c r="C1772">
        <v>4</v>
      </c>
      <c r="D1772">
        <v>59.2</v>
      </c>
      <c r="E1772">
        <v>236.8</v>
      </c>
      <c r="F1772" s="1">
        <v>45722</v>
      </c>
      <c r="G1772" s="1">
        <v>45722</v>
      </c>
      <c r="H1772" t="s">
        <v>23</v>
      </c>
      <c r="I1772" t="s">
        <v>35</v>
      </c>
      <c r="J1772">
        <v>5</v>
      </c>
      <c r="K1772" t="s">
        <v>19</v>
      </c>
      <c r="L1772" t="s">
        <v>55</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x14ac:dyDescent="0.3">
      <c r="A1773" t="s">
        <v>1872</v>
      </c>
      <c r="B1773" t="s">
        <v>54</v>
      </c>
      <c r="C1773">
        <v>11</v>
      </c>
      <c r="D1773">
        <v>35.6</v>
      </c>
      <c r="E1773">
        <v>391.6</v>
      </c>
      <c r="F1773" s="1">
        <v>45722</v>
      </c>
      <c r="G1773" s="1">
        <v>45729</v>
      </c>
      <c r="H1773" t="s">
        <v>23</v>
      </c>
      <c r="I1773" t="s">
        <v>18</v>
      </c>
      <c r="J1773">
        <v>5</v>
      </c>
      <c r="K1773" t="s">
        <v>19</v>
      </c>
      <c r="L1773" t="s">
        <v>62</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x14ac:dyDescent="0.3">
      <c r="A1774" t="s">
        <v>1873</v>
      </c>
      <c r="B1774" t="s">
        <v>128</v>
      </c>
      <c r="C1774">
        <v>8</v>
      </c>
      <c r="D1774">
        <v>37</v>
      </c>
      <c r="E1774">
        <v>296</v>
      </c>
      <c r="F1774" s="1">
        <v>45722</v>
      </c>
      <c r="G1774" s="1">
        <v>45726</v>
      </c>
      <c r="H1774" t="s">
        <v>27</v>
      </c>
      <c r="I1774" t="s">
        <v>40</v>
      </c>
      <c r="J1774">
        <v>3</v>
      </c>
      <c r="K1774" t="s">
        <v>19</v>
      </c>
      <c r="L1774" t="s">
        <v>62</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x14ac:dyDescent="0.3">
      <c r="A1775" t="s">
        <v>1874</v>
      </c>
      <c r="B1775" t="s">
        <v>22</v>
      </c>
      <c r="C1775">
        <v>13</v>
      </c>
      <c r="D1775">
        <v>80.8</v>
      </c>
      <c r="E1775">
        <v>1050.3999999999999</v>
      </c>
      <c r="F1775" s="1">
        <v>45722</v>
      </c>
      <c r="G1775" s="1">
        <v>45724</v>
      </c>
      <c r="H1775" t="s">
        <v>27</v>
      </c>
      <c r="I1775" t="s">
        <v>18</v>
      </c>
      <c r="J1775">
        <v>4</v>
      </c>
      <c r="K1775" t="s">
        <v>19</v>
      </c>
      <c r="L1775" t="s">
        <v>62</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x14ac:dyDescent="0.3">
      <c r="A1776" t="s">
        <v>1875</v>
      </c>
      <c r="B1776" t="s">
        <v>44</v>
      </c>
      <c r="C1776">
        <v>2</v>
      </c>
      <c r="D1776">
        <v>63.2</v>
      </c>
      <c r="E1776">
        <v>126.4</v>
      </c>
      <c r="F1776" s="1">
        <v>45722</v>
      </c>
      <c r="G1776" s="1">
        <v>45723</v>
      </c>
      <c r="H1776" t="s">
        <v>23</v>
      </c>
      <c r="I1776" t="s">
        <v>18</v>
      </c>
      <c r="J1776">
        <v>3</v>
      </c>
      <c r="K1776" t="s">
        <v>19</v>
      </c>
      <c r="L1776" t="s">
        <v>62</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x14ac:dyDescent="0.3">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x14ac:dyDescent="0.3">
      <c r="A1778" t="s">
        <v>1877</v>
      </c>
      <c r="B1778" t="s">
        <v>76</v>
      </c>
      <c r="C1778">
        <v>6</v>
      </c>
      <c r="D1778">
        <v>25.7</v>
      </c>
      <c r="E1778">
        <v>154.19999999999999</v>
      </c>
      <c r="F1778" s="1">
        <v>45722</v>
      </c>
      <c r="G1778" s="1">
        <v>45724</v>
      </c>
      <c r="H1778" t="s">
        <v>23</v>
      </c>
      <c r="I1778" t="s">
        <v>70</v>
      </c>
      <c r="J1778">
        <v>4</v>
      </c>
      <c r="K1778" t="s">
        <v>19</v>
      </c>
      <c r="L1778" t="s">
        <v>108</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x14ac:dyDescent="0.3">
      <c r="A1779" t="s">
        <v>1878</v>
      </c>
      <c r="B1779" t="s">
        <v>128</v>
      </c>
      <c r="C1779">
        <v>2</v>
      </c>
      <c r="D1779">
        <v>49.9</v>
      </c>
      <c r="E1779">
        <v>99.8</v>
      </c>
      <c r="F1779" s="1">
        <v>45722</v>
      </c>
      <c r="G1779" s="1">
        <v>45725</v>
      </c>
      <c r="H1779" t="s">
        <v>23</v>
      </c>
      <c r="I1779" t="s">
        <v>18</v>
      </c>
      <c r="J1779">
        <v>4</v>
      </c>
      <c r="K1779" t="s">
        <v>19</v>
      </c>
      <c r="L1779" t="s">
        <v>113</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x14ac:dyDescent="0.3">
      <c r="A1780" t="s">
        <v>1879</v>
      </c>
      <c r="B1780" t="s">
        <v>44</v>
      </c>
      <c r="C1780">
        <v>2</v>
      </c>
      <c r="D1780">
        <v>20.2</v>
      </c>
      <c r="E1780">
        <v>40.4</v>
      </c>
      <c r="F1780" s="1">
        <v>45722</v>
      </c>
      <c r="G1780" s="1">
        <v>45724</v>
      </c>
      <c r="H1780" t="s">
        <v>27</v>
      </c>
      <c r="I1780" t="s">
        <v>51</v>
      </c>
      <c r="J1780">
        <v>4</v>
      </c>
      <c r="K1780" t="s">
        <v>19</v>
      </c>
      <c r="L1780" t="s">
        <v>115</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x14ac:dyDescent="0.3">
      <c r="A1781" t="s">
        <v>1880</v>
      </c>
      <c r="B1781" t="s">
        <v>39</v>
      </c>
      <c r="C1781">
        <v>3</v>
      </c>
      <c r="D1781">
        <v>48.4</v>
      </c>
      <c r="E1781">
        <v>145.19999999999999</v>
      </c>
      <c r="F1781" s="1">
        <v>45722</v>
      </c>
      <c r="G1781" s="1">
        <v>45727</v>
      </c>
      <c r="H1781" t="s">
        <v>27</v>
      </c>
      <c r="I1781" t="s">
        <v>18</v>
      </c>
      <c r="J1781">
        <v>5</v>
      </c>
      <c r="K1781" t="s">
        <v>19</v>
      </c>
      <c r="L1781" t="s">
        <v>115</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x14ac:dyDescent="0.3">
      <c r="A1782" t="s">
        <v>1881</v>
      </c>
      <c r="B1782" t="s">
        <v>39</v>
      </c>
      <c r="C1782">
        <v>2</v>
      </c>
      <c r="D1782">
        <v>81</v>
      </c>
      <c r="E1782">
        <v>162</v>
      </c>
      <c r="F1782" s="1">
        <v>45722</v>
      </c>
      <c r="G1782" s="1">
        <v>45723</v>
      </c>
      <c r="H1782" t="s">
        <v>27</v>
      </c>
      <c r="I1782" t="s">
        <v>35</v>
      </c>
      <c r="J1782">
        <v>5</v>
      </c>
      <c r="K1782" t="s">
        <v>19</v>
      </c>
      <c r="L1782" t="s">
        <v>115</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x14ac:dyDescent="0.3">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x14ac:dyDescent="0.3">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x14ac:dyDescent="0.3">
      <c r="A1785" t="s">
        <v>1884</v>
      </c>
      <c r="B1785" t="s">
        <v>37</v>
      </c>
      <c r="C1785">
        <v>3</v>
      </c>
      <c r="D1785">
        <v>76.8</v>
      </c>
      <c r="E1785">
        <v>230.39999999999998</v>
      </c>
      <c r="F1785" s="1">
        <v>45722</v>
      </c>
      <c r="G1785" s="1">
        <v>45723</v>
      </c>
      <c r="H1785" t="s">
        <v>27</v>
      </c>
      <c r="I1785" t="s">
        <v>18</v>
      </c>
      <c r="J1785">
        <v>3</v>
      </c>
      <c r="K1785" t="s">
        <v>19</v>
      </c>
      <c r="L1785" t="s">
        <v>33</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x14ac:dyDescent="0.3">
      <c r="A1786" t="s">
        <v>1885</v>
      </c>
      <c r="B1786" t="s">
        <v>39</v>
      </c>
      <c r="C1786">
        <v>2</v>
      </c>
      <c r="D1786">
        <v>41.9</v>
      </c>
      <c r="E1786">
        <v>83.8</v>
      </c>
      <c r="F1786" s="1">
        <v>45722</v>
      </c>
      <c r="G1786" s="1">
        <v>45724</v>
      </c>
      <c r="H1786" t="s">
        <v>27</v>
      </c>
      <c r="I1786" t="s">
        <v>18</v>
      </c>
      <c r="J1786">
        <v>4</v>
      </c>
      <c r="K1786" t="s">
        <v>19</v>
      </c>
      <c r="L1786" t="s">
        <v>33</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x14ac:dyDescent="0.3">
      <c r="A1787" t="s">
        <v>1886</v>
      </c>
      <c r="B1787" t="s">
        <v>16</v>
      </c>
      <c r="C1787">
        <v>7</v>
      </c>
      <c r="D1787">
        <v>34</v>
      </c>
      <c r="E1787">
        <v>238</v>
      </c>
      <c r="F1787" s="1">
        <v>45722</v>
      </c>
      <c r="G1787" s="1">
        <v>45724</v>
      </c>
      <c r="H1787" t="s">
        <v>27</v>
      </c>
      <c r="I1787" t="s">
        <v>35</v>
      </c>
      <c r="J1787">
        <v>5</v>
      </c>
      <c r="K1787" t="s">
        <v>19</v>
      </c>
      <c r="L1787" t="s">
        <v>33</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x14ac:dyDescent="0.3">
      <c r="A1788" t="s">
        <v>1887</v>
      </c>
      <c r="B1788" t="s">
        <v>42</v>
      </c>
      <c r="C1788">
        <v>7</v>
      </c>
      <c r="D1788">
        <v>61.3</v>
      </c>
      <c r="E1788">
        <v>429.09999999999997</v>
      </c>
      <c r="F1788" s="1">
        <v>45722</v>
      </c>
      <c r="G1788" s="1">
        <v>45722</v>
      </c>
      <c r="H1788" t="s">
        <v>27</v>
      </c>
      <c r="I1788" t="s">
        <v>70</v>
      </c>
      <c r="J1788">
        <v>5</v>
      </c>
      <c r="K1788" t="s">
        <v>19</v>
      </c>
      <c r="L1788" t="s">
        <v>33</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x14ac:dyDescent="0.3">
      <c r="A1789" t="s">
        <v>1888</v>
      </c>
      <c r="B1789" t="s">
        <v>46</v>
      </c>
      <c r="C1789">
        <v>1</v>
      </c>
      <c r="D1789">
        <v>54.7</v>
      </c>
      <c r="E1789">
        <v>54.7</v>
      </c>
      <c r="F1789" s="1">
        <v>45723</v>
      </c>
      <c r="G1789" s="1">
        <v>45724</v>
      </c>
      <c r="H1789" t="s">
        <v>23</v>
      </c>
      <c r="I1789" t="s">
        <v>18</v>
      </c>
      <c r="J1789">
        <v>3</v>
      </c>
      <c r="K1789" t="s">
        <v>19</v>
      </c>
      <c r="L1789" t="s">
        <v>33</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x14ac:dyDescent="0.3">
      <c r="A1790" t="s">
        <v>1889</v>
      </c>
      <c r="B1790" t="s">
        <v>39</v>
      </c>
      <c r="C1790">
        <v>10</v>
      </c>
      <c r="D1790">
        <v>84.7</v>
      </c>
      <c r="E1790">
        <v>847</v>
      </c>
      <c r="F1790" s="1">
        <v>45723</v>
      </c>
      <c r="G1790" s="1">
        <v>45727</v>
      </c>
      <c r="H1790" t="s">
        <v>27</v>
      </c>
      <c r="I1790" t="s">
        <v>18</v>
      </c>
      <c r="J1790">
        <v>4</v>
      </c>
      <c r="K1790" t="s">
        <v>19</v>
      </c>
      <c r="L1790" t="s">
        <v>33</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x14ac:dyDescent="0.3">
      <c r="A1791" t="s">
        <v>1890</v>
      </c>
      <c r="B1791" t="s">
        <v>22</v>
      </c>
      <c r="C1791">
        <v>3</v>
      </c>
      <c r="D1791">
        <v>93.4</v>
      </c>
      <c r="E1791">
        <v>280.20000000000005</v>
      </c>
      <c r="F1791" s="1">
        <v>45723</v>
      </c>
      <c r="G1791" s="1">
        <v>45727</v>
      </c>
      <c r="H1791" t="s">
        <v>27</v>
      </c>
      <c r="I1791" t="s">
        <v>51</v>
      </c>
      <c r="J1791">
        <v>4</v>
      </c>
      <c r="K1791" t="s">
        <v>19</v>
      </c>
      <c r="L1791" t="s">
        <v>33</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x14ac:dyDescent="0.3">
      <c r="A1792" t="s">
        <v>1891</v>
      </c>
      <c r="B1792" t="s">
        <v>44</v>
      </c>
      <c r="C1792">
        <v>5</v>
      </c>
      <c r="D1792">
        <v>27</v>
      </c>
      <c r="E1792">
        <v>135</v>
      </c>
      <c r="F1792" s="1">
        <v>45723</v>
      </c>
      <c r="G1792" s="1">
        <v>45726</v>
      </c>
      <c r="H1792" t="s">
        <v>23</v>
      </c>
      <c r="I1792" t="s">
        <v>18</v>
      </c>
      <c r="J1792">
        <v>3</v>
      </c>
      <c r="K1792" t="s">
        <v>19</v>
      </c>
      <c r="L1792" t="s">
        <v>33</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x14ac:dyDescent="0.3">
      <c r="A1793" t="s">
        <v>1892</v>
      </c>
      <c r="B1793" t="s">
        <v>16</v>
      </c>
      <c r="C1793">
        <v>4</v>
      </c>
      <c r="D1793">
        <v>10.9</v>
      </c>
      <c r="E1793">
        <v>43.6</v>
      </c>
      <c r="F1793" s="1">
        <v>45723</v>
      </c>
      <c r="G1793" s="1">
        <v>45724</v>
      </c>
      <c r="H1793" t="s">
        <v>23</v>
      </c>
      <c r="I1793" t="s">
        <v>40</v>
      </c>
      <c r="J1793">
        <v>4</v>
      </c>
      <c r="K1793" t="s">
        <v>19</v>
      </c>
      <c r="L1793" t="s">
        <v>33</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x14ac:dyDescent="0.3">
      <c r="A1794" t="s">
        <v>1893</v>
      </c>
      <c r="B1794" t="s">
        <v>128</v>
      </c>
      <c r="C1794">
        <v>3</v>
      </c>
      <c r="D1794">
        <v>48</v>
      </c>
      <c r="E1794">
        <v>144</v>
      </c>
      <c r="F1794" s="1">
        <v>45723</v>
      </c>
      <c r="G1794" s="1">
        <v>45728</v>
      </c>
      <c r="H1794" t="s">
        <v>27</v>
      </c>
      <c r="I1794" t="s">
        <v>70</v>
      </c>
      <c r="J1794">
        <v>4</v>
      </c>
      <c r="K1794" t="s">
        <v>19</v>
      </c>
      <c r="L1794" t="s">
        <v>33</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x14ac:dyDescent="0.3">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x14ac:dyDescent="0.3">
      <c r="A1796" t="s">
        <v>1895</v>
      </c>
      <c r="B1796" t="s">
        <v>32</v>
      </c>
      <c r="C1796">
        <v>3</v>
      </c>
      <c r="D1796">
        <v>36</v>
      </c>
      <c r="E1796">
        <v>108</v>
      </c>
      <c r="F1796" s="1">
        <v>45723</v>
      </c>
      <c r="G1796" s="1">
        <v>45724</v>
      </c>
      <c r="H1796" t="s">
        <v>23</v>
      </c>
      <c r="I1796" t="s">
        <v>35</v>
      </c>
      <c r="J1796">
        <v>4</v>
      </c>
      <c r="K1796" t="s">
        <v>19</v>
      </c>
      <c r="L1796" t="s">
        <v>55</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x14ac:dyDescent="0.3">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x14ac:dyDescent="0.3">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x14ac:dyDescent="0.3">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x14ac:dyDescent="0.3">
      <c r="A1800" t="s">
        <v>1899</v>
      </c>
      <c r="B1800" t="s">
        <v>37</v>
      </c>
      <c r="C1800">
        <v>3</v>
      </c>
      <c r="D1800">
        <v>26</v>
      </c>
      <c r="E1800">
        <v>78</v>
      </c>
      <c r="F1800" s="1">
        <v>45723</v>
      </c>
      <c r="G1800" s="1">
        <v>45728</v>
      </c>
      <c r="H1800" t="s">
        <v>27</v>
      </c>
      <c r="I1800" t="s">
        <v>18</v>
      </c>
      <c r="J1800">
        <v>4</v>
      </c>
      <c r="K1800" t="s">
        <v>19</v>
      </c>
      <c r="L1800" t="s">
        <v>62</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x14ac:dyDescent="0.3">
      <c r="A1801" t="s">
        <v>1900</v>
      </c>
      <c r="B1801" t="s">
        <v>44</v>
      </c>
      <c r="C1801">
        <v>19</v>
      </c>
      <c r="D1801">
        <v>28.3</v>
      </c>
      <c r="E1801">
        <v>537.70000000000005</v>
      </c>
      <c r="F1801" s="1">
        <v>45723</v>
      </c>
      <c r="G1801" s="1">
        <v>45724</v>
      </c>
      <c r="H1801" t="s">
        <v>27</v>
      </c>
      <c r="I1801" t="s">
        <v>51</v>
      </c>
      <c r="J1801">
        <v>2</v>
      </c>
      <c r="K1801" t="s">
        <v>19</v>
      </c>
      <c r="L1801" t="s">
        <v>62</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x14ac:dyDescent="0.3">
      <c r="A1802" t="s">
        <v>1901</v>
      </c>
      <c r="B1802" t="s">
        <v>44</v>
      </c>
      <c r="C1802">
        <v>4</v>
      </c>
      <c r="D1802">
        <v>31.3</v>
      </c>
      <c r="E1802">
        <v>125.2</v>
      </c>
      <c r="F1802" s="1">
        <v>45723</v>
      </c>
      <c r="G1802" s="1">
        <v>45723</v>
      </c>
      <c r="H1802" t="s">
        <v>27</v>
      </c>
      <c r="I1802" t="s">
        <v>18</v>
      </c>
      <c r="J1802">
        <v>4</v>
      </c>
      <c r="K1802" t="s">
        <v>19</v>
      </c>
      <c r="L1802" t="s">
        <v>62</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x14ac:dyDescent="0.3">
      <c r="A1803" t="s">
        <v>1902</v>
      </c>
      <c r="B1803" t="s">
        <v>42</v>
      </c>
      <c r="C1803">
        <v>3</v>
      </c>
      <c r="D1803">
        <v>69.5</v>
      </c>
      <c r="E1803">
        <v>208.5</v>
      </c>
      <c r="F1803" s="1">
        <v>45723</v>
      </c>
      <c r="G1803" s="1">
        <v>45724</v>
      </c>
      <c r="H1803" t="s">
        <v>27</v>
      </c>
      <c r="I1803" t="s">
        <v>51</v>
      </c>
      <c r="J1803">
        <v>5</v>
      </c>
      <c r="K1803" t="s">
        <v>19</v>
      </c>
      <c r="L1803" t="s">
        <v>62</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x14ac:dyDescent="0.3">
      <c r="A1804" t="s">
        <v>1903</v>
      </c>
      <c r="B1804" t="s">
        <v>16</v>
      </c>
      <c r="C1804">
        <v>2</v>
      </c>
      <c r="D1804">
        <v>16.7</v>
      </c>
      <c r="E1804">
        <v>33.4</v>
      </c>
      <c r="F1804" s="1">
        <v>45723</v>
      </c>
      <c r="G1804" s="1">
        <v>45724</v>
      </c>
      <c r="H1804" t="s">
        <v>27</v>
      </c>
      <c r="I1804" t="s">
        <v>51</v>
      </c>
      <c r="J1804">
        <v>3</v>
      </c>
      <c r="K1804" t="s">
        <v>19</v>
      </c>
      <c r="L1804" t="s">
        <v>62</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x14ac:dyDescent="0.3">
      <c r="A1805" t="s">
        <v>1904</v>
      </c>
      <c r="B1805" t="s">
        <v>46</v>
      </c>
      <c r="C1805">
        <v>2</v>
      </c>
      <c r="D1805">
        <v>62.6</v>
      </c>
      <c r="E1805">
        <v>125.2</v>
      </c>
      <c r="F1805" s="1">
        <v>45723</v>
      </c>
      <c r="G1805" s="1">
        <v>45724</v>
      </c>
      <c r="H1805" t="s">
        <v>23</v>
      </c>
      <c r="I1805" t="s">
        <v>40</v>
      </c>
      <c r="J1805">
        <v>5</v>
      </c>
      <c r="K1805" t="s">
        <v>19</v>
      </c>
      <c r="L1805" t="s">
        <v>72</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x14ac:dyDescent="0.3">
      <c r="A1806" t="s">
        <v>1905</v>
      </c>
      <c r="B1806" t="s">
        <v>42</v>
      </c>
      <c r="C1806">
        <v>1</v>
      </c>
      <c r="D1806">
        <v>81.2</v>
      </c>
      <c r="E1806">
        <v>81.2</v>
      </c>
      <c r="F1806" s="1">
        <v>45723</v>
      </c>
      <c r="G1806" s="1">
        <v>45729</v>
      </c>
      <c r="H1806" t="s">
        <v>23</v>
      </c>
      <c r="I1806" t="s">
        <v>70</v>
      </c>
      <c r="J1806">
        <v>2</v>
      </c>
      <c r="K1806" t="s">
        <v>19</v>
      </c>
      <c r="L1806" t="s">
        <v>72</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x14ac:dyDescent="0.3">
      <c r="A1807" t="s">
        <v>1906</v>
      </c>
      <c r="B1807" t="s">
        <v>16</v>
      </c>
      <c r="C1807">
        <v>10</v>
      </c>
      <c r="D1807">
        <v>12.7</v>
      </c>
      <c r="E1807">
        <v>127</v>
      </c>
      <c r="F1807" s="1">
        <v>45723</v>
      </c>
      <c r="G1807" s="1">
        <v>45724</v>
      </c>
      <c r="H1807" t="s">
        <v>27</v>
      </c>
      <c r="I1807" t="s">
        <v>18</v>
      </c>
      <c r="J1807">
        <v>5</v>
      </c>
      <c r="K1807" t="s">
        <v>19</v>
      </c>
      <c r="L1807" t="s">
        <v>72</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x14ac:dyDescent="0.3">
      <c r="A1808" t="s">
        <v>1907</v>
      </c>
      <c r="B1808" t="s">
        <v>42</v>
      </c>
      <c r="C1808">
        <v>4</v>
      </c>
      <c r="D1808">
        <v>77.7</v>
      </c>
      <c r="E1808">
        <v>310.8</v>
      </c>
      <c r="F1808" s="1">
        <v>45724</v>
      </c>
      <c r="G1808" s="1">
        <v>45728</v>
      </c>
      <c r="H1808" t="s">
        <v>23</v>
      </c>
      <c r="I1808" t="s">
        <v>35</v>
      </c>
      <c r="J1808">
        <v>4</v>
      </c>
      <c r="K1808" t="s">
        <v>19</v>
      </c>
      <c r="L1808" t="s">
        <v>77</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x14ac:dyDescent="0.3">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x14ac:dyDescent="0.3">
      <c r="A1810" t="s">
        <v>1909</v>
      </c>
      <c r="B1810" t="s">
        <v>54</v>
      </c>
      <c r="C1810">
        <v>4</v>
      </c>
      <c r="D1810">
        <v>35.6</v>
      </c>
      <c r="E1810">
        <v>142.4</v>
      </c>
      <c r="F1810" s="1">
        <v>45724</v>
      </c>
      <c r="G1810" s="1">
        <v>45726</v>
      </c>
      <c r="H1810" t="s">
        <v>27</v>
      </c>
      <c r="I1810" t="s">
        <v>35</v>
      </c>
      <c r="J1810">
        <v>3</v>
      </c>
      <c r="K1810" t="s">
        <v>19</v>
      </c>
      <c r="L1810" t="s">
        <v>110</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x14ac:dyDescent="0.3">
      <c r="A1811" t="s">
        <v>1910</v>
      </c>
      <c r="B1811" t="s">
        <v>26</v>
      </c>
      <c r="C1811">
        <v>3</v>
      </c>
      <c r="D1811">
        <v>95</v>
      </c>
      <c r="E1811">
        <v>285</v>
      </c>
      <c r="F1811" s="1">
        <v>45724</v>
      </c>
      <c r="G1811" s="1">
        <v>45728</v>
      </c>
      <c r="H1811" t="s">
        <v>27</v>
      </c>
      <c r="I1811" t="s">
        <v>40</v>
      </c>
      <c r="J1811">
        <v>5</v>
      </c>
      <c r="K1811" t="s">
        <v>19</v>
      </c>
      <c r="L1811" t="s">
        <v>1911</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x14ac:dyDescent="0.3">
      <c r="A1812" t="s">
        <v>1912</v>
      </c>
      <c r="B1812" t="s">
        <v>26</v>
      </c>
      <c r="C1812">
        <v>4</v>
      </c>
      <c r="D1812">
        <v>172.1</v>
      </c>
      <c r="E1812">
        <v>688.4</v>
      </c>
      <c r="F1812" s="1">
        <v>45724</v>
      </c>
      <c r="G1812" s="1">
        <v>45728</v>
      </c>
      <c r="H1812" t="s">
        <v>89</v>
      </c>
      <c r="I1812" t="s">
        <v>40</v>
      </c>
      <c r="J1812">
        <v>5</v>
      </c>
      <c r="K1812" t="s">
        <v>19</v>
      </c>
      <c r="L1812" t="s">
        <v>115</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x14ac:dyDescent="0.3">
      <c r="A1813" t="s">
        <v>1913</v>
      </c>
      <c r="B1813" t="s">
        <v>26</v>
      </c>
      <c r="C1813">
        <v>2</v>
      </c>
      <c r="D1813">
        <v>233</v>
      </c>
      <c r="E1813">
        <v>466</v>
      </c>
      <c r="F1813" s="1">
        <v>45724</v>
      </c>
      <c r="G1813" s="1">
        <v>45727</v>
      </c>
      <c r="H1813" t="s">
        <v>27</v>
      </c>
      <c r="I1813" t="s">
        <v>35</v>
      </c>
      <c r="J1813">
        <v>4</v>
      </c>
      <c r="K1813" t="s">
        <v>19</v>
      </c>
      <c r="L1813" t="s">
        <v>115</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x14ac:dyDescent="0.3">
      <c r="A1814" t="s">
        <v>1914</v>
      </c>
      <c r="B1814" t="s">
        <v>16</v>
      </c>
      <c r="C1814">
        <v>1</v>
      </c>
      <c r="D1814">
        <v>43.5</v>
      </c>
      <c r="E1814">
        <v>43.5</v>
      </c>
      <c r="F1814" s="1">
        <v>45724</v>
      </c>
      <c r="G1814" s="1">
        <v>45725</v>
      </c>
      <c r="H1814" t="s">
        <v>27</v>
      </c>
      <c r="I1814" t="s">
        <v>40</v>
      </c>
      <c r="J1814">
        <v>5</v>
      </c>
      <c r="K1814" t="s">
        <v>19</v>
      </c>
      <c r="L1814" t="s">
        <v>115</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x14ac:dyDescent="0.3">
      <c r="A1815" t="s">
        <v>1915</v>
      </c>
      <c r="B1815" t="s">
        <v>46</v>
      </c>
      <c r="C1815">
        <v>2</v>
      </c>
      <c r="D1815">
        <v>47.8</v>
      </c>
      <c r="E1815">
        <v>95.6</v>
      </c>
      <c r="F1815" s="1">
        <v>45724</v>
      </c>
      <c r="G1815" s="1">
        <v>45727</v>
      </c>
      <c r="H1815" t="s">
        <v>23</v>
      </c>
      <c r="I1815" t="s">
        <v>70</v>
      </c>
      <c r="J1815">
        <v>5</v>
      </c>
      <c r="K1815" t="s">
        <v>19</v>
      </c>
      <c r="L1815" t="s">
        <v>24</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x14ac:dyDescent="0.3">
      <c r="A1816" t="s">
        <v>1916</v>
      </c>
      <c r="B1816" t="s">
        <v>69</v>
      </c>
      <c r="C1816">
        <v>2</v>
      </c>
      <c r="D1816">
        <v>65.8</v>
      </c>
      <c r="E1816">
        <v>131.6</v>
      </c>
      <c r="F1816" s="1">
        <v>45724</v>
      </c>
      <c r="G1816" s="1">
        <v>45726</v>
      </c>
      <c r="H1816" t="s">
        <v>27</v>
      </c>
      <c r="I1816" t="s">
        <v>18</v>
      </c>
      <c r="J1816">
        <v>1</v>
      </c>
      <c r="K1816" t="s">
        <v>19</v>
      </c>
      <c r="L1816" t="s">
        <v>331</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x14ac:dyDescent="0.3">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x14ac:dyDescent="0.3">
      <c r="A1818" t="s">
        <v>1918</v>
      </c>
      <c r="B1818" t="s">
        <v>30</v>
      </c>
      <c r="C1818">
        <v>4</v>
      </c>
      <c r="D1818">
        <v>55.7</v>
      </c>
      <c r="E1818">
        <v>222.8</v>
      </c>
      <c r="F1818" s="1">
        <v>45724</v>
      </c>
      <c r="G1818" s="1">
        <v>45726</v>
      </c>
      <c r="H1818" t="s">
        <v>89</v>
      </c>
      <c r="I1818" t="s">
        <v>18</v>
      </c>
      <c r="J1818">
        <v>3</v>
      </c>
      <c r="K1818" t="s">
        <v>19</v>
      </c>
      <c r="L1818" t="s">
        <v>147</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x14ac:dyDescent="0.3">
      <c r="A1819" t="s">
        <v>1919</v>
      </c>
      <c r="B1819" t="s">
        <v>42</v>
      </c>
      <c r="C1819">
        <v>2</v>
      </c>
      <c r="D1819">
        <v>102.4</v>
      </c>
      <c r="E1819">
        <v>204.8</v>
      </c>
      <c r="F1819" s="1">
        <v>45724</v>
      </c>
      <c r="G1819" s="1">
        <v>45724</v>
      </c>
      <c r="H1819" t="s">
        <v>27</v>
      </c>
      <c r="I1819" t="s">
        <v>35</v>
      </c>
      <c r="J1819">
        <v>4</v>
      </c>
      <c r="K1819" t="s">
        <v>19</v>
      </c>
      <c r="L1819" t="s">
        <v>33</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x14ac:dyDescent="0.3">
      <c r="A1820" t="s">
        <v>1920</v>
      </c>
      <c r="B1820" t="s">
        <v>22</v>
      </c>
      <c r="C1820">
        <v>1</v>
      </c>
      <c r="D1820">
        <v>92</v>
      </c>
      <c r="E1820">
        <v>92</v>
      </c>
      <c r="F1820" s="1">
        <v>45724</v>
      </c>
      <c r="G1820" s="1">
        <v>45728</v>
      </c>
      <c r="H1820" t="s">
        <v>17</v>
      </c>
      <c r="I1820" t="s">
        <v>40</v>
      </c>
      <c r="J1820">
        <v>4</v>
      </c>
      <c r="K1820" t="s">
        <v>19</v>
      </c>
      <c r="L1820" t="s">
        <v>33</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x14ac:dyDescent="0.3">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x14ac:dyDescent="0.3">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x14ac:dyDescent="0.3">
      <c r="A1823" t="s">
        <v>1923</v>
      </c>
      <c r="B1823" t="s">
        <v>39</v>
      </c>
      <c r="C1823">
        <v>87</v>
      </c>
      <c r="D1823">
        <v>83.5</v>
      </c>
      <c r="E1823">
        <v>7264.5</v>
      </c>
      <c r="F1823" s="1">
        <v>45724</v>
      </c>
      <c r="G1823" s="1">
        <v>45726</v>
      </c>
      <c r="H1823" t="s">
        <v>17</v>
      </c>
      <c r="I1823" t="s">
        <v>51</v>
      </c>
      <c r="J1823">
        <v>4</v>
      </c>
      <c r="K1823" t="s">
        <v>19</v>
      </c>
      <c r="L1823" t="s">
        <v>33</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x14ac:dyDescent="0.3">
      <c r="A1824" t="s">
        <v>1924</v>
      </c>
      <c r="B1824" t="s">
        <v>171</v>
      </c>
      <c r="C1824">
        <v>12</v>
      </c>
      <c r="D1824">
        <v>52.4</v>
      </c>
      <c r="E1824">
        <v>628.79999999999995</v>
      </c>
      <c r="F1824" s="1">
        <v>45724</v>
      </c>
      <c r="G1824" s="1">
        <v>45724</v>
      </c>
      <c r="H1824" t="s">
        <v>23</v>
      </c>
      <c r="I1824" t="s">
        <v>40</v>
      </c>
      <c r="J1824">
        <v>4</v>
      </c>
      <c r="K1824" t="s">
        <v>19</v>
      </c>
      <c r="L1824" t="s">
        <v>33</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x14ac:dyDescent="0.3">
      <c r="A1825" t="s">
        <v>1925</v>
      </c>
      <c r="B1825" t="s">
        <v>69</v>
      </c>
      <c r="C1825">
        <v>3</v>
      </c>
      <c r="D1825">
        <v>69.5</v>
      </c>
      <c r="E1825">
        <v>208.5</v>
      </c>
      <c r="F1825" s="1">
        <v>45724</v>
      </c>
      <c r="G1825" s="1">
        <v>45725</v>
      </c>
      <c r="H1825" t="s">
        <v>89</v>
      </c>
      <c r="I1825" t="s">
        <v>70</v>
      </c>
      <c r="J1825">
        <v>4</v>
      </c>
      <c r="K1825" t="s">
        <v>19</v>
      </c>
      <c r="L1825" t="s">
        <v>33</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x14ac:dyDescent="0.3">
      <c r="A1826" t="s">
        <v>1926</v>
      </c>
      <c r="B1826" t="s">
        <v>16</v>
      </c>
      <c r="C1826">
        <v>1</v>
      </c>
      <c r="D1826">
        <v>15.5</v>
      </c>
      <c r="E1826">
        <v>15.5</v>
      </c>
      <c r="F1826" s="1">
        <v>45724</v>
      </c>
      <c r="G1826" s="1">
        <v>45726</v>
      </c>
      <c r="H1826" t="s">
        <v>23</v>
      </c>
      <c r="I1826" t="s">
        <v>18</v>
      </c>
      <c r="J1826">
        <v>4</v>
      </c>
      <c r="K1826" t="s">
        <v>19</v>
      </c>
      <c r="L1826" t="s">
        <v>33</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x14ac:dyDescent="0.3">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x14ac:dyDescent="0.3">
      <c r="A1828" t="s">
        <v>1928</v>
      </c>
      <c r="B1828" t="s">
        <v>44</v>
      </c>
      <c r="C1828">
        <v>6</v>
      </c>
      <c r="D1828">
        <v>34.6</v>
      </c>
      <c r="E1828">
        <v>207.60000000000002</v>
      </c>
      <c r="F1828" s="1">
        <v>45724</v>
      </c>
      <c r="G1828" s="1">
        <v>45725</v>
      </c>
      <c r="H1828" t="s">
        <v>17</v>
      </c>
      <c r="I1828" t="s">
        <v>18</v>
      </c>
      <c r="J1828">
        <v>3</v>
      </c>
      <c r="K1828" t="s">
        <v>19</v>
      </c>
      <c r="L1828" t="s">
        <v>33</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x14ac:dyDescent="0.3">
      <c r="A1829" t="s">
        <v>1929</v>
      </c>
      <c r="B1829" t="s">
        <v>32</v>
      </c>
      <c r="C1829">
        <v>1</v>
      </c>
      <c r="D1829">
        <v>21.3</v>
      </c>
      <c r="E1829">
        <v>21.3</v>
      </c>
      <c r="F1829" s="1">
        <v>45725</v>
      </c>
      <c r="G1829" s="1">
        <v>45726</v>
      </c>
      <c r="H1829" t="s">
        <v>23</v>
      </c>
      <c r="I1829" t="s">
        <v>40</v>
      </c>
      <c r="J1829">
        <v>3</v>
      </c>
      <c r="K1829" t="s">
        <v>19</v>
      </c>
      <c r="L1829" t="s">
        <v>33</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x14ac:dyDescent="0.3">
      <c r="A1830" t="s">
        <v>1930</v>
      </c>
      <c r="B1830" t="s">
        <v>39</v>
      </c>
      <c r="C1830">
        <v>2</v>
      </c>
      <c r="D1830">
        <v>136.5</v>
      </c>
      <c r="E1830">
        <v>273</v>
      </c>
      <c r="F1830" s="1">
        <v>45725</v>
      </c>
      <c r="G1830" s="1">
        <v>45731</v>
      </c>
      <c r="H1830" t="s">
        <v>27</v>
      </c>
      <c r="I1830" t="s">
        <v>18</v>
      </c>
      <c r="J1830">
        <v>4</v>
      </c>
      <c r="K1830" t="s">
        <v>19</v>
      </c>
      <c r="L1830" t="s">
        <v>364</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x14ac:dyDescent="0.3">
      <c r="A1831" t="s">
        <v>1931</v>
      </c>
      <c r="B1831" t="s">
        <v>46</v>
      </c>
      <c r="C1831">
        <v>7</v>
      </c>
      <c r="D1831">
        <v>30.7</v>
      </c>
      <c r="E1831">
        <v>214.9</v>
      </c>
      <c r="F1831" s="1">
        <v>45725</v>
      </c>
      <c r="G1831" s="1">
        <v>45726</v>
      </c>
      <c r="H1831" t="s">
        <v>23</v>
      </c>
      <c r="I1831" t="s">
        <v>40</v>
      </c>
      <c r="J1831">
        <v>5</v>
      </c>
      <c r="K1831" t="s">
        <v>19</v>
      </c>
      <c r="L1831" t="s">
        <v>188</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x14ac:dyDescent="0.3">
      <c r="A1832" t="s">
        <v>1932</v>
      </c>
      <c r="B1832" t="s">
        <v>22</v>
      </c>
      <c r="C1832">
        <v>2</v>
      </c>
      <c r="D1832">
        <v>61.6</v>
      </c>
      <c r="E1832">
        <v>123.2</v>
      </c>
      <c r="F1832" s="1">
        <v>45725</v>
      </c>
      <c r="G1832" s="1">
        <v>45726</v>
      </c>
      <c r="H1832" t="s">
        <v>27</v>
      </c>
      <c r="I1832" t="s">
        <v>40</v>
      </c>
      <c r="J1832">
        <v>5</v>
      </c>
      <c r="K1832" t="s">
        <v>19</v>
      </c>
      <c r="L1832" t="s">
        <v>158</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x14ac:dyDescent="0.3">
      <c r="A1833" t="s">
        <v>1933</v>
      </c>
      <c r="B1833" t="s">
        <v>39</v>
      </c>
      <c r="C1833">
        <v>4</v>
      </c>
      <c r="D1833">
        <v>54.3</v>
      </c>
      <c r="E1833">
        <v>217.2</v>
      </c>
      <c r="F1833" s="1">
        <v>45725</v>
      </c>
      <c r="G1833" s="1">
        <v>45727</v>
      </c>
      <c r="H1833" t="s">
        <v>17</v>
      </c>
      <c r="I1833" t="s">
        <v>70</v>
      </c>
      <c r="J1833">
        <v>4</v>
      </c>
      <c r="K1833" t="s">
        <v>19</v>
      </c>
      <c r="L1833" t="s">
        <v>59</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x14ac:dyDescent="0.3">
      <c r="A1834" t="s">
        <v>1934</v>
      </c>
      <c r="B1834" t="s">
        <v>22</v>
      </c>
      <c r="C1834">
        <v>2</v>
      </c>
      <c r="D1834">
        <v>44.1</v>
      </c>
      <c r="E1834">
        <v>88.2</v>
      </c>
      <c r="F1834" s="1">
        <v>45725</v>
      </c>
      <c r="G1834" s="1">
        <v>45737</v>
      </c>
      <c r="H1834" t="s">
        <v>27</v>
      </c>
      <c r="I1834" t="s">
        <v>18</v>
      </c>
      <c r="J1834">
        <v>5</v>
      </c>
      <c r="K1834" t="s">
        <v>19</v>
      </c>
      <c r="L1834" t="s">
        <v>62</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x14ac:dyDescent="0.3">
      <c r="A1835" t="s">
        <v>1935</v>
      </c>
      <c r="B1835" t="s">
        <v>44</v>
      </c>
      <c r="C1835">
        <v>4</v>
      </c>
      <c r="D1835">
        <v>43.5</v>
      </c>
      <c r="E1835">
        <v>174</v>
      </c>
      <c r="F1835" s="1">
        <v>45725</v>
      </c>
      <c r="G1835" s="1">
        <v>45731</v>
      </c>
      <c r="H1835" t="s">
        <v>23</v>
      </c>
      <c r="I1835" t="s">
        <v>51</v>
      </c>
      <c r="J1835">
        <v>4</v>
      </c>
      <c r="K1835" t="s">
        <v>19</v>
      </c>
      <c r="L1835" t="s">
        <v>62</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x14ac:dyDescent="0.3">
      <c r="A1836" t="s">
        <v>1936</v>
      </c>
      <c r="B1836" t="s">
        <v>44</v>
      </c>
      <c r="C1836">
        <v>3</v>
      </c>
      <c r="D1836">
        <v>48.2</v>
      </c>
      <c r="E1836">
        <v>144.60000000000002</v>
      </c>
      <c r="F1836" s="1">
        <v>45725</v>
      </c>
      <c r="G1836" s="1">
        <v>45729</v>
      </c>
      <c r="H1836" t="s">
        <v>23</v>
      </c>
      <c r="I1836" t="s">
        <v>51</v>
      </c>
      <c r="J1836">
        <v>3</v>
      </c>
      <c r="K1836" t="s">
        <v>19</v>
      </c>
      <c r="L1836" t="s">
        <v>62</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x14ac:dyDescent="0.3">
      <c r="A1837" t="s">
        <v>1937</v>
      </c>
      <c r="B1837" t="s">
        <v>171</v>
      </c>
      <c r="C1837">
        <v>1</v>
      </c>
      <c r="D1837">
        <v>13.7</v>
      </c>
      <c r="E1837">
        <v>13.7</v>
      </c>
      <c r="F1837" s="1">
        <v>45725</v>
      </c>
      <c r="G1837" s="1">
        <v>45726</v>
      </c>
      <c r="H1837" t="s">
        <v>27</v>
      </c>
      <c r="I1837" t="s">
        <v>40</v>
      </c>
      <c r="J1837">
        <v>5</v>
      </c>
      <c r="K1837" t="s">
        <v>19</v>
      </c>
      <c r="L1837" t="s">
        <v>62</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x14ac:dyDescent="0.3">
      <c r="A1838" t="s">
        <v>1938</v>
      </c>
      <c r="B1838" t="s">
        <v>26</v>
      </c>
      <c r="C1838">
        <v>2</v>
      </c>
      <c r="D1838">
        <v>110.5</v>
      </c>
      <c r="E1838">
        <v>221</v>
      </c>
      <c r="F1838" s="1">
        <v>45725</v>
      </c>
      <c r="G1838" s="1">
        <v>45726</v>
      </c>
      <c r="H1838" t="s">
        <v>27</v>
      </c>
      <c r="I1838" t="s">
        <v>18</v>
      </c>
      <c r="J1838">
        <v>3</v>
      </c>
      <c r="K1838" t="s">
        <v>19</v>
      </c>
      <c r="L1838" t="s">
        <v>62</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x14ac:dyDescent="0.3">
      <c r="A1839" t="s">
        <v>1939</v>
      </c>
      <c r="B1839" t="s">
        <v>44</v>
      </c>
      <c r="C1839">
        <v>3</v>
      </c>
      <c r="D1839">
        <v>26</v>
      </c>
      <c r="E1839">
        <v>78</v>
      </c>
      <c r="F1839" s="1">
        <v>45725</v>
      </c>
      <c r="G1839" s="1">
        <v>45730</v>
      </c>
      <c r="H1839" t="s">
        <v>27</v>
      </c>
      <c r="I1839" t="s">
        <v>35</v>
      </c>
      <c r="J1839">
        <v>3</v>
      </c>
      <c r="K1839" t="s">
        <v>19</v>
      </c>
      <c r="L1839" t="s">
        <v>62</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x14ac:dyDescent="0.3">
      <c r="A1840" t="s">
        <v>1940</v>
      </c>
      <c r="B1840" t="s">
        <v>26</v>
      </c>
      <c r="C1840">
        <v>10</v>
      </c>
      <c r="D1840">
        <v>140.69999999999999</v>
      </c>
      <c r="E1840">
        <v>1407</v>
      </c>
      <c r="F1840" s="1">
        <v>45725</v>
      </c>
      <c r="G1840" s="1">
        <v>45731</v>
      </c>
      <c r="H1840" t="s">
        <v>23</v>
      </c>
      <c r="I1840" t="s">
        <v>51</v>
      </c>
      <c r="J1840">
        <v>3</v>
      </c>
      <c r="K1840" t="s">
        <v>19</v>
      </c>
      <c r="L1840" t="s">
        <v>62</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x14ac:dyDescent="0.3">
      <c r="A1841" t="s">
        <v>1941</v>
      </c>
      <c r="B1841" t="s">
        <v>135</v>
      </c>
      <c r="C1841">
        <v>2</v>
      </c>
      <c r="D1841">
        <v>41.7</v>
      </c>
      <c r="E1841">
        <v>83.4</v>
      </c>
      <c r="F1841" s="1">
        <v>45725</v>
      </c>
      <c r="G1841" s="1">
        <v>45733</v>
      </c>
      <c r="H1841" t="s">
        <v>27</v>
      </c>
      <c r="I1841" t="s">
        <v>18</v>
      </c>
      <c r="J1841">
        <v>2</v>
      </c>
      <c r="K1841" t="s">
        <v>19</v>
      </c>
      <c r="L1841" t="s">
        <v>62</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x14ac:dyDescent="0.3">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x14ac:dyDescent="0.3">
      <c r="A1843" t="s">
        <v>1943</v>
      </c>
      <c r="B1843" t="s">
        <v>69</v>
      </c>
      <c r="C1843">
        <v>22</v>
      </c>
      <c r="D1843">
        <v>95.5</v>
      </c>
      <c r="E1843">
        <v>2101</v>
      </c>
      <c r="F1843" s="1">
        <v>45725</v>
      </c>
      <c r="G1843" s="1">
        <v>45726</v>
      </c>
      <c r="H1843" t="s">
        <v>27</v>
      </c>
      <c r="I1843" t="s">
        <v>70</v>
      </c>
      <c r="J1843">
        <v>2</v>
      </c>
      <c r="K1843" t="s">
        <v>19</v>
      </c>
      <c r="L1843" t="s">
        <v>201</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x14ac:dyDescent="0.3">
      <c r="A1844" t="s">
        <v>1944</v>
      </c>
      <c r="B1844" t="s">
        <v>123</v>
      </c>
      <c r="C1844">
        <v>1</v>
      </c>
      <c r="D1844">
        <v>25.5</v>
      </c>
      <c r="E1844">
        <v>25.5</v>
      </c>
      <c r="F1844" s="1">
        <v>45725</v>
      </c>
      <c r="G1844" s="1">
        <v>45728</v>
      </c>
      <c r="H1844" t="s">
        <v>17</v>
      </c>
      <c r="I1844" t="s">
        <v>40</v>
      </c>
      <c r="J1844">
        <v>5</v>
      </c>
      <c r="K1844" t="s">
        <v>19</v>
      </c>
      <c r="L1844" t="s">
        <v>77</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x14ac:dyDescent="0.3">
      <c r="A1845" t="s">
        <v>1945</v>
      </c>
      <c r="B1845" t="s">
        <v>22</v>
      </c>
      <c r="C1845">
        <v>1</v>
      </c>
      <c r="D1845">
        <v>42.6</v>
      </c>
      <c r="E1845">
        <v>42.6</v>
      </c>
      <c r="F1845" s="1">
        <v>45725</v>
      </c>
      <c r="G1845" s="1">
        <v>45729</v>
      </c>
      <c r="H1845" t="s">
        <v>27</v>
      </c>
      <c r="I1845" t="s">
        <v>18</v>
      </c>
      <c r="J1845">
        <v>4</v>
      </c>
      <c r="K1845" t="s">
        <v>19</v>
      </c>
      <c r="L1845" t="s">
        <v>77</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x14ac:dyDescent="0.3">
      <c r="A1846" t="s">
        <v>1946</v>
      </c>
      <c r="B1846" t="s">
        <v>44</v>
      </c>
      <c r="C1846">
        <v>15</v>
      </c>
      <c r="D1846">
        <v>32.4</v>
      </c>
      <c r="E1846">
        <v>486</v>
      </c>
      <c r="F1846" s="1">
        <v>45725</v>
      </c>
      <c r="G1846" s="1">
        <v>45726</v>
      </c>
      <c r="H1846" t="s">
        <v>23</v>
      </c>
      <c r="I1846" t="s">
        <v>35</v>
      </c>
      <c r="J1846">
        <v>3</v>
      </c>
      <c r="K1846" t="s">
        <v>19</v>
      </c>
      <c r="L1846" t="s">
        <v>77</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x14ac:dyDescent="0.3">
      <c r="A1847" t="s">
        <v>1947</v>
      </c>
      <c r="B1847" t="s">
        <v>32</v>
      </c>
      <c r="C1847">
        <v>4</v>
      </c>
      <c r="D1847">
        <v>20.2</v>
      </c>
      <c r="E1847">
        <v>80.8</v>
      </c>
      <c r="F1847" s="1">
        <v>45725</v>
      </c>
      <c r="G1847" s="1">
        <v>45726</v>
      </c>
      <c r="H1847" t="s">
        <v>89</v>
      </c>
      <c r="I1847" t="s">
        <v>40</v>
      </c>
      <c r="J1847">
        <v>4</v>
      </c>
      <c r="K1847" t="s">
        <v>19</v>
      </c>
      <c r="L1847" t="s">
        <v>77</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x14ac:dyDescent="0.3">
      <c r="A1848" t="s">
        <v>1948</v>
      </c>
      <c r="B1848" t="s">
        <v>128</v>
      </c>
      <c r="C1848">
        <v>3</v>
      </c>
      <c r="D1848">
        <v>52.5</v>
      </c>
      <c r="E1848">
        <v>157.5</v>
      </c>
      <c r="F1848" s="1">
        <v>45725</v>
      </c>
      <c r="G1848" s="1">
        <v>45730</v>
      </c>
      <c r="H1848" t="s">
        <v>27</v>
      </c>
      <c r="I1848" t="s">
        <v>70</v>
      </c>
      <c r="J1848">
        <v>4</v>
      </c>
      <c r="K1848" t="s">
        <v>19</v>
      </c>
      <c r="L1848" t="s">
        <v>108</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x14ac:dyDescent="0.3">
      <c r="A1849" t="s">
        <v>1949</v>
      </c>
      <c r="B1849" t="s">
        <v>26</v>
      </c>
      <c r="C1849">
        <v>5</v>
      </c>
      <c r="D1849">
        <v>59.9</v>
      </c>
      <c r="E1849">
        <v>299.5</v>
      </c>
      <c r="F1849" s="1">
        <v>45725</v>
      </c>
      <c r="G1849" s="1">
        <v>45727</v>
      </c>
      <c r="H1849" t="s">
        <v>27</v>
      </c>
      <c r="I1849" t="s">
        <v>40</v>
      </c>
      <c r="J1849">
        <v>4</v>
      </c>
      <c r="K1849" t="s">
        <v>19</v>
      </c>
      <c r="L1849" t="s">
        <v>110</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x14ac:dyDescent="0.3">
      <c r="A1850" t="s">
        <v>1950</v>
      </c>
      <c r="B1850" t="s">
        <v>32</v>
      </c>
      <c r="C1850">
        <v>2</v>
      </c>
      <c r="D1850">
        <v>53.2</v>
      </c>
      <c r="E1850">
        <v>106.4</v>
      </c>
      <c r="F1850" s="1">
        <v>45725</v>
      </c>
      <c r="G1850" s="1">
        <v>45726</v>
      </c>
      <c r="H1850" t="s">
        <v>27</v>
      </c>
      <c r="I1850" t="s">
        <v>35</v>
      </c>
      <c r="J1850">
        <v>1</v>
      </c>
      <c r="K1850" t="s">
        <v>19</v>
      </c>
      <c r="L1850" t="s">
        <v>113</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x14ac:dyDescent="0.3">
      <c r="A1851" t="s">
        <v>1951</v>
      </c>
      <c r="B1851" t="s">
        <v>26</v>
      </c>
      <c r="C1851">
        <v>2</v>
      </c>
      <c r="D1851">
        <v>60</v>
      </c>
      <c r="E1851">
        <v>120</v>
      </c>
      <c r="F1851" s="1">
        <v>45725</v>
      </c>
      <c r="G1851" s="1">
        <v>45731</v>
      </c>
      <c r="H1851" t="s">
        <v>23</v>
      </c>
      <c r="I1851" t="s">
        <v>35</v>
      </c>
      <c r="J1851">
        <v>5</v>
      </c>
      <c r="K1851" t="s">
        <v>19</v>
      </c>
      <c r="L1851" t="s">
        <v>113</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x14ac:dyDescent="0.3">
      <c r="A1852" t="s">
        <v>1952</v>
      </c>
      <c r="B1852" t="s">
        <v>44</v>
      </c>
      <c r="C1852">
        <v>3</v>
      </c>
      <c r="D1852">
        <v>29.3</v>
      </c>
      <c r="E1852">
        <v>87.9</v>
      </c>
      <c r="F1852" s="1">
        <v>45725</v>
      </c>
      <c r="G1852" s="1">
        <v>45726</v>
      </c>
      <c r="H1852" t="s">
        <v>27</v>
      </c>
      <c r="I1852" t="s">
        <v>70</v>
      </c>
      <c r="J1852">
        <v>4</v>
      </c>
      <c r="K1852" t="s">
        <v>19</v>
      </c>
      <c r="L1852" t="s">
        <v>82</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x14ac:dyDescent="0.3">
      <c r="A1853" t="s">
        <v>1953</v>
      </c>
      <c r="B1853" t="s">
        <v>69</v>
      </c>
      <c r="C1853">
        <v>2</v>
      </c>
      <c r="D1853">
        <v>55.4</v>
      </c>
      <c r="E1853">
        <v>110.8</v>
      </c>
      <c r="F1853" s="1">
        <v>45725</v>
      </c>
      <c r="G1853" s="1">
        <v>45726</v>
      </c>
      <c r="H1853" t="s">
        <v>27</v>
      </c>
      <c r="I1853" t="s">
        <v>18</v>
      </c>
      <c r="J1853">
        <v>5</v>
      </c>
      <c r="K1853" t="s">
        <v>19</v>
      </c>
      <c r="L1853" t="s">
        <v>115</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x14ac:dyDescent="0.3">
      <c r="A1854" t="s">
        <v>1954</v>
      </c>
      <c r="B1854" t="s">
        <v>16</v>
      </c>
      <c r="C1854">
        <v>5</v>
      </c>
      <c r="D1854">
        <v>20.100000000000001</v>
      </c>
      <c r="E1854">
        <v>100.5</v>
      </c>
      <c r="F1854" s="1">
        <v>45725</v>
      </c>
      <c r="G1854" s="1">
        <v>45727</v>
      </c>
      <c r="H1854" t="s">
        <v>27</v>
      </c>
      <c r="I1854" t="s">
        <v>35</v>
      </c>
      <c r="J1854">
        <v>5</v>
      </c>
      <c r="K1854" t="s">
        <v>19</v>
      </c>
      <c r="L1854" t="s">
        <v>115</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x14ac:dyDescent="0.3">
      <c r="A1855" t="s">
        <v>1955</v>
      </c>
      <c r="B1855" t="s">
        <v>81</v>
      </c>
      <c r="C1855">
        <v>5</v>
      </c>
      <c r="D1855">
        <v>24</v>
      </c>
      <c r="E1855">
        <v>120</v>
      </c>
      <c r="F1855" s="1">
        <v>45725</v>
      </c>
      <c r="G1855" s="1">
        <v>45728</v>
      </c>
      <c r="H1855" t="s">
        <v>23</v>
      </c>
      <c r="I1855" t="s">
        <v>40</v>
      </c>
      <c r="J1855">
        <v>4</v>
      </c>
      <c r="K1855" t="s">
        <v>19</v>
      </c>
      <c r="L1855" t="s">
        <v>24</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x14ac:dyDescent="0.3">
      <c r="A1856" t="s">
        <v>1956</v>
      </c>
      <c r="B1856" t="s">
        <v>44</v>
      </c>
      <c r="C1856">
        <v>2</v>
      </c>
      <c r="D1856">
        <v>30.6</v>
      </c>
      <c r="E1856">
        <v>61.2</v>
      </c>
      <c r="F1856" s="1">
        <v>45726</v>
      </c>
      <c r="G1856" s="1">
        <v>45728</v>
      </c>
      <c r="H1856" t="s">
        <v>27</v>
      </c>
      <c r="I1856" t="s">
        <v>18</v>
      </c>
      <c r="J1856">
        <v>4</v>
      </c>
      <c r="K1856" t="s">
        <v>19</v>
      </c>
      <c r="L1856" t="s">
        <v>24</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x14ac:dyDescent="0.3">
      <c r="A1857" t="s">
        <v>1957</v>
      </c>
      <c r="B1857" t="s">
        <v>54</v>
      </c>
      <c r="C1857">
        <v>5</v>
      </c>
      <c r="D1857">
        <v>33</v>
      </c>
      <c r="E1857">
        <v>165</v>
      </c>
      <c r="F1857" s="1">
        <v>45726</v>
      </c>
      <c r="G1857" s="1">
        <v>45727</v>
      </c>
      <c r="H1857" t="s">
        <v>23</v>
      </c>
      <c r="I1857" t="s">
        <v>35</v>
      </c>
      <c r="J1857">
        <v>3</v>
      </c>
      <c r="K1857" t="s">
        <v>19</v>
      </c>
      <c r="L1857" t="s">
        <v>208</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x14ac:dyDescent="0.3">
      <c r="A1858" t="s">
        <v>1958</v>
      </c>
      <c r="B1858" t="s">
        <v>135</v>
      </c>
      <c r="C1858">
        <v>9</v>
      </c>
      <c r="D1858">
        <v>42.1</v>
      </c>
      <c r="E1858">
        <v>378.90000000000003</v>
      </c>
      <c r="F1858" s="1">
        <v>45726</v>
      </c>
      <c r="G1858" s="1">
        <v>45732</v>
      </c>
      <c r="H1858" t="s">
        <v>27</v>
      </c>
      <c r="I1858" t="s">
        <v>40</v>
      </c>
      <c r="J1858">
        <v>4</v>
      </c>
      <c r="K1858" t="s">
        <v>19</v>
      </c>
      <c r="L1858" t="s">
        <v>587</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x14ac:dyDescent="0.3">
      <c r="A1859" t="s">
        <v>1959</v>
      </c>
      <c r="B1859" t="s">
        <v>39</v>
      </c>
      <c r="C1859">
        <v>7</v>
      </c>
      <c r="D1859">
        <v>77.7</v>
      </c>
      <c r="E1859">
        <v>543.9</v>
      </c>
      <c r="F1859" s="1">
        <v>45726</v>
      </c>
      <c r="G1859" s="1">
        <v>45731</v>
      </c>
      <c r="H1859" t="s">
        <v>27</v>
      </c>
      <c r="I1859" t="s">
        <v>35</v>
      </c>
      <c r="J1859">
        <v>5</v>
      </c>
      <c r="K1859" t="s">
        <v>19</v>
      </c>
      <c r="L1859" t="s">
        <v>949</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x14ac:dyDescent="0.3">
      <c r="A1860" t="s">
        <v>1960</v>
      </c>
      <c r="B1860" t="s">
        <v>135</v>
      </c>
      <c r="C1860">
        <v>6</v>
      </c>
      <c r="D1860">
        <v>22.7</v>
      </c>
      <c r="E1860">
        <v>136.19999999999999</v>
      </c>
      <c r="F1860" s="1">
        <v>45726</v>
      </c>
      <c r="G1860" s="1">
        <v>45729</v>
      </c>
      <c r="H1860" t="s">
        <v>27</v>
      </c>
      <c r="I1860" t="s">
        <v>40</v>
      </c>
      <c r="J1860">
        <v>4</v>
      </c>
      <c r="K1860" t="s">
        <v>19</v>
      </c>
      <c r="L1860" t="s">
        <v>33</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x14ac:dyDescent="0.3">
      <c r="A1861" t="s">
        <v>1961</v>
      </c>
      <c r="B1861" t="s">
        <v>26</v>
      </c>
      <c r="C1861">
        <v>2</v>
      </c>
      <c r="D1861">
        <v>133</v>
      </c>
      <c r="E1861">
        <v>266</v>
      </c>
      <c r="F1861" s="1">
        <v>45726</v>
      </c>
      <c r="G1861" s="1">
        <v>45726</v>
      </c>
      <c r="H1861" t="s">
        <v>23</v>
      </c>
      <c r="I1861" t="s">
        <v>40</v>
      </c>
      <c r="J1861">
        <v>5</v>
      </c>
      <c r="K1861" t="s">
        <v>19</v>
      </c>
      <c r="L1861" t="s">
        <v>33</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x14ac:dyDescent="0.3">
      <c r="A1862" t="s">
        <v>1962</v>
      </c>
      <c r="B1862" t="s">
        <v>16</v>
      </c>
      <c r="C1862">
        <v>2</v>
      </c>
      <c r="D1862">
        <v>23.3</v>
      </c>
      <c r="E1862">
        <v>46.6</v>
      </c>
      <c r="F1862" s="1">
        <v>45726</v>
      </c>
      <c r="G1862" s="1">
        <v>45727</v>
      </c>
      <c r="H1862" t="s">
        <v>23</v>
      </c>
      <c r="I1862" t="s">
        <v>35</v>
      </c>
      <c r="J1862">
        <v>5</v>
      </c>
      <c r="K1862" t="s">
        <v>19</v>
      </c>
      <c r="L1862" t="s">
        <v>33</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x14ac:dyDescent="0.3">
      <c r="A1863" t="s">
        <v>1963</v>
      </c>
      <c r="B1863" t="s">
        <v>44</v>
      </c>
      <c r="C1863">
        <v>3</v>
      </c>
      <c r="D1863">
        <v>20.7</v>
      </c>
      <c r="E1863">
        <v>62.099999999999994</v>
      </c>
      <c r="F1863" s="1">
        <v>45726</v>
      </c>
      <c r="G1863" s="1">
        <v>45728</v>
      </c>
      <c r="H1863" t="s">
        <v>89</v>
      </c>
      <c r="I1863" t="s">
        <v>18</v>
      </c>
      <c r="J1863">
        <v>5</v>
      </c>
      <c r="K1863" t="s">
        <v>19</v>
      </c>
      <c r="L1863" t="s">
        <v>33</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x14ac:dyDescent="0.3">
      <c r="A1864" t="s">
        <v>1964</v>
      </c>
      <c r="B1864" t="s">
        <v>69</v>
      </c>
      <c r="C1864">
        <v>2</v>
      </c>
      <c r="D1864">
        <v>47</v>
      </c>
      <c r="E1864">
        <v>94</v>
      </c>
      <c r="F1864" s="1">
        <v>45726</v>
      </c>
      <c r="G1864" s="1">
        <v>45727</v>
      </c>
      <c r="H1864" t="s">
        <v>23</v>
      </c>
      <c r="I1864" t="s">
        <v>35</v>
      </c>
      <c r="J1864">
        <v>5</v>
      </c>
      <c r="K1864" t="s">
        <v>19</v>
      </c>
      <c r="L1864" t="s">
        <v>33</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x14ac:dyDescent="0.3">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x14ac:dyDescent="0.3">
      <c r="A1866" t="s">
        <v>1966</v>
      </c>
      <c r="B1866" t="s">
        <v>46</v>
      </c>
      <c r="C1866">
        <v>1</v>
      </c>
      <c r="D1866">
        <v>39.1</v>
      </c>
      <c r="E1866">
        <v>39.1</v>
      </c>
      <c r="F1866" s="1">
        <v>45726</v>
      </c>
      <c r="G1866" s="1">
        <v>45728</v>
      </c>
      <c r="H1866" t="s">
        <v>27</v>
      </c>
      <c r="I1866" t="s">
        <v>18</v>
      </c>
      <c r="J1866">
        <v>4</v>
      </c>
      <c r="K1866" t="s">
        <v>19</v>
      </c>
      <c r="L1866" t="s">
        <v>33</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x14ac:dyDescent="0.3">
      <c r="A1867" t="s">
        <v>1967</v>
      </c>
      <c r="B1867" t="s">
        <v>42</v>
      </c>
      <c r="C1867">
        <v>25</v>
      </c>
      <c r="D1867">
        <v>55.6</v>
      </c>
      <c r="E1867">
        <v>1390</v>
      </c>
      <c r="F1867" s="1">
        <v>45726</v>
      </c>
      <c r="G1867" s="1">
        <v>45728</v>
      </c>
      <c r="H1867" t="s">
        <v>23</v>
      </c>
      <c r="I1867" t="s">
        <v>18</v>
      </c>
      <c r="J1867">
        <v>5</v>
      </c>
      <c r="K1867" t="s">
        <v>19</v>
      </c>
      <c r="L1867" t="s">
        <v>33</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x14ac:dyDescent="0.3">
      <c r="A1868" t="s">
        <v>1968</v>
      </c>
      <c r="B1868" t="s">
        <v>123</v>
      </c>
      <c r="C1868">
        <v>1</v>
      </c>
      <c r="D1868">
        <v>43.1</v>
      </c>
      <c r="E1868">
        <v>43.1</v>
      </c>
      <c r="F1868" s="1">
        <v>45726</v>
      </c>
      <c r="G1868" s="1">
        <v>45726</v>
      </c>
      <c r="H1868" t="s">
        <v>89</v>
      </c>
      <c r="I1868" t="s">
        <v>35</v>
      </c>
      <c r="J1868">
        <v>5</v>
      </c>
      <c r="K1868" t="s">
        <v>19</v>
      </c>
      <c r="L1868" t="s">
        <v>33</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x14ac:dyDescent="0.3">
      <c r="A1869" t="s">
        <v>1969</v>
      </c>
      <c r="B1869" t="s">
        <v>39</v>
      </c>
      <c r="C1869">
        <v>4</v>
      </c>
      <c r="D1869">
        <v>48.1</v>
      </c>
      <c r="E1869">
        <v>192.4</v>
      </c>
      <c r="F1869" s="1">
        <v>45726</v>
      </c>
      <c r="G1869" s="1">
        <v>45727</v>
      </c>
      <c r="H1869" t="s">
        <v>27</v>
      </c>
      <c r="I1869" t="s">
        <v>70</v>
      </c>
      <c r="J1869">
        <v>5</v>
      </c>
      <c r="K1869" t="s">
        <v>19</v>
      </c>
      <c r="L1869" t="s">
        <v>33</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x14ac:dyDescent="0.3">
      <c r="A1870" t="s">
        <v>1970</v>
      </c>
      <c r="B1870" t="s">
        <v>32</v>
      </c>
      <c r="C1870">
        <v>1</v>
      </c>
      <c r="D1870">
        <v>42</v>
      </c>
      <c r="E1870">
        <v>42</v>
      </c>
      <c r="F1870" s="1">
        <v>45726</v>
      </c>
      <c r="G1870" s="1">
        <v>45727</v>
      </c>
      <c r="H1870" t="s">
        <v>89</v>
      </c>
      <c r="I1870" t="s">
        <v>18</v>
      </c>
      <c r="J1870">
        <v>4</v>
      </c>
      <c r="K1870" t="s">
        <v>19</v>
      </c>
      <c r="L1870" t="s">
        <v>33</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x14ac:dyDescent="0.3">
      <c r="A1871" t="s">
        <v>1971</v>
      </c>
      <c r="B1871" t="s">
        <v>44</v>
      </c>
      <c r="C1871">
        <v>5</v>
      </c>
      <c r="D1871">
        <v>18.3</v>
      </c>
      <c r="E1871">
        <v>91.5</v>
      </c>
      <c r="F1871" s="1">
        <v>45726</v>
      </c>
      <c r="G1871" s="1">
        <v>45726</v>
      </c>
      <c r="H1871" t="s">
        <v>27</v>
      </c>
      <c r="I1871" t="s">
        <v>40</v>
      </c>
      <c r="J1871">
        <v>4</v>
      </c>
      <c r="K1871" t="s">
        <v>19</v>
      </c>
      <c r="L1871" t="s">
        <v>33</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x14ac:dyDescent="0.3">
      <c r="A1872" t="s">
        <v>1972</v>
      </c>
      <c r="B1872" t="s">
        <v>54</v>
      </c>
      <c r="C1872">
        <v>4</v>
      </c>
      <c r="D1872">
        <v>45.3</v>
      </c>
      <c r="E1872">
        <v>181.2</v>
      </c>
      <c r="F1872" s="1">
        <v>45726</v>
      </c>
      <c r="G1872" s="1">
        <v>45729</v>
      </c>
      <c r="H1872" t="s">
        <v>27</v>
      </c>
      <c r="I1872" t="s">
        <v>18</v>
      </c>
      <c r="J1872">
        <v>5</v>
      </c>
      <c r="K1872" t="s">
        <v>19</v>
      </c>
      <c r="L1872" t="s">
        <v>33</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x14ac:dyDescent="0.3">
      <c r="A1873" t="s">
        <v>1973</v>
      </c>
      <c r="B1873" t="s">
        <v>16</v>
      </c>
      <c r="C1873">
        <v>2</v>
      </c>
      <c r="D1873">
        <v>27.6</v>
      </c>
      <c r="E1873">
        <v>55.2</v>
      </c>
      <c r="F1873" s="1">
        <v>45726</v>
      </c>
      <c r="G1873" s="1">
        <v>45728</v>
      </c>
      <c r="H1873" t="s">
        <v>23</v>
      </c>
      <c r="I1873" t="s">
        <v>18</v>
      </c>
      <c r="J1873">
        <v>5</v>
      </c>
      <c r="K1873" t="s">
        <v>19</v>
      </c>
      <c r="L1873" t="s">
        <v>364</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x14ac:dyDescent="0.3">
      <c r="A1874" t="s">
        <v>1974</v>
      </c>
      <c r="B1874" t="s">
        <v>32</v>
      </c>
      <c r="C1874">
        <v>5</v>
      </c>
      <c r="D1874">
        <v>26.9</v>
      </c>
      <c r="E1874">
        <v>134.5</v>
      </c>
      <c r="F1874" s="1">
        <v>45726</v>
      </c>
      <c r="G1874" s="1">
        <v>45727</v>
      </c>
      <c r="H1874" t="s">
        <v>27</v>
      </c>
      <c r="I1874" t="s">
        <v>40</v>
      </c>
      <c r="J1874">
        <v>4</v>
      </c>
      <c r="K1874" t="s">
        <v>19</v>
      </c>
      <c r="L1874" t="s">
        <v>188</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x14ac:dyDescent="0.3">
      <c r="A1875" t="s">
        <v>1975</v>
      </c>
      <c r="B1875" t="s">
        <v>26</v>
      </c>
      <c r="C1875">
        <v>9</v>
      </c>
      <c r="D1875">
        <v>82.4</v>
      </c>
      <c r="E1875">
        <v>741.6</v>
      </c>
      <c r="F1875" s="1">
        <v>45726</v>
      </c>
      <c r="G1875" s="1">
        <v>45728</v>
      </c>
      <c r="H1875" t="s">
        <v>89</v>
      </c>
      <c r="I1875" t="s">
        <v>40</v>
      </c>
      <c r="J1875">
        <v>4</v>
      </c>
      <c r="K1875" t="s">
        <v>19</v>
      </c>
      <c r="L1875" t="s">
        <v>52</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x14ac:dyDescent="0.3">
      <c r="A1876" t="s">
        <v>1976</v>
      </c>
      <c r="B1876" t="s">
        <v>39</v>
      </c>
      <c r="C1876">
        <v>1</v>
      </c>
      <c r="D1876">
        <v>103.7</v>
      </c>
      <c r="E1876">
        <v>103.7</v>
      </c>
      <c r="F1876" s="1">
        <v>45726</v>
      </c>
      <c r="G1876" s="1">
        <v>45728</v>
      </c>
      <c r="H1876" t="s">
        <v>27</v>
      </c>
      <c r="I1876" t="s">
        <v>35</v>
      </c>
      <c r="J1876">
        <v>4</v>
      </c>
      <c r="K1876" t="s">
        <v>19</v>
      </c>
      <c r="L1876" t="s">
        <v>52</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x14ac:dyDescent="0.3">
      <c r="A1877" t="s">
        <v>1977</v>
      </c>
      <c r="B1877" t="s">
        <v>26</v>
      </c>
      <c r="C1877">
        <v>2</v>
      </c>
      <c r="D1877">
        <v>58.8</v>
      </c>
      <c r="E1877">
        <v>117.6</v>
      </c>
      <c r="F1877" s="1">
        <v>45726</v>
      </c>
      <c r="G1877" s="1">
        <v>45731</v>
      </c>
      <c r="H1877" t="s">
        <v>27</v>
      </c>
      <c r="I1877" t="s">
        <v>35</v>
      </c>
      <c r="J1877">
        <v>5</v>
      </c>
      <c r="K1877" t="s">
        <v>19</v>
      </c>
      <c r="L1877" t="s">
        <v>55</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x14ac:dyDescent="0.3">
      <c r="A1878" t="s">
        <v>1978</v>
      </c>
      <c r="B1878" t="s">
        <v>76</v>
      </c>
      <c r="C1878">
        <v>1</v>
      </c>
      <c r="D1878">
        <v>31.5</v>
      </c>
      <c r="E1878">
        <v>31.5</v>
      </c>
      <c r="F1878" s="1">
        <v>45726</v>
      </c>
      <c r="G1878" s="1">
        <v>45727</v>
      </c>
      <c r="H1878" t="s">
        <v>27</v>
      </c>
      <c r="I1878" t="s">
        <v>35</v>
      </c>
      <c r="J1878">
        <v>3</v>
      </c>
      <c r="K1878" t="s">
        <v>19</v>
      </c>
      <c r="L1878" t="s">
        <v>55</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x14ac:dyDescent="0.3">
      <c r="A1879" t="s">
        <v>1979</v>
      </c>
      <c r="B1879" t="s">
        <v>42</v>
      </c>
      <c r="C1879">
        <v>5</v>
      </c>
      <c r="D1879">
        <v>36.799999999999997</v>
      </c>
      <c r="E1879">
        <v>184</v>
      </c>
      <c r="F1879" s="1">
        <v>45726</v>
      </c>
      <c r="G1879" s="1">
        <v>45728</v>
      </c>
      <c r="H1879" t="s">
        <v>27</v>
      </c>
      <c r="I1879" t="s">
        <v>18</v>
      </c>
      <c r="J1879">
        <v>4</v>
      </c>
      <c r="K1879" t="s">
        <v>19</v>
      </c>
      <c r="L1879" t="s">
        <v>62</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x14ac:dyDescent="0.3">
      <c r="A1880" t="s">
        <v>1980</v>
      </c>
      <c r="B1880" t="s">
        <v>30</v>
      </c>
      <c r="C1880">
        <v>1</v>
      </c>
      <c r="D1880">
        <v>84.4</v>
      </c>
      <c r="E1880">
        <v>84.4</v>
      </c>
      <c r="F1880" s="1">
        <v>45726</v>
      </c>
      <c r="G1880" s="1">
        <v>45727</v>
      </c>
      <c r="H1880" t="s">
        <v>27</v>
      </c>
      <c r="I1880" t="s">
        <v>18</v>
      </c>
      <c r="J1880">
        <v>4</v>
      </c>
      <c r="K1880" t="s">
        <v>19</v>
      </c>
      <c r="L1880" t="s">
        <v>62</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x14ac:dyDescent="0.3">
      <c r="A1881" t="s">
        <v>1981</v>
      </c>
      <c r="B1881" t="s">
        <v>81</v>
      </c>
      <c r="C1881">
        <v>1</v>
      </c>
      <c r="D1881">
        <v>44.7</v>
      </c>
      <c r="E1881">
        <v>44.7</v>
      </c>
      <c r="F1881" s="1">
        <v>45726</v>
      </c>
      <c r="G1881" s="1">
        <v>45727</v>
      </c>
      <c r="H1881" t="s">
        <v>23</v>
      </c>
      <c r="I1881" t="s">
        <v>18</v>
      </c>
      <c r="J1881">
        <v>3</v>
      </c>
      <c r="K1881" t="s">
        <v>19</v>
      </c>
      <c r="L1881" t="s">
        <v>62</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x14ac:dyDescent="0.3">
      <c r="A1882" t="s">
        <v>1982</v>
      </c>
      <c r="B1882" t="s">
        <v>46</v>
      </c>
      <c r="C1882">
        <v>8</v>
      </c>
      <c r="D1882">
        <v>39.4</v>
      </c>
      <c r="E1882">
        <v>315.2</v>
      </c>
      <c r="F1882" s="1">
        <v>45726</v>
      </c>
      <c r="G1882" s="1">
        <v>45727</v>
      </c>
      <c r="H1882" t="s">
        <v>27</v>
      </c>
      <c r="I1882" t="s">
        <v>35</v>
      </c>
      <c r="J1882">
        <v>5</v>
      </c>
      <c r="K1882" t="s">
        <v>19</v>
      </c>
      <c r="L1882" t="s">
        <v>62</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x14ac:dyDescent="0.3">
      <c r="A1883" t="s">
        <v>1983</v>
      </c>
      <c r="B1883" t="s">
        <v>67</v>
      </c>
      <c r="C1883">
        <v>4</v>
      </c>
      <c r="D1883">
        <v>34.9</v>
      </c>
      <c r="E1883">
        <v>139.6</v>
      </c>
      <c r="F1883" s="1">
        <v>45726</v>
      </c>
      <c r="G1883" s="1">
        <v>45728</v>
      </c>
      <c r="H1883" t="s">
        <v>27</v>
      </c>
      <c r="I1883" t="s">
        <v>18</v>
      </c>
      <c r="J1883">
        <v>5</v>
      </c>
      <c r="K1883" t="s">
        <v>19</v>
      </c>
      <c r="L1883" t="s">
        <v>62</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x14ac:dyDescent="0.3">
      <c r="A1884" t="s">
        <v>1984</v>
      </c>
      <c r="B1884" t="s">
        <v>22</v>
      </c>
      <c r="C1884">
        <v>3</v>
      </c>
      <c r="D1884">
        <v>62.3</v>
      </c>
      <c r="E1884">
        <v>186.89999999999998</v>
      </c>
      <c r="F1884" s="1">
        <v>45726</v>
      </c>
      <c r="G1884" s="1">
        <v>45728</v>
      </c>
      <c r="H1884" t="s">
        <v>23</v>
      </c>
      <c r="I1884" t="s">
        <v>70</v>
      </c>
      <c r="J1884">
        <v>5</v>
      </c>
      <c r="K1884" t="s">
        <v>19</v>
      </c>
      <c r="L1884" t="s">
        <v>62</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x14ac:dyDescent="0.3">
      <c r="A1885" t="s">
        <v>1985</v>
      </c>
      <c r="B1885" t="s">
        <v>44</v>
      </c>
      <c r="C1885">
        <v>4</v>
      </c>
      <c r="D1885">
        <v>21.1</v>
      </c>
      <c r="E1885">
        <v>84.4</v>
      </c>
      <c r="F1885" s="1">
        <v>45726</v>
      </c>
      <c r="G1885" s="1">
        <v>45729</v>
      </c>
      <c r="H1885" t="s">
        <v>23</v>
      </c>
      <c r="I1885" t="s">
        <v>51</v>
      </c>
      <c r="J1885">
        <v>4</v>
      </c>
      <c r="K1885" t="s">
        <v>19</v>
      </c>
      <c r="L1885" t="s">
        <v>62</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x14ac:dyDescent="0.3">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x14ac:dyDescent="0.3">
      <c r="A1887" t="s">
        <v>1987</v>
      </c>
      <c r="B1887" t="s">
        <v>22</v>
      </c>
      <c r="C1887">
        <v>4</v>
      </c>
      <c r="D1887">
        <v>74.5</v>
      </c>
      <c r="E1887">
        <v>298</v>
      </c>
      <c r="F1887" s="1">
        <v>45726</v>
      </c>
      <c r="G1887" s="1">
        <v>45727</v>
      </c>
      <c r="H1887" t="s">
        <v>23</v>
      </c>
      <c r="I1887" t="s">
        <v>70</v>
      </c>
      <c r="J1887">
        <v>4</v>
      </c>
      <c r="K1887" t="s">
        <v>19</v>
      </c>
      <c r="L1887" t="s">
        <v>62</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x14ac:dyDescent="0.3">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x14ac:dyDescent="0.3">
      <c r="A1889" t="s">
        <v>1989</v>
      </c>
      <c r="B1889" t="s">
        <v>37</v>
      </c>
      <c r="C1889">
        <v>14</v>
      </c>
      <c r="D1889">
        <v>36.4</v>
      </c>
      <c r="E1889">
        <v>509.59999999999997</v>
      </c>
      <c r="F1889" s="1">
        <v>45726</v>
      </c>
      <c r="G1889" s="1">
        <v>45728</v>
      </c>
      <c r="H1889" t="s">
        <v>27</v>
      </c>
      <c r="I1889" t="s">
        <v>18</v>
      </c>
      <c r="J1889">
        <v>3</v>
      </c>
      <c r="K1889" t="s">
        <v>19</v>
      </c>
      <c r="L1889" t="s">
        <v>72</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x14ac:dyDescent="0.3">
      <c r="A1890" t="s">
        <v>1990</v>
      </c>
      <c r="B1890" t="s">
        <v>128</v>
      </c>
      <c r="C1890">
        <v>5</v>
      </c>
      <c r="D1890">
        <v>67.599999999999994</v>
      </c>
      <c r="E1890">
        <v>338</v>
      </c>
      <c r="F1890" s="1">
        <v>45727</v>
      </c>
      <c r="G1890" s="1">
        <v>45730</v>
      </c>
      <c r="H1890" t="s">
        <v>27</v>
      </c>
      <c r="I1890" t="s">
        <v>70</v>
      </c>
      <c r="J1890">
        <v>3</v>
      </c>
      <c r="K1890" t="s">
        <v>19</v>
      </c>
      <c r="L1890" t="s">
        <v>72</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x14ac:dyDescent="0.3">
      <c r="A1891" t="s">
        <v>1991</v>
      </c>
      <c r="B1891" t="s">
        <v>123</v>
      </c>
      <c r="C1891">
        <v>1</v>
      </c>
      <c r="D1891">
        <v>46.3</v>
      </c>
      <c r="E1891">
        <v>46.3</v>
      </c>
      <c r="F1891" s="1">
        <v>45727</v>
      </c>
      <c r="G1891" s="1">
        <v>45728</v>
      </c>
      <c r="H1891" t="s">
        <v>23</v>
      </c>
      <c r="I1891" t="s">
        <v>40</v>
      </c>
      <c r="J1891">
        <v>4</v>
      </c>
      <c r="K1891" t="s">
        <v>19</v>
      </c>
      <c r="L1891" t="s">
        <v>72</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x14ac:dyDescent="0.3">
      <c r="A1892" t="s">
        <v>1992</v>
      </c>
      <c r="B1892" t="s">
        <v>22</v>
      </c>
      <c r="C1892">
        <v>3</v>
      </c>
      <c r="D1892">
        <v>124.2</v>
      </c>
      <c r="E1892">
        <v>372.6</v>
      </c>
      <c r="F1892" s="1">
        <v>45727</v>
      </c>
      <c r="G1892" s="1">
        <v>45729</v>
      </c>
      <c r="H1892" t="s">
        <v>27</v>
      </c>
      <c r="I1892" t="s">
        <v>35</v>
      </c>
      <c r="J1892">
        <v>5</v>
      </c>
      <c r="K1892" t="s">
        <v>19</v>
      </c>
      <c r="L1892" t="s">
        <v>77</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x14ac:dyDescent="0.3">
      <c r="A1893" t="s">
        <v>1993</v>
      </c>
      <c r="B1893" t="s">
        <v>54</v>
      </c>
      <c r="C1893">
        <v>2</v>
      </c>
      <c r="D1893">
        <v>37</v>
      </c>
      <c r="E1893">
        <v>74</v>
      </c>
      <c r="F1893" s="1">
        <v>45727</v>
      </c>
      <c r="G1893" s="1">
        <v>45733</v>
      </c>
      <c r="H1893" t="s">
        <v>23</v>
      </c>
      <c r="I1893" t="s">
        <v>18</v>
      </c>
      <c r="J1893">
        <v>4</v>
      </c>
      <c r="K1893" t="s">
        <v>19</v>
      </c>
      <c r="L1893" t="s">
        <v>77</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x14ac:dyDescent="0.3">
      <c r="A1894" t="s">
        <v>1994</v>
      </c>
      <c r="B1894" t="s">
        <v>37</v>
      </c>
      <c r="C1894">
        <v>1</v>
      </c>
      <c r="D1894">
        <v>41.8</v>
      </c>
      <c r="E1894">
        <v>41.8</v>
      </c>
      <c r="F1894" s="1">
        <v>45727</v>
      </c>
      <c r="G1894" s="1">
        <v>45728</v>
      </c>
      <c r="H1894" t="s">
        <v>23</v>
      </c>
      <c r="I1894" t="s">
        <v>40</v>
      </c>
      <c r="J1894">
        <v>4</v>
      </c>
      <c r="K1894" t="s">
        <v>19</v>
      </c>
      <c r="L1894" t="s">
        <v>292</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x14ac:dyDescent="0.3">
      <c r="A1895" t="s">
        <v>1995</v>
      </c>
      <c r="B1895" t="s">
        <v>46</v>
      </c>
      <c r="C1895">
        <v>2</v>
      </c>
      <c r="D1895">
        <v>57.2</v>
      </c>
      <c r="E1895">
        <v>114.4</v>
      </c>
      <c r="F1895" s="1">
        <v>45727</v>
      </c>
      <c r="G1895" s="1">
        <v>45729</v>
      </c>
      <c r="H1895" t="s">
        <v>23</v>
      </c>
      <c r="I1895" t="s">
        <v>40</v>
      </c>
      <c r="J1895">
        <v>3</v>
      </c>
      <c r="K1895" t="s">
        <v>19</v>
      </c>
      <c r="L1895" t="s">
        <v>113</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x14ac:dyDescent="0.3">
      <c r="A1896" t="s">
        <v>1996</v>
      </c>
      <c r="B1896" t="s">
        <v>39</v>
      </c>
      <c r="C1896">
        <v>2</v>
      </c>
      <c r="D1896">
        <v>47.1</v>
      </c>
      <c r="E1896">
        <v>94.2</v>
      </c>
      <c r="F1896" s="1">
        <v>45727</v>
      </c>
      <c r="G1896" s="1">
        <v>45729</v>
      </c>
      <c r="H1896" t="s">
        <v>27</v>
      </c>
      <c r="I1896" t="s">
        <v>18</v>
      </c>
      <c r="J1896">
        <v>2</v>
      </c>
      <c r="K1896" t="s">
        <v>19</v>
      </c>
      <c r="L1896" t="s">
        <v>113</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x14ac:dyDescent="0.3">
      <c r="A1897" t="s">
        <v>1997</v>
      </c>
      <c r="B1897" t="s">
        <v>37</v>
      </c>
      <c r="C1897">
        <v>3</v>
      </c>
      <c r="D1897">
        <v>86.4</v>
      </c>
      <c r="E1897">
        <v>259.20000000000005</v>
      </c>
      <c r="F1897" s="1">
        <v>45727</v>
      </c>
      <c r="G1897" s="1">
        <v>45728</v>
      </c>
      <c r="H1897" t="s">
        <v>23</v>
      </c>
      <c r="I1897" t="s">
        <v>40</v>
      </c>
      <c r="J1897">
        <v>3</v>
      </c>
      <c r="K1897" t="s">
        <v>19</v>
      </c>
      <c r="L1897" t="s">
        <v>997</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x14ac:dyDescent="0.3">
      <c r="A1898" t="s">
        <v>1998</v>
      </c>
      <c r="B1898" t="s">
        <v>39</v>
      </c>
      <c r="C1898">
        <v>5</v>
      </c>
      <c r="D1898">
        <v>105</v>
      </c>
      <c r="E1898">
        <v>525</v>
      </c>
      <c r="F1898" s="1">
        <v>45727</v>
      </c>
      <c r="G1898" s="1">
        <v>45730</v>
      </c>
      <c r="H1898" t="s">
        <v>23</v>
      </c>
      <c r="I1898" t="s">
        <v>18</v>
      </c>
      <c r="J1898">
        <v>4</v>
      </c>
      <c r="K1898" t="s">
        <v>19</v>
      </c>
      <c r="L1898" t="s">
        <v>82</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x14ac:dyDescent="0.3">
      <c r="A1899" t="s">
        <v>1999</v>
      </c>
      <c r="B1899" t="s">
        <v>146</v>
      </c>
      <c r="C1899">
        <v>1</v>
      </c>
      <c r="D1899">
        <v>33</v>
      </c>
      <c r="E1899">
        <v>33</v>
      </c>
      <c r="F1899" s="1">
        <v>45727</v>
      </c>
      <c r="G1899" s="1">
        <v>45730</v>
      </c>
      <c r="H1899" t="s">
        <v>23</v>
      </c>
      <c r="I1899" t="s">
        <v>70</v>
      </c>
      <c r="J1899">
        <v>4</v>
      </c>
      <c r="K1899" t="s">
        <v>19</v>
      </c>
      <c r="L1899" t="s">
        <v>115</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x14ac:dyDescent="0.3">
      <c r="A1900" t="s">
        <v>2000</v>
      </c>
      <c r="B1900" t="s">
        <v>39</v>
      </c>
      <c r="C1900">
        <v>5</v>
      </c>
      <c r="D1900">
        <v>106.6</v>
      </c>
      <c r="E1900">
        <v>533</v>
      </c>
      <c r="F1900" s="1">
        <v>45727</v>
      </c>
      <c r="G1900" s="1">
        <v>45740</v>
      </c>
      <c r="H1900" t="s">
        <v>27</v>
      </c>
      <c r="I1900" t="s">
        <v>40</v>
      </c>
      <c r="J1900">
        <v>4</v>
      </c>
      <c r="K1900" t="s">
        <v>19</v>
      </c>
      <c r="L1900" t="s">
        <v>24</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x14ac:dyDescent="0.3">
      <c r="A1901" t="s">
        <v>2001</v>
      </c>
      <c r="B1901" t="s">
        <v>54</v>
      </c>
      <c r="C1901">
        <v>32</v>
      </c>
      <c r="D1901">
        <v>26.8</v>
      </c>
      <c r="E1901">
        <v>857.6</v>
      </c>
      <c r="F1901" s="1">
        <v>45727</v>
      </c>
      <c r="G1901" s="1">
        <v>45728</v>
      </c>
      <c r="H1901" t="s">
        <v>27</v>
      </c>
      <c r="I1901" t="s">
        <v>40</v>
      </c>
      <c r="J1901">
        <v>4</v>
      </c>
      <c r="K1901" t="s">
        <v>19</v>
      </c>
      <c r="L1901" t="s">
        <v>24</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x14ac:dyDescent="0.3">
      <c r="A1902" t="s">
        <v>2002</v>
      </c>
      <c r="B1902" t="s">
        <v>135</v>
      </c>
      <c r="C1902">
        <v>5</v>
      </c>
      <c r="D1902">
        <v>25.8</v>
      </c>
      <c r="E1902">
        <v>129</v>
      </c>
      <c r="F1902" s="1">
        <v>45727</v>
      </c>
      <c r="G1902" s="1">
        <v>45727</v>
      </c>
      <c r="H1902" t="s">
        <v>27</v>
      </c>
      <c r="I1902" t="s">
        <v>35</v>
      </c>
      <c r="J1902">
        <v>5</v>
      </c>
      <c r="K1902" t="s">
        <v>19</v>
      </c>
      <c r="L1902" t="s">
        <v>33</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x14ac:dyDescent="0.3">
      <c r="A1903" t="s">
        <v>2003</v>
      </c>
      <c r="B1903" t="s">
        <v>26</v>
      </c>
      <c r="C1903">
        <v>3</v>
      </c>
      <c r="D1903">
        <v>217</v>
      </c>
      <c r="E1903">
        <v>651</v>
      </c>
      <c r="F1903" s="1">
        <v>45727</v>
      </c>
      <c r="G1903" s="1">
        <v>45728</v>
      </c>
      <c r="H1903" t="s">
        <v>27</v>
      </c>
      <c r="I1903" t="s">
        <v>35</v>
      </c>
      <c r="J1903">
        <v>3</v>
      </c>
      <c r="K1903" t="s">
        <v>19</v>
      </c>
      <c r="L1903" t="s">
        <v>33</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x14ac:dyDescent="0.3">
      <c r="A1904" t="s">
        <v>2004</v>
      </c>
      <c r="B1904" t="s">
        <v>26</v>
      </c>
      <c r="C1904">
        <v>2</v>
      </c>
      <c r="D1904">
        <v>97.3</v>
      </c>
      <c r="E1904">
        <v>194.6</v>
      </c>
      <c r="F1904" s="1">
        <v>45727</v>
      </c>
      <c r="G1904" s="1">
        <v>45728</v>
      </c>
      <c r="H1904" t="s">
        <v>23</v>
      </c>
      <c r="I1904" t="s">
        <v>40</v>
      </c>
      <c r="J1904">
        <v>2</v>
      </c>
      <c r="K1904" t="s">
        <v>19</v>
      </c>
      <c r="L1904" t="s">
        <v>33</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x14ac:dyDescent="0.3">
      <c r="A1905" t="s">
        <v>2005</v>
      </c>
      <c r="B1905" t="s">
        <v>22</v>
      </c>
      <c r="C1905">
        <v>1</v>
      </c>
      <c r="D1905">
        <v>49.8</v>
      </c>
      <c r="E1905">
        <v>49.8</v>
      </c>
      <c r="F1905" s="1">
        <v>45727</v>
      </c>
      <c r="G1905" s="1">
        <v>45728</v>
      </c>
      <c r="H1905" t="s">
        <v>27</v>
      </c>
      <c r="I1905" t="s">
        <v>18</v>
      </c>
      <c r="J1905">
        <v>4</v>
      </c>
      <c r="K1905" t="s">
        <v>19</v>
      </c>
      <c r="L1905" t="s">
        <v>33</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x14ac:dyDescent="0.3">
      <c r="A1906" t="s">
        <v>2006</v>
      </c>
      <c r="B1906" t="s">
        <v>69</v>
      </c>
      <c r="C1906">
        <v>5</v>
      </c>
      <c r="D1906">
        <v>32.6</v>
      </c>
      <c r="E1906">
        <v>163</v>
      </c>
      <c r="F1906" s="1">
        <v>45727</v>
      </c>
      <c r="G1906" s="1">
        <v>45728</v>
      </c>
      <c r="H1906" t="s">
        <v>27</v>
      </c>
      <c r="I1906" t="s">
        <v>18</v>
      </c>
      <c r="J1906">
        <v>4</v>
      </c>
      <c r="K1906" t="s">
        <v>19</v>
      </c>
      <c r="L1906" t="s">
        <v>33</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x14ac:dyDescent="0.3">
      <c r="A1907" t="s">
        <v>2007</v>
      </c>
      <c r="B1907" t="s">
        <v>46</v>
      </c>
      <c r="C1907">
        <v>2</v>
      </c>
      <c r="D1907">
        <v>40.1</v>
      </c>
      <c r="E1907">
        <v>80.2</v>
      </c>
      <c r="F1907" s="1">
        <v>45727</v>
      </c>
      <c r="G1907" s="1">
        <v>45730</v>
      </c>
      <c r="H1907" t="s">
        <v>23</v>
      </c>
      <c r="I1907" t="s">
        <v>35</v>
      </c>
      <c r="J1907">
        <v>5</v>
      </c>
      <c r="K1907" t="s">
        <v>19</v>
      </c>
      <c r="L1907" t="s">
        <v>33</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x14ac:dyDescent="0.3">
      <c r="A1908" t="s">
        <v>2008</v>
      </c>
      <c r="B1908" t="s">
        <v>54</v>
      </c>
      <c r="C1908">
        <v>2</v>
      </c>
      <c r="D1908">
        <v>49.4</v>
      </c>
      <c r="E1908">
        <v>98.8</v>
      </c>
      <c r="F1908" s="1">
        <v>45727</v>
      </c>
      <c r="G1908" s="1">
        <v>45729</v>
      </c>
      <c r="H1908" t="s">
        <v>23</v>
      </c>
      <c r="I1908" t="s">
        <v>35</v>
      </c>
      <c r="J1908">
        <v>4</v>
      </c>
      <c r="K1908" t="s">
        <v>19</v>
      </c>
      <c r="L1908" t="s">
        <v>33</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x14ac:dyDescent="0.3">
      <c r="A1909" t="s">
        <v>2009</v>
      </c>
      <c r="B1909" t="s">
        <v>26</v>
      </c>
      <c r="C1909">
        <v>1</v>
      </c>
      <c r="D1909">
        <v>67.3</v>
      </c>
      <c r="E1909">
        <v>67.3</v>
      </c>
      <c r="F1909" s="1">
        <v>45727</v>
      </c>
      <c r="G1909" s="1">
        <v>45728</v>
      </c>
      <c r="H1909" t="s">
        <v>27</v>
      </c>
      <c r="I1909" t="s">
        <v>18</v>
      </c>
      <c r="J1909">
        <v>5</v>
      </c>
      <c r="K1909" t="s">
        <v>19</v>
      </c>
      <c r="L1909" t="s">
        <v>33</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x14ac:dyDescent="0.3">
      <c r="A1910" t="s">
        <v>2010</v>
      </c>
      <c r="B1910" t="s">
        <v>146</v>
      </c>
      <c r="C1910">
        <v>4</v>
      </c>
      <c r="D1910">
        <v>44.5</v>
      </c>
      <c r="E1910">
        <v>178</v>
      </c>
      <c r="F1910" s="1">
        <v>45727</v>
      </c>
      <c r="G1910" s="1">
        <v>45730</v>
      </c>
      <c r="H1910" t="s">
        <v>17</v>
      </c>
      <c r="I1910" t="s">
        <v>35</v>
      </c>
      <c r="J1910">
        <v>4</v>
      </c>
      <c r="K1910" t="s">
        <v>19</v>
      </c>
      <c r="L1910" t="s">
        <v>33</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x14ac:dyDescent="0.3">
      <c r="A1911" t="s">
        <v>2011</v>
      </c>
      <c r="B1911" t="s">
        <v>39</v>
      </c>
      <c r="C1911">
        <v>11</v>
      </c>
      <c r="D1911">
        <v>111.1</v>
      </c>
      <c r="E1911">
        <v>1222.0999999999999</v>
      </c>
      <c r="F1911" s="1">
        <v>45727</v>
      </c>
      <c r="G1911" s="1">
        <v>45728</v>
      </c>
      <c r="H1911" t="s">
        <v>27</v>
      </c>
      <c r="I1911" t="s">
        <v>70</v>
      </c>
      <c r="J1911">
        <v>4</v>
      </c>
      <c r="K1911" t="s">
        <v>19</v>
      </c>
      <c r="L1911" t="s">
        <v>33</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x14ac:dyDescent="0.3">
      <c r="A1912" t="s">
        <v>2012</v>
      </c>
      <c r="B1912" t="s">
        <v>44</v>
      </c>
      <c r="C1912">
        <v>3</v>
      </c>
      <c r="D1912">
        <v>19.7</v>
      </c>
      <c r="E1912">
        <v>59.099999999999994</v>
      </c>
      <c r="F1912" s="1">
        <v>45727</v>
      </c>
      <c r="G1912" s="1">
        <v>45728</v>
      </c>
      <c r="H1912" t="s">
        <v>27</v>
      </c>
      <c r="I1912" t="s">
        <v>70</v>
      </c>
      <c r="J1912">
        <v>2</v>
      </c>
      <c r="K1912" t="s">
        <v>19</v>
      </c>
      <c r="L1912" t="s">
        <v>33</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x14ac:dyDescent="0.3">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x14ac:dyDescent="0.3">
      <c r="A1914" t="s">
        <v>2014</v>
      </c>
      <c r="B1914" t="s">
        <v>39</v>
      </c>
      <c r="C1914">
        <v>2</v>
      </c>
      <c r="D1914">
        <v>108.8</v>
      </c>
      <c r="E1914">
        <v>217.6</v>
      </c>
      <c r="F1914" s="1">
        <v>45727</v>
      </c>
      <c r="G1914" s="1">
        <v>45732</v>
      </c>
      <c r="H1914" t="s">
        <v>23</v>
      </c>
      <c r="I1914" t="s">
        <v>18</v>
      </c>
      <c r="J1914">
        <v>5</v>
      </c>
      <c r="K1914" t="s">
        <v>19</v>
      </c>
      <c r="L1914" t="s">
        <v>55</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x14ac:dyDescent="0.3">
      <c r="A1915" t="s">
        <v>2015</v>
      </c>
      <c r="B1915" t="s">
        <v>44</v>
      </c>
      <c r="C1915">
        <v>3</v>
      </c>
      <c r="D1915">
        <v>48.2</v>
      </c>
      <c r="E1915">
        <v>144.60000000000002</v>
      </c>
      <c r="F1915" s="1">
        <v>45727</v>
      </c>
      <c r="G1915" s="1">
        <v>45732</v>
      </c>
      <c r="H1915" t="s">
        <v>27</v>
      </c>
      <c r="I1915" t="s">
        <v>70</v>
      </c>
      <c r="J1915">
        <v>4</v>
      </c>
      <c r="K1915" t="s">
        <v>19</v>
      </c>
      <c r="L1915" t="s">
        <v>59</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x14ac:dyDescent="0.3">
      <c r="A1916" t="s">
        <v>2016</v>
      </c>
      <c r="B1916" t="s">
        <v>26</v>
      </c>
      <c r="C1916">
        <v>3</v>
      </c>
      <c r="D1916">
        <v>104.7</v>
      </c>
      <c r="E1916">
        <v>314.10000000000002</v>
      </c>
      <c r="F1916" s="1">
        <v>45727</v>
      </c>
      <c r="G1916" s="1">
        <v>45729</v>
      </c>
      <c r="H1916" t="s">
        <v>27</v>
      </c>
      <c r="I1916" t="s">
        <v>18</v>
      </c>
      <c r="J1916">
        <v>3</v>
      </c>
      <c r="K1916" t="s">
        <v>19</v>
      </c>
      <c r="L1916" t="s">
        <v>59</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x14ac:dyDescent="0.3">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x14ac:dyDescent="0.3">
      <c r="A1918" t="s">
        <v>2018</v>
      </c>
      <c r="B1918" t="s">
        <v>39</v>
      </c>
      <c r="C1918">
        <v>1</v>
      </c>
      <c r="D1918">
        <v>65.5</v>
      </c>
      <c r="E1918">
        <v>65.5</v>
      </c>
      <c r="F1918" s="1">
        <v>45727</v>
      </c>
      <c r="G1918" s="1">
        <v>45729</v>
      </c>
      <c r="H1918" t="s">
        <v>89</v>
      </c>
      <c r="I1918" t="s">
        <v>35</v>
      </c>
      <c r="J1918">
        <v>4</v>
      </c>
      <c r="K1918" t="s">
        <v>19</v>
      </c>
      <c r="L1918" t="s">
        <v>62</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x14ac:dyDescent="0.3">
      <c r="A1919" t="s">
        <v>2019</v>
      </c>
      <c r="B1919" t="s">
        <v>46</v>
      </c>
      <c r="C1919">
        <v>3</v>
      </c>
      <c r="D1919">
        <v>61.4</v>
      </c>
      <c r="E1919">
        <v>184.2</v>
      </c>
      <c r="F1919" s="1">
        <v>45727</v>
      </c>
      <c r="G1919" s="1">
        <v>45729</v>
      </c>
      <c r="H1919" t="s">
        <v>27</v>
      </c>
      <c r="I1919" t="s">
        <v>70</v>
      </c>
      <c r="J1919">
        <v>5</v>
      </c>
      <c r="K1919" t="s">
        <v>19</v>
      </c>
      <c r="L1919" t="s">
        <v>62</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x14ac:dyDescent="0.3">
      <c r="A1920" t="s">
        <v>2020</v>
      </c>
      <c r="B1920" t="s">
        <v>16</v>
      </c>
      <c r="C1920">
        <v>1</v>
      </c>
      <c r="D1920">
        <v>12.5</v>
      </c>
      <c r="E1920">
        <v>12.5</v>
      </c>
      <c r="F1920" s="1">
        <v>45728</v>
      </c>
      <c r="G1920" s="1">
        <v>45731</v>
      </c>
      <c r="H1920" t="s">
        <v>27</v>
      </c>
      <c r="I1920" t="s">
        <v>18</v>
      </c>
      <c r="J1920">
        <v>3</v>
      </c>
      <c r="K1920" t="s">
        <v>19</v>
      </c>
      <c r="L1920" t="s">
        <v>62</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x14ac:dyDescent="0.3">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x14ac:dyDescent="0.3">
      <c r="A1922" t="s">
        <v>2022</v>
      </c>
      <c r="B1922" t="s">
        <v>37</v>
      </c>
      <c r="C1922">
        <v>2</v>
      </c>
      <c r="D1922">
        <v>55.7</v>
      </c>
      <c r="E1922">
        <v>111.4</v>
      </c>
      <c r="F1922" s="1">
        <v>45728</v>
      </c>
      <c r="G1922" s="1">
        <v>45729</v>
      </c>
      <c r="H1922" t="s">
        <v>23</v>
      </c>
      <c r="I1922" t="s">
        <v>18</v>
      </c>
      <c r="J1922">
        <v>3</v>
      </c>
      <c r="K1922" t="s">
        <v>19</v>
      </c>
      <c r="L1922" t="s">
        <v>201</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x14ac:dyDescent="0.3">
      <c r="A1923" t="s">
        <v>2023</v>
      </c>
      <c r="B1923" t="s">
        <v>42</v>
      </c>
      <c r="C1923">
        <v>2</v>
      </c>
      <c r="D1923">
        <v>57.7</v>
      </c>
      <c r="E1923">
        <v>115.4</v>
      </c>
      <c r="F1923" s="1">
        <v>45728</v>
      </c>
      <c r="G1923" s="1">
        <v>45730</v>
      </c>
      <c r="H1923" t="s">
        <v>23</v>
      </c>
      <c r="I1923" t="s">
        <v>70</v>
      </c>
      <c r="J1923">
        <v>3</v>
      </c>
      <c r="K1923" t="s">
        <v>19</v>
      </c>
      <c r="L1923" t="s">
        <v>72</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x14ac:dyDescent="0.3">
      <c r="A1924" t="s">
        <v>2024</v>
      </c>
      <c r="B1924" t="s">
        <v>26</v>
      </c>
      <c r="C1924">
        <v>6</v>
      </c>
      <c r="D1924">
        <v>85.7</v>
      </c>
      <c r="E1924">
        <v>514.20000000000005</v>
      </c>
      <c r="F1924" s="1">
        <v>45728</v>
      </c>
      <c r="G1924" s="1">
        <v>45729</v>
      </c>
      <c r="H1924" t="s">
        <v>23</v>
      </c>
      <c r="I1924" t="s">
        <v>51</v>
      </c>
      <c r="J1924">
        <v>5</v>
      </c>
      <c r="K1924" t="s">
        <v>19</v>
      </c>
      <c r="L1924" t="s">
        <v>72</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x14ac:dyDescent="0.3">
      <c r="A1925" t="s">
        <v>2025</v>
      </c>
      <c r="B1925" t="s">
        <v>26</v>
      </c>
      <c r="C1925">
        <v>3</v>
      </c>
      <c r="D1925">
        <v>86.9</v>
      </c>
      <c r="E1925">
        <v>260.70000000000005</v>
      </c>
      <c r="F1925" s="1">
        <v>45728</v>
      </c>
      <c r="G1925" s="1">
        <v>45730</v>
      </c>
      <c r="H1925" t="s">
        <v>27</v>
      </c>
      <c r="I1925" t="s">
        <v>35</v>
      </c>
      <c r="J1925">
        <v>4</v>
      </c>
      <c r="K1925" t="s">
        <v>19</v>
      </c>
      <c r="L1925" t="s">
        <v>77</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x14ac:dyDescent="0.3">
      <c r="A1926" t="s">
        <v>2026</v>
      </c>
      <c r="B1926" t="s">
        <v>146</v>
      </c>
      <c r="C1926">
        <v>2</v>
      </c>
      <c r="D1926">
        <v>46.4</v>
      </c>
      <c r="E1926">
        <v>92.8</v>
      </c>
      <c r="F1926" s="1">
        <v>45728</v>
      </c>
      <c r="G1926" s="1">
        <v>45731</v>
      </c>
      <c r="H1926" t="s">
        <v>27</v>
      </c>
      <c r="I1926" t="s">
        <v>70</v>
      </c>
      <c r="J1926">
        <v>4</v>
      </c>
      <c r="K1926" t="s">
        <v>19</v>
      </c>
      <c r="L1926" t="s">
        <v>77</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x14ac:dyDescent="0.3">
      <c r="A1927" t="s">
        <v>2027</v>
      </c>
      <c r="B1927" t="s">
        <v>37</v>
      </c>
      <c r="C1927">
        <v>3</v>
      </c>
      <c r="D1927">
        <v>25.4</v>
      </c>
      <c r="E1927">
        <v>76.199999999999989</v>
      </c>
      <c r="F1927" s="1">
        <v>45728</v>
      </c>
      <c r="G1927" s="1">
        <v>45728</v>
      </c>
      <c r="H1927" t="s">
        <v>27</v>
      </c>
      <c r="I1927" t="s">
        <v>40</v>
      </c>
      <c r="J1927">
        <v>5</v>
      </c>
      <c r="K1927" t="s">
        <v>19</v>
      </c>
      <c r="L1927" t="s">
        <v>108</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x14ac:dyDescent="0.3">
      <c r="A1928" t="s">
        <v>2028</v>
      </c>
      <c r="B1928" t="s">
        <v>54</v>
      </c>
      <c r="C1928">
        <v>3</v>
      </c>
      <c r="D1928">
        <v>47.8</v>
      </c>
      <c r="E1928">
        <v>143.39999999999998</v>
      </c>
      <c r="F1928" s="1">
        <v>45728</v>
      </c>
      <c r="G1928" s="1">
        <v>45728</v>
      </c>
      <c r="H1928" t="s">
        <v>17</v>
      </c>
      <c r="I1928" t="s">
        <v>40</v>
      </c>
      <c r="J1928">
        <v>5</v>
      </c>
      <c r="K1928" t="s">
        <v>19</v>
      </c>
      <c r="L1928" t="s">
        <v>110</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x14ac:dyDescent="0.3">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x14ac:dyDescent="0.3">
      <c r="A1930" t="s">
        <v>2030</v>
      </c>
      <c r="B1930" t="s">
        <v>69</v>
      </c>
      <c r="C1930">
        <v>3</v>
      </c>
      <c r="D1930">
        <v>65.5</v>
      </c>
      <c r="E1930">
        <v>196.5</v>
      </c>
      <c r="F1930" s="1">
        <v>45728</v>
      </c>
      <c r="G1930" s="1">
        <v>45736</v>
      </c>
      <c r="H1930" t="s">
        <v>27</v>
      </c>
      <c r="I1930" t="s">
        <v>18</v>
      </c>
      <c r="J1930">
        <v>4</v>
      </c>
      <c r="K1930" t="s">
        <v>19</v>
      </c>
      <c r="L1930" t="s">
        <v>115</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x14ac:dyDescent="0.3">
      <c r="A1931" t="s">
        <v>2031</v>
      </c>
      <c r="B1931" t="s">
        <v>54</v>
      </c>
      <c r="C1931">
        <v>2</v>
      </c>
      <c r="D1931">
        <v>50.6</v>
      </c>
      <c r="E1931">
        <v>101.2</v>
      </c>
      <c r="F1931" s="1">
        <v>45728</v>
      </c>
      <c r="G1931" s="1">
        <v>45731</v>
      </c>
      <c r="H1931" t="s">
        <v>23</v>
      </c>
      <c r="I1931" t="s">
        <v>40</v>
      </c>
      <c r="J1931">
        <v>2</v>
      </c>
      <c r="K1931" t="s">
        <v>19</v>
      </c>
      <c r="L1931" t="s">
        <v>115</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x14ac:dyDescent="0.3">
      <c r="A1932" t="s">
        <v>2032</v>
      </c>
      <c r="B1932" t="s">
        <v>30</v>
      </c>
      <c r="C1932">
        <v>5</v>
      </c>
      <c r="D1932">
        <v>69</v>
      </c>
      <c r="E1932">
        <v>345</v>
      </c>
      <c r="F1932" s="1">
        <v>45728</v>
      </c>
      <c r="G1932" s="1">
        <v>45732</v>
      </c>
      <c r="H1932" t="s">
        <v>23</v>
      </c>
      <c r="I1932" t="s">
        <v>51</v>
      </c>
      <c r="J1932">
        <v>4</v>
      </c>
      <c r="K1932" t="s">
        <v>19</v>
      </c>
      <c r="L1932" t="s">
        <v>115</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x14ac:dyDescent="0.3">
      <c r="A1933" t="s">
        <v>2033</v>
      </c>
      <c r="B1933" t="s">
        <v>46</v>
      </c>
      <c r="C1933">
        <v>8</v>
      </c>
      <c r="D1933">
        <v>51.1</v>
      </c>
      <c r="E1933">
        <v>408.8</v>
      </c>
      <c r="F1933" s="1">
        <v>45728</v>
      </c>
      <c r="G1933" s="1">
        <v>45730</v>
      </c>
      <c r="H1933" t="s">
        <v>27</v>
      </c>
      <c r="I1933" t="s">
        <v>18</v>
      </c>
      <c r="J1933">
        <v>4</v>
      </c>
      <c r="K1933" t="s">
        <v>19</v>
      </c>
      <c r="L1933" t="s">
        <v>24</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x14ac:dyDescent="0.3">
      <c r="A1934" t="s">
        <v>2034</v>
      </c>
      <c r="B1934" t="s">
        <v>46</v>
      </c>
      <c r="C1934">
        <v>1</v>
      </c>
      <c r="D1934">
        <v>36.1</v>
      </c>
      <c r="E1934">
        <v>36.1</v>
      </c>
      <c r="F1934" s="1">
        <v>45728</v>
      </c>
      <c r="G1934" s="1">
        <v>45729</v>
      </c>
      <c r="H1934" t="s">
        <v>27</v>
      </c>
      <c r="I1934" t="s">
        <v>18</v>
      </c>
      <c r="J1934">
        <v>5</v>
      </c>
      <c r="K1934" t="s">
        <v>19</v>
      </c>
      <c r="L1934" t="s">
        <v>334</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x14ac:dyDescent="0.3">
      <c r="A1935" t="s">
        <v>2035</v>
      </c>
      <c r="B1935" t="s">
        <v>81</v>
      </c>
      <c r="C1935">
        <v>1</v>
      </c>
      <c r="D1935">
        <v>18.7</v>
      </c>
      <c r="E1935">
        <v>18.7</v>
      </c>
      <c r="F1935" s="1">
        <v>45728</v>
      </c>
      <c r="G1935" s="1">
        <v>45729</v>
      </c>
      <c r="H1935" t="s">
        <v>23</v>
      </c>
      <c r="I1935" t="s">
        <v>18</v>
      </c>
      <c r="J1935">
        <v>4</v>
      </c>
      <c r="K1935" t="s">
        <v>19</v>
      </c>
      <c r="L1935" t="s">
        <v>33</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x14ac:dyDescent="0.3">
      <c r="A1936" t="s">
        <v>2036</v>
      </c>
      <c r="B1936" t="s">
        <v>135</v>
      </c>
      <c r="C1936">
        <v>1</v>
      </c>
      <c r="D1936">
        <v>30.1</v>
      </c>
      <c r="E1936">
        <v>30.1</v>
      </c>
      <c r="F1936" s="1">
        <v>45728</v>
      </c>
      <c r="G1936" s="1">
        <v>45731</v>
      </c>
      <c r="H1936" t="s">
        <v>27</v>
      </c>
      <c r="I1936" t="s">
        <v>51</v>
      </c>
      <c r="J1936">
        <v>3</v>
      </c>
      <c r="K1936" t="s">
        <v>19</v>
      </c>
      <c r="L1936" t="s">
        <v>33</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x14ac:dyDescent="0.3">
      <c r="A1937" t="s">
        <v>2037</v>
      </c>
      <c r="B1937" t="s">
        <v>44</v>
      </c>
      <c r="C1937">
        <v>1</v>
      </c>
      <c r="D1937">
        <v>16.3</v>
      </c>
      <c r="E1937">
        <v>16.3</v>
      </c>
      <c r="F1937" s="1">
        <v>45728</v>
      </c>
      <c r="G1937" s="1">
        <v>45729</v>
      </c>
      <c r="H1937" t="s">
        <v>23</v>
      </c>
      <c r="I1937" t="s">
        <v>51</v>
      </c>
      <c r="J1937">
        <v>4</v>
      </c>
      <c r="K1937" t="s">
        <v>19</v>
      </c>
      <c r="L1937" t="s">
        <v>33</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x14ac:dyDescent="0.3">
      <c r="A1938" t="s">
        <v>2038</v>
      </c>
      <c r="B1938" t="s">
        <v>22</v>
      </c>
      <c r="C1938">
        <v>3</v>
      </c>
      <c r="D1938">
        <v>63.8</v>
      </c>
      <c r="E1938">
        <v>191.39999999999998</v>
      </c>
      <c r="F1938" s="1">
        <v>45728</v>
      </c>
      <c r="G1938" s="1">
        <v>45733</v>
      </c>
      <c r="H1938" t="s">
        <v>27</v>
      </c>
      <c r="I1938" t="s">
        <v>40</v>
      </c>
      <c r="J1938">
        <v>3</v>
      </c>
      <c r="K1938" t="s">
        <v>19</v>
      </c>
      <c r="L1938" t="s">
        <v>33</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x14ac:dyDescent="0.3">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x14ac:dyDescent="0.3">
      <c r="A1940" t="s">
        <v>2040</v>
      </c>
      <c r="B1940" t="s">
        <v>16</v>
      </c>
      <c r="C1940">
        <v>2</v>
      </c>
      <c r="D1940">
        <v>20.2</v>
      </c>
      <c r="E1940">
        <v>40.4</v>
      </c>
      <c r="F1940" s="1">
        <v>45728</v>
      </c>
      <c r="G1940" s="1">
        <v>45729</v>
      </c>
      <c r="H1940" t="s">
        <v>23</v>
      </c>
      <c r="I1940" t="s">
        <v>18</v>
      </c>
      <c r="J1940">
        <v>3</v>
      </c>
      <c r="K1940" t="s">
        <v>19</v>
      </c>
      <c r="L1940" t="s">
        <v>33</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x14ac:dyDescent="0.3">
      <c r="A1941" t="s">
        <v>2041</v>
      </c>
      <c r="B1941" t="s">
        <v>67</v>
      </c>
      <c r="C1941">
        <v>11</v>
      </c>
      <c r="D1941">
        <v>29.5</v>
      </c>
      <c r="E1941">
        <v>324.5</v>
      </c>
      <c r="F1941" s="1">
        <v>45728</v>
      </c>
      <c r="G1941" s="1">
        <v>45729</v>
      </c>
      <c r="H1941" t="s">
        <v>23</v>
      </c>
      <c r="I1941" t="s">
        <v>18</v>
      </c>
      <c r="J1941">
        <v>4</v>
      </c>
      <c r="K1941" t="s">
        <v>19</v>
      </c>
      <c r="L1941" t="s">
        <v>33</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x14ac:dyDescent="0.3">
      <c r="A1942" t="s">
        <v>2042</v>
      </c>
      <c r="B1942" t="s">
        <v>123</v>
      </c>
      <c r="C1942">
        <v>7</v>
      </c>
      <c r="D1942">
        <v>37.9</v>
      </c>
      <c r="E1942">
        <v>265.3</v>
      </c>
      <c r="F1942" s="1">
        <v>45728</v>
      </c>
      <c r="G1942" s="1">
        <v>45729</v>
      </c>
      <c r="H1942" t="s">
        <v>23</v>
      </c>
      <c r="I1942" t="s">
        <v>35</v>
      </c>
      <c r="J1942">
        <v>4</v>
      </c>
      <c r="K1942" t="s">
        <v>19</v>
      </c>
      <c r="L1942" t="s">
        <v>33</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x14ac:dyDescent="0.3">
      <c r="A1943" t="s">
        <v>2043</v>
      </c>
      <c r="B1943" t="s">
        <v>26</v>
      </c>
      <c r="C1943">
        <v>1</v>
      </c>
      <c r="D1943">
        <v>56.5</v>
      </c>
      <c r="E1943">
        <v>56.5</v>
      </c>
      <c r="F1943" s="1">
        <v>45728</v>
      </c>
      <c r="G1943" s="1">
        <v>45729</v>
      </c>
      <c r="H1943" t="s">
        <v>27</v>
      </c>
      <c r="I1943" t="s">
        <v>40</v>
      </c>
      <c r="J1943">
        <v>3</v>
      </c>
      <c r="K1943" t="s">
        <v>19</v>
      </c>
      <c r="L1943" t="s">
        <v>33</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x14ac:dyDescent="0.3">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x14ac:dyDescent="0.3">
      <c r="A1945" t="s">
        <v>2045</v>
      </c>
      <c r="B1945" t="s">
        <v>26</v>
      </c>
      <c r="C1945">
        <v>5</v>
      </c>
      <c r="D1945">
        <v>51.9</v>
      </c>
      <c r="E1945">
        <v>259.5</v>
      </c>
      <c r="F1945" s="1">
        <v>45728</v>
      </c>
      <c r="G1945" s="1">
        <v>45731</v>
      </c>
      <c r="H1945" t="s">
        <v>23</v>
      </c>
      <c r="I1945" t="s">
        <v>35</v>
      </c>
      <c r="J1945">
        <v>4</v>
      </c>
      <c r="K1945" t="s">
        <v>19</v>
      </c>
      <c r="L1945" t="s">
        <v>59</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x14ac:dyDescent="0.3">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x14ac:dyDescent="0.3">
      <c r="A1947" t="s">
        <v>2047</v>
      </c>
      <c r="B1947" t="s">
        <v>69</v>
      </c>
      <c r="C1947">
        <v>6</v>
      </c>
      <c r="D1947">
        <v>47.3</v>
      </c>
      <c r="E1947">
        <v>283.79999999999995</v>
      </c>
      <c r="F1947" s="1">
        <v>45728</v>
      </c>
      <c r="G1947" s="1">
        <v>45739</v>
      </c>
      <c r="H1947" t="s">
        <v>23</v>
      </c>
      <c r="I1947" t="s">
        <v>18</v>
      </c>
      <c r="J1947">
        <v>4</v>
      </c>
      <c r="K1947" t="s">
        <v>19</v>
      </c>
      <c r="L1947" t="s">
        <v>62</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x14ac:dyDescent="0.3">
      <c r="A1948" t="s">
        <v>2048</v>
      </c>
      <c r="B1948" t="s">
        <v>32</v>
      </c>
      <c r="C1948">
        <v>1</v>
      </c>
      <c r="D1948">
        <v>20.6</v>
      </c>
      <c r="E1948">
        <v>20.6</v>
      </c>
      <c r="F1948" s="1">
        <v>45728</v>
      </c>
      <c r="G1948" s="1">
        <v>45729</v>
      </c>
      <c r="H1948" t="s">
        <v>17</v>
      </c>
      <c r="I1948" t="s">
        <v>18</v>
      </c>
      <c r="J1948">
        <v>3</v>
      </c>
      <c r="K1948" t="s">
        <v>19</v>
      </c>
      <c r="L1948" t="s">
        <v>62</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x14ac:dyDescent="0.3">
      <c r="A1949" t="s">
        <v>2049</v>
      </c>
      <c r="B1949" t="s">
        <v>39</v>
      </c>
      <c r="C1949">
        <v>3</v>
      </c>
      <c r="D1949">
        <v>49.7</v>
      </c>
      <c r="E1949">
        <v>149.10000000000002</v>
      </c>
      <c r="F1949" s="1">
        <v>45728</v>
      </c>
      <c r="G1949" s="1">
        <v>45730</v>
      </c>
      <c r="H1949" t="s">
        <v>23</v>
      </c>
      <c r="I1949" t="s">
        <v>18</v>
      </c>
      <c r="J1949">
        <v>3</v>
      </c>
      <c r="K1949" t="s">
        <v>19</v>
      </c>
      <c r="L1949" t="s">
        <v>62</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x14ac:dyDescent="0.3">
      <c r="A1950" t="s">
        <v>2050</v>
      </c>
      <c r="B1950" t="s">
        <v>30</v>
      </c>
      <c r="C1950">
        <v>1</v>
      </c>
      <c r="D1950">
        <v>37.9</v>
      </c>
      <c r="E1950">
        <v>37.9</v>
      </c>
      <c r="F1950" s="1">
        <v>45728</v>
      </c>
      <c r="G1950" s="1">
        <v>45730</v>
      </c>
      <c r="H1950" t="s">
        <v>27</v>
      </c>
      <c r="I1950" t="s">
        <v>18</v>
      </c>
      <c r="J1950">
        <v>4</v>
      </c>
      <c r="K1950" t="s">
        <v>19</v>
      </c>
      <c r="L1950" t="s">
        <v>62</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x14ac:dyDescent="0.3">
      <c r="A1951" t="s">
        <v>2051</v>
      </c>
      <c r="B1951" t="s">
        <v>76</v>
      </c>
      <c r="C1951">
        <v>15</v>
      </c>
      <c r="D1951">
        <v>32</v>
      </c>
      <c r="E1951">
        <v>480</v>
      </c>
      <c r="F1951" s="1">
        <v>45728</v>
      </c>
      <c r="G1951" s="1">
        <v>45730</v>
      </c>
      <c r="H1951" t="s">
        <v>27</v>
      </c>
      <c r="I1951" t="s">
        <v>70</v>
      </c>
      <c r="J1951">
        <v>4</v>
      </c>
      <c r="K1951" t="s">
        <v>19</v>
      </c>
      <c r="L1951" t="s">
        <v>77</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x14ac:dyDescent="0.3">
      <c r="A1952" t="s">
        <v>2052</v>
      </c>
      <c r="B1952" t="s">
        <v>54</v>
      </c>
      <c r="C1952">
        <v>18</v>
      </c>
      <c r="D1952">
        <v>38.5</v>
      </c>
      <c r="E1952">
        <v>693</v>
      </c>
      <c r="F1952" s="1">
        <v>45729</v>
      </c>
      <c r="G1952" s="1">
        <v>45730</v>
      </c>
      <c r="H1952" t="s">
        <v>23</v>
      </c>
      <c r="I1952" t="s">
        <v>18</v>
      </c>
      <c r="J1952">
        <v>5</v>
      </c>
      <c r="K1952" t="s">
        <v>19</v>
      </c>
      <c r="L1952" t="s">
        <v>77</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x14ac:dyDescent="0.3">
      <c r="A1953" t="s">
        <v>2053</v>
      </c>
      <c r="B1953" t="s">
        <v>16</v>
      </c>
      <c r="C1953">
        <v>4</v>
      </c>
      <c r="D1953">
        <v>11.7</v>
      </c>
      <c r="E1953">
        <v>46.8</v>
      </c>
      <c r="F1953" s="1">
        <v>45729</v>
      </c>
      <c r="G1953" s="1">
        <v>45731</v>
      </c>
      <c r="H1953" t="s">
        <v>27</v>
      </c>
      <c r="I1953" t="s">
        <v>35</v>
      </c>
      <c r="J1953">
        <v>4</v>
      </c>
      <c r="K1953" t="s">
        <v>19</v>
      </c>
      <c r="L1953" t="s">
        <v>113</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x14ac:dyDescent="0.3">
      <c r="A1954" t="s">
        <v>2054</v>
      </c>
      <c r="B1954" t="s">
        <v>30</v>
      </c>
      <c r="C1954">
        <v>6</v>
      </c>
      <c r="D1954">
        <v>83.8</v>
      </c>
      <c r="E1954">
        <v>502.79999999999995</v>
      </c>
      <c r="F1954" s="1">
        <v>45729</v>
      </c>
      <c r="G1954" s="1">
        <v>45730</v>
      </c>
      <c r="H1954" t="s">
        <v>23</v>
      </c>
      <c r="I1954" t="s">
        <v>18</v>
      </c>
      <c r="J1954">
        <v>4</v>
      </c>
      <c r="K1954" t="s">
        <v>19</v>
      </c>
      <c r="L1954" t="s">
        <v>115</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x14ac:dyDescent="0.3">
      <c r="A1955" t="s">
        <v>2055</v>
      </c>
      <c r="B1955" t="s">
        <v>16</v>
      </c>
      <c r="C1955">
        <v>7</v>
      </c>
      <c r="D1955">
        <v>14</v>
      </c>
      <c r="E1955">
        <v>98</v>
      </c>
      <c r="F1955" s="1">
        <v>45729</v>
      </c>
      <c r="G1955" s="1">
        <v>45732</v>
      </c>
      <c r="H1955" t="s">
        <v>23</v>
      </c>
      <c r="I1955" t="s">
        <v>18</v>
      </c>
      <c r="J1955">
        <v>3</v>
      </c>
      <c r="K1955" t="s">
        <v>19</v>
      </c>
      <c r="L1955" t="s">
        <v>147</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x14ac:dyDescent="0.3">
      <c r="A1956" t="s">
        <v>2056</v>
      </c>
      <c r="B1956" t="s">
        <v>128</v>
      </c>
      <c r="C1956">
        <v>4</v>
      </c>
      <c r="D1956">
        <v>77.3</v>
      </c>
      <c r="E1956">
        <v>309.2</v>
      </c>
      <c r="F1956" s="1">
        <v>45729</v>
      </c>
      <c r="G1956" s="1">
        <v>45731</v>
      </c>
      <c r="H1956" t="s">
        <v>27</v>
      </c>
      <c r="I1956" t="s">
        <v>70</v>
      </c>
      <c r="J1956">
        <v>5</v>
      </c>
      <c r="K1956" t="s">
        <v>19</v>
      </c>
      <c r="L1956" t="s">
        <v>33</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x14ac:dyDescent="0.3">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x14ac:dyDescent="0.3">
      <c r="A1958" t="s">
        <v>2058</v>
      </c>
      <c r="B1958" t="s">
        <v>22</v>
      </c>
      <c r="C1958">
        <v>1</v>
      </c>
      <c r="D1958">
        <v>48</v>
      </c>
      <c r="E1958">
        <v>48</v>
      </c>
      <c r="F1958" s="1">
        <v>45729</v>
      </c>
      <c r="G1958" s="1">
        <v>45731</v>
      </c>
      <c r="H1958" t="s">
        <v>27</v>
      </c>
      <c r="I1958" t="s">
        <v>35</v>
      </c>
      <c r="J1958">
        <v>5</v>
      </c>
      <c r="K1958" t="s">
        <v>19</v>
      </c>
      <c r="L1958" t="s">
        <v>33</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x14ac:dyDescent="0.3">
      <c r="A1959" t="s">
        <v>2059</v>
      </c>
      <c r="B1959" t="s">
        <v>26</v>
      </c>
      <c r="C1959">
        <v>1</v>
      </c>
      <c r="D1959">
        <v>94.5</v>
      </c>
      <c r="E1959">
        <v>94.5</v>
      </c>
      <c r="F1959" s="1">
        <v>45729</v>
      </c>
      <c r="G1959" s="1">
        <v>45732</v>
      </c>
      <c r="H1959" t="s">
        <v>23</v>
      </c>
      <c r="I1959" t="s">
        <v>35</v>
      </c>
      <c r="J1959">
        <v>3</v>
      </c>
      <c r="K1959" t="s">
        <v>19</v>
      </c>
      <c r="L1959" t="s">
        <v>33</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x14ac:dyDescent="0.3">
      <c r="A1960" t="s">
        <v>2060</v>
      </c>
      <c r="B1960" t="s">
        <v>54</v>
      </c>
      <c r="C1960">
        <v>3</v>
      </c>
      <c r="D1960">
        <v>58.4</v>
      </c>
      <c r="E1960">
        <v>175.2</v>
      </c>
      <c r="F1960" s="1">
        <v>45729</v>
      </c>
      <c r="G1960" s="1">
        <v>45731</v>
      </c>
      <c r="H1960" t="s">
        <v>27</v>
      </c>
      <c r="I1960" t="s">
        <v>35</v>
      </c>
      <c r="J1960">
        <v>5</v>
      </c>
      <c r="K1960" t="s">
        <v>19</v>
      </c>
      <c r="L1960" t="s">
        <v>33</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x14ac:dyDescent="0.3">
      <c r="A1961" t="s">
        <v>2061</v>
      </c>
      <c r="B1961" t="s">
        <v>42</v>
      </c>
      <c r="C1961">
        <v>13</v>
      </c>
      <c r="D1961">
        <v>42.2</v>
      </c>
      <c r="E1961">
        <v>548.6</v>
      </c>
      <c r="F1961" s="1">
        <v>45729</v>
      </c>
      <c r="G1961" s="1">
        <v>45729</v>
      </c>
      <c r="H1961" t="s">
        <v>23</v>
      </c>
      <c r="I1961" t="s">
        <v>18</v>
      </c>
      <c r="J1961">
        <v>4</v>
      </c>
      <c r="K1961" t="s">
        <v>19</v>
      </c>
      <c r="L1961" t="s">
        <v>188</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x14ac:dyDescent="0.3">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x14ac:dyDescent="0.3">
      <c r="A1963" t="s">
        <v>2063</v>
      </c>
      <c r="B1963" t="s">
        <v>39</v>
      </c>
      <c r="C1963">
        <v>24</v>
      </c>
      <c r="D1963">
        <v>72</v>
      </c>
      <c r="E1963">
        <v>1728</v>
      </c>
      <c r="F1963" s="1">
        <v>45729</v>
      </c>
      <c r="G1963" s="1">
        <v>45730</v>
      </c>
      <c r="H1963" t="s">
        <v>23</v>
      </c>
      <c r="I1963" t="s">
        <v>18</v>
      </c>
      <c r="J1963">
        <v>3</v>
      </c>
      <c r="K1963" t="s">
        <v>19</v>
      </c>
      <c r="L1963" t="s">
        <v>55</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x14ac:dyDescent="0.3">
      <c r="A1964" t="s">
        <v>2064</v>
      </c>
      <c r="B1964" t="s">
        <v>22</v>
      </c>
      <c r="C1964">
        <v>23</v>
      </c>
      <c r="D1964">
        <v>70.900000000000006</v>
      </c>
      <c r="E1964">
        <v>1630.7</v>
      </c>
      <c r="F1964" s="1">
        <v>45729</v>
      </c>
      <c r="G1964" s="1">
        <v>45730</v>
      </c>
      <c r="H1964" t="s">
        <v>27</v>
      </c>
      <c r="I1964" t="s">
        <v>40</v>
      </c>
      <c r="J1964">
        <v>4</v>
      </c>
      <c r="K1964" t="s">
        <v>19</v>
      </c>
      <c r="L1964" t="s">
        <v>62</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x14ac:dyDescent="0.3">
      <c r="A1965" t="s">
        <v>2065</v>
      </c>
      <c r="B1965" t="s">
        <v>26</v>
      </c>
      <c r="C1965">
        <v>2</v>
      </c>
      <c r="D1965">
        <v>53.7</v>
      </c>
      <c r="E1965">
        <v>107.4</v>
      </c>
      <c r="F1965" s="1">
        <v>45729</v>
      </c>
      <c r="G1965" s="1">
        <v>45730</v>
      </c>
      <c r="H1965" t="s">
        <v>23</v>
      </c>
      <c r="I1965" t="s">
        <v>40</v>
      </c>
      <c r="J1965">
        <v>5</v>
      </c>
      <c r="K1965" t="s">
        <v>19</v>
      </c>
      <c r="L1965" t="s">
        <v>62</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x14ac:dyDescent="0.3">
      <c r="A1966" t="s">
        <v>2066</v>
      </c>
      <c r="B1966" t="s">
        <v>46</v>
      </c>
      <c r="C1966">
        <v>4</v>
      </c>
      <c r="D1966">
        <v>42.9</v>
      </c>
      <c r="E1966">
        <v>171.6</v>
      </c>
      <c r="F1966" s="1">
        <v>45729</v>
      </c>
      <c r="G1966" s="1">
        <v>45730</v>
      </c>
      <c r="H1966" t="s">
        <v>27</v>
      </c>
      <c r="I1966" t="s">
        <v>40</v>
      </c>
      <c r="J1966">
        <v>2</v>
      </c>
      <c r="K1966" t="s">
        <v>19</v>
      </c>
      <c r="L1966" t="s">
        <v>72</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x14ac:dyDescent="0.3">
      <c r="A1967" t="s">
        <v>2067</v>
      </c>
      <c r="B1967" t="s">
        <v>26</v>
      </c>
      <c r="C1967">
        <v>7</v>
      </c>
      <c r="D1967">
        <v>107.5</v>
      </c>
      <c r="E1967">
        <v>752.5</v>
      </c>
      <c r="F1967" s="1">
        <v>45729</v>
      </c>
      <c r="G1967" s="1">
        <v>45730</v>
      </c>
      <c r="H1967" t="s">
        <v>23</v>
      </c>
      <c r="I1967" t="s">
        <v>35</v>
      </c>
      <c r="J1967">
        <v>4</v>
      </c>
      <c r="K1967" t="s">
        <v>19</v>
      </c>
      <c r="L1967" t="s">
        <v>77</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x14ac:dyDescent="0.3">
      <c r="A1968" t="s">
        <v>2068</v>
      </c>
      <c r="B1968" t="s">
        <v>135</v>
      </c>
      <c r="C1968">
        <v>16</v>
      </c>
      <c r="D1968">
        <v>21.5</v>
      </c>
      <c r="E1968">
        <v>344</v>
      </c>
      <c r="F1968" s="1">
        <v>45729</v>
      </c>
      <c r="G1968" s="1">
        <v>45730</v>
      </c>
      <c r="H1968" t="s">
        <v>23</v>
      </c>
      <c r="I1968" t="s">
        <v>35</v>
      </c>
      <c r="J1968">
        <v>3</v>
      </c>
      <c r="K1968" t="s">
        <v>19</v>
      </c>
      <c r="L1968" t="s">
        <v>309</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x14ac:dyDescent="0.3">
      <c r="A1969" t="s">
        <v>2069</v>
      </c>
      <c r="B1969" t="s">
        <v>30</v>
      </c>
      <c r="C1969">
        <v>5</v>
      </c>
      <c r="D1969">
        <v>85.3</v>
      </c>
      <c r="E1969">
        <v>426.5</v>
      </c>
      <c r="F1969" s="1">
        <v>45729</v>
      </c>
      <c r="G1969" s="1">
        <v>45731</v>
      </c>
      <c r="H1969" t="s">
        <v>27</v>
      </c>
      <c r="I1969" t="s">
        <v>51</v>
      </c>
      <c r="J1969">
        <v>4</v>
      </c>
      <c r="K1969" t="s">
        <v>19</v>
      </c>
      <c r="L1969" t="s">
        <v>108</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x14ac:dyDescent="0.3">
      <c r="A1970" t="s">
        <v>2070</v>
      </c>
      <c r="B1970" t="s">
        <v>42</v>
      </c>
      <c r="C1970">
        <v>5</v>
      </c>
      <c r="D1970">
        <v>80.8</v>
      </c>
      <c r="E1970">
        <v>404</v>
      </c>
      <c r="F1970" s="1">
        <v>45729</v>
      </c>
      <c r="G1970" s="1">
        <v>45737</v>
      </c>
      <c r="H1970" t="s">
        <v>89</v>
      </c>
      <c r="I1970" t="s">
        <v>35</v>
      </c>
      <c r="J1970">
        <v>3</v>
      </c>
      <c r="K1970" t="s">
        <v>19</v>
      </c>
      <c r="L1970" t="s">
        <v>110</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x14ac:dyDescent="0.3">
      <c r="A1971" t="s">
        <v>2071</v>
      </c>
      <c r="B1971" t="s">
        <v>26</v>
      </c>
      <c r="C1971">
        <v>3</v>
      </c>
      <c r="D1971">
        <v>123.1</v>
      </c>
      <c r="E1971">
        <v>369.29999999999995</v>
      </c>
      <c r="F1971" s="1">
        <v>45729</v>
      </c>
      <c r="G1971" s="1">
        <v>45731</v>
      </c>
      <c r="H1971" t="s">
        <v>17</v>
      </c>
      <c r="I1971" t="s">
        <v>40</v>
      </c>
      <c r="J1971">
        <v>4</v>
      </c>
      <c r="K1971" t="s">
        <v>19</v>
      </c>
      <c r="L1971" t="s">
        <v>115</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x14ac:dyDescent="0.3">
      <c r="A1972" t="s">
        <v>2072</v>
      </c>
      <c r="B1972" t="s">
        <v>44</v>
      </c>
      <c r="C1972">
        <v>2</v>
      </c>
      <c r="D1972">
        <v>36.9</v>
      </c>
      <c r="E1972">
        <v>73.8</v>
      </c>
      <c r="F1972" s="1">
        <v>45729</v>
      </c>
      <c r="G1972" s="1">
        <v>45731</v>
      </c>
      <c r="H1972" t="s">
        <v>27</v>
      </c>
      <c r="I1972" t="s">
        <v>40</v>
      </c>
      <c r="J1972">
        <v>2</v>
      </c>
      <c r="K1972" t="s">
        <v>19</v>
      </c>
      <c r="L1972" t="s">
        <v>967</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x14ac:dyDescent="0.3">
      <c r="A1973" t="s">
        <v>2073</v>
      </c>
      <c r="B1973" t="s">
        <v>67</v>
      </c>
      <c r="C1973">
        <v>5</v>
      </c>
      <c r="D1973">
        <v>40</v>
      </c>
      <c r="E1973">
        <v>200</v>
      </c>
      <c r="F1973" s="1">
        <v>45729</v>
      </c>
      <c r="G1973" s="1">
        <v>45730</v>
      </c>
      <c r="H1973" t="s">
        <v>23</v>
      </c>
      <c r="I1973" t="s">
        <v>18</v>
      </c>
      <c r="J1973">
        <v>4</v>
      </c>
      <c r="K1973" t="s">
        <v>19</v>
      </c>
      <c r="L1973" t="s">
        <v>24</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x14ac:dyDescent="0.3">
      <c r="A1974" t="s">
        <v>2074</v>
      </c>
      <c r="B1974" t="s">
        <v>39</v>
      </c>
      <c r="C1974">
        <v>3</v>
      </c>
      <c r="D1974">
        <v>55.5</v>
      </c>
      <c r="E1974">
        <v>166.5</v>
      </c>
      <c r="F1974" s="1">
        <v>45729</v>
      </c>
      <c r="G1974" s="1">
        <v>45730</v>
      </c>
      <c r="H1974" t="s">
        <v>23</v>
      </c>
      <c r="I1974" t="s">
        <v>70</v>
      </c>
      <c r="J1974">
        <v>5</v>
      </c>
      <c r="K1974" t="s">
        <v>19</v>
      </c>
      <c r="L1974" t="s">
        <v>24</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x14ac:dyDescent="0.3">
      <c r="A1975" t="s">
        <v>2075</v>
      </c>
      <c r="B1975" t="s">
        <v>16</v>
      </c>
      <c r="C1975">
        <v>4</v>
      </c>
      <c r="D1975">
        <v>20.5</v>
      </c>
      <c r="E1975">
        <v>82</v>
      </c>
      <c r="F1975" s="1">
        <v>45729</v>
      </c>
      <c r="G1975" s="1">
        <v>45733</v>
      </c>
      <c r="H1975" t="s">
        <v>27</v>
      </c>
      <c r="I1975" t="s">
        <v>70</v>
      </c>
      <c r="J1975">
        <v>4</v>
      </c>
      <c r="K1975" t="s">
        <v>19</v>
      </c>
      <c r="L1975" t="s">
        <v>24</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x14ac:dyDescent="0.3">
      <c r="A1976" t="s">
        <v>2076</v>
      </c>
      <c r="B1976" t="s">
        <v>146</v>
      </c>
      <c r="C1976">
        <v>4</v>
      </c>
      <c r="D1976">
        <v>50.1</v>
      </c>
      <c r="E1976">
        <v>200.4</v>
      </c>
      <c r="F1976" s="1">
        <v>45729</v>
      </c>
      <c r="G1976" s="1">
        <v>45730</v>
      </c>
      <c r="H1976" t="s">
        <v>27</v>
      </c>
      <c r="I1976" t="s">
        <v>70</v>
      </c>
      <c r="J1976">
        <v>4</v>
      </c>
      <c r="K1976" t="s">
        <v>19</v>
      </c>
      <c r="L1976" t="s">
        <v>24</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x14ac:dyDescent="0.3">
      <c r="A1977" t="s">
        <v>2077</v>
      </c>
      <c r="B1977" t="s">
        <v>46</v>
      </c>
      <c r="C1977">
        <v>1</v>
      </c>
      <c r="D1977">
        <v>35.9</v>
      </c>
      <c r="E1977">
        <v>35.9</v>
      </c>
      <c r="F1977" s="1">
        <v>45729</v>
      </c>
      <c r="G1977" s="1">
        <v>45731</v>
      </c>
      <c r="H1977" t="s">
        <v>23</v>
      </c>
      <c r="I1977" t="s">
        <v>35</v>
      </c>
      <c r="J1977">
        <v>5</v>
      </c>
      <c r="K1977" t="s">
        <v>19</v>
      </c>
      <c r="L1977" t="s">
        <v>24</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x14ac:dyDescent="0.3">
      <c r="A1978" t="s">
        <v>2078</v>
      </c>
      <c r="B1978" t="s">
        <v>76</v>
      </c>
      <c r="C1978">
        <v>4</v>
      </c>
      <c r="D1978">
        <v>29.4</v>
      </c>
      <c r="E1978">
        <v>117.6</v>
      </c>
      <c r="F1978" s="1">
        <v>45730</v>
      </c>
      <c r="G1978" s="1">
        <v>45731</v>
      </c>
      <c r="H1978" t="s">
        <v>23</v>
      </c>
      <c r="I1978" t="s">
        <v>40</v>
      </c>
      <c r="J1978">
        <v>5</v>
      </c>
      <c r="K1978" t="s">
        <v>19</v>
      </c>
      <c r="L1978" t="s">
        <v>331</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x14ac:dyDescent="0.3">
      <c r="A1979" t="s">
        <v>2079</v>
      </c>
      <c r="B1979" t="s">
        <v>44</v>
      </c>
      <c r="C1979">
        <v>5</v>
      </c>
      <c r="D1979">
        <v>29.1</v>
      </c>
      <c r="E1979">
        <v>145.5</v>
      </c>
      <c r="F1979" s="1">
        <v>45730</v>
      </c>
      <c r="G1979" s="1">
        <v>45738</v>
      </c>
      <c r="H1979" t="s">
        <v>89</v>
      </c>
      <c r="I1979" t="s">
        <v>40</v>
      </c>
      <c r="J1979">
        <v>3</v>
      </c>
      <c r="K1979" t="s">
        <v>19</v>
      </c>
      <c r="L1979" t="s">
        <v>331</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x14ac:dyDescent="0.3">
      <c r="A1980" t="s">
        <v>2080</v>
      </c>
      <c r="B1980" t="s">
        <v>44</v>
      </c>
      <c r="C1980">
        <v>3</v>
      </c>
      <c r="D1980">
        <v>33.5</v>
      </c>
      <c r="E1980">
        <v>100.5</v>
      </c>
      <c r="F1980" s="1">
        <v>45730</v>
      </c>
      <c r="G1980" s="1">
        <v>45742</v>
      </c>
      <c r="H1980" t="s">
        <v>23</v>
      </c>
      <c r="I1980" t="s">
        <v>18</v>
      </c>
      <c r="J1980">
        <v>5</v>
      </c>
      <c r="K1980" t="s">
        <v>19</v>
      </c>
      <c r="L1980" t="s">
        <v>147</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x14ac:dyDescent="0.3">
      <c r="A1981" t="s">
        <v>2081</v>
      </c>
      <c r="B1981" t="s">
        <v>32</v>
      </c>
      <c r="C1981">
        <v>10</v>
      </c>
      <c r="D1981">
        <v>36</v>
      </c>
      <c r="E1981">
        <v>360</v>
      </c>
      <c r="F1981" s="1">
        <v>45730</v>
      </c>
      <c r="G1981" s="1">
        <v>45730</v>
      </c>
      <c r="H1981" t="s">
        <v>23</v>
      </c>
      <c r="I1981" t="s">
        <v>51</v>
      </c>
      <c r="J1981">
        <v>5</v>
      </c>
      <c r="K1981" t="s">
        <v>19</v>
      </c>
      <c r="L1981" t="s">
        <v>33</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x14ac:dyDescent="0.3">
      <c r="A1982" t="s">
        <v>2082</v>
      </c>
      <c r="B1982" t="s">
        <v>128</v>
      </c>
      <c r="C1982">
        <v>3</v>
      </c>
      <c r="D1982">
        <v>57.3</v>
      </c>
      <c r="E1982">
        <v>171.89999999999998</v>
      </c>
      <c r="F1982" s="1">
        <v>45730</v>
      </c>
      <c r="G1982" s="1">
        <v>45734</v>
      </c>
      <c r="H1982" t="s">
        <v>27</v>
      </c>
      <c r="I1982" t="s">
        <v>18</v>
      </c>
      <c r="J1982">
        <v>5</v>
      </c>
      <c r="K1982" t="s">
        <v>19</v>
      </c>
      <c r="L1982" t="s">
        <v>33</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x14ac:dyDescent="0.3">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x14ac:dyDescent="0.3">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x14ac:dyDescent="0.3">
      <c r="A1985" t="s">
        <v>2085</v>
      </c>
      <c r="B1985" t="s">
        <v>30</v>
      </c>
      <c r="C1985">
        <v>1</v>
      </c>
      <c r="D1985">
        <v>36.1</v>
      </c>
      <c r="E1985">
        <v>36.1</v>
      </c>
      <c r="F1985" s="1">
        <v>45730</v>
      </c>
      <c r="G1985" s="1">
        <v>45731</v>
      </c>
      <c r="H1985" t="s">
        <v>27</v>
      </c>
      <c r="I1985" t="s">
        <v>70</v>
      </c>
      <c r="J1985">
        <v>4</v>
      </c>
      <c r="K1985" t="s">
        <v>19</v>
      </c>
      <c r="L1985" t="s">
        <v>33</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x14ac:dyDescent="0.3">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x14ac:dyDescent="0.3">
      <c r="A1987" t="s">
        <v>2087</v>
      </c>
      <c r="B1987" t="s">
        <v>54</v>
      </c>
      <c r="C1987">
        <v>1</v>
      </c>
      <c r="D1987">
        <v>20.9</v>
      </c>
      <c r="E1987">
        <v>20.9</v>
      </c>
      <c r="F1987" s="1">
        <v>45730</v>
      </c>
      <c r="G1987" s="1">
        <v>45732</v>
      </c>
      <c r="H1987" t="s">
        <v>27</v>
      </c>
      <c r="I1987" t="s">
        <v>18</v>
      </c>
      <c r="J1987">
        <v>2</v>
      </c>
      <c r="K1987" t="s">
        <v>19</v>
      </c>
      <c r="L1987" t="s">
        <v>33</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x14ac:dyDescent="0.3">
      <c r="A1988" t="s">
        <v>2088</v>
      </c>
      <c r="B1988" t="s">
        <v>69</v>
      </c>
      <c r="C1988">
        <v>3</v>
      </c>
      <c r="D1988">
        <v>58.8</v>
      </c>
      <c r="E1988">
        <v>176.39999999999998</v>
      </c>
      <c r="F1988" s="1">
        <v>45730</v>
      </c>
      <c r="G1988" s="1">
        <v>45734</v>
      </c>
      <c r="H1988" t="s">
        <v>23</v>
      </c>
      <c r="I1988" t="s">
        <v>18</v>
      </c>
      <c r="J1988">
        <v>5</v>
      </c>
      <c r="K1988" t="s">
        <v>19</v>
      </c>
      <c r="L1988" t="s">
        <v>188</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x14ac:dyDescent="0.3">
      <c r="A1989" t="s">
        <v>2089</v>
      </c>
      <c r="B1989" t="s">
        <v>26</v>
      </c>
      <c r="C1989">
        <v>3</v>
      </c>
      <c r="D1989">
        <v>97.6</v>
      </c>
      <c r="E1989">
        <v>292.79999999999995</v>
      </c>
      <c r="F1989" s="1">
        <v>45731</v>
      </c>
      <c r="G1989" s="1">
        <v>45733</v>
      </c>
      <c r="H1989" t="s">
        <v>17</v>
      </c>
      <c r="I1989" t="s">
        <v>18</v>
      </c>
      <c r="J1989">
        <v>4</v>
      </c>
      <c r="K1989" t="s">
        <v>19</v>
      </c>
      <c r="L1989" t="s">
        <v>55</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x14ac:dyDescent="0.3">
      <c r="A1990" t="s">
        <v>2090</v>
      </c>
      <c r="B1990" t="s">
        <v>22</v>
      </c>
      <c r="C1990">
        <v>2</v>
      </c>
      <c r="D1990">
        <v>58.7</v>
      </c>
      <c r="E1990">
        <v>117.4</v>
      </c>
      <c r="F1990" s="1">
        <v>45731</v>
      </c>
      <c r="G1990" s="1">
        <v>45734</v>
      </c>
      <c r="H1990" t="s">
        <v>27</v>
      </c>
      <c r="I1990" t="s">
        <v>18</v>
      </c>
      <c r="J1990">
        <v>3</v>
      </c>
      <c r="K1990" t="s">
        <v>19</v>
      </c>
      <c r="L1990" t="s">
        <v>55</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x14ac:dyDescent="0.3">
      <c r="A1991" t="s">
        <v>2091</v>
      </c>
      <c r="B1991" t="s">
        <v>39</v>
      </c>
      <c r="C1991">
        <v>5</v>
      </c>
      <c r="D1991">
        <v>71.900000000000006</v>
      </c>
      <c r="E1991">
        <v>359.5</v>
      </c>
      <c r="F1991" s="1">
        <v>45731</v>
      </c>
      <c r="G1991" s="1">
        <v>45732</v>
      </c>
      <c r="H1991" t="s">
        <v>17</v>
      </c>
      <c r="I1991" t="s">
        <v>18</v>
      </c>
      <c r="J1991">
        <v>3</v>
      </c>
      <c r="K1991" t="s">
        <v>19</v>
      </c>
      <c r="L1991" t="s">
        <v>55</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x14ac:dyDescent="0.3">
      <c r="A1992" t="s">
        <v>2092</v>
      </c>
      <c r="B1992" t="s">
        <v>22</v>
      </c>
      <c r="C1992">
        <v>2</v>
      </c>
      <c r="D1992">
        <v>62.4</v>
      </c>
      <c r="E1992">
        <v>124.8</v>
      </c>
      <c r="F1992" s="1">
        <v>45731</v>
      </c>
      <c r="G1992" s="1">
        <v>45733</v>
      </c>
      <c r="H1992" t="s">
        <v>17</v>
      </c>
      <c r="I1992" t="s">
        <v>18</v>
      </c>
      <c r="J1992">
        <v>3</v>
      </c>
      <c r="K1992" t="s">
        <v>19</v>
      </c>
      <c r="L1992" t="s">
        <v>62</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x14ac:dyDescent="0.3">
      <c r="A1993" t="s">
        <v>2093</v>
      </c>
      <c r="B1993" t="s">
        <v>39</v>
      </c>
      <c r="C1993">
        <v>16</v>
      </c>
      <c r="D1993">
        <v>53.8</v>
      </c>
      <c r="E1993">
        <v>860.8</v>
      </c>
      <c r="F1993" s="1">
        <v>45731</v>
      </c>
      <c r="G1993" s="1">
        <v>45732</v>
      </c>
      <c r="H1993" t="s">
        <v>27</v>
      </c>
      <c r="I1993" t="s">
        <v>35</v>
      </c>
      <c r="J1993">
        <v>4</v>
      </c>
      <c r="K1993" t="s">
        <v>19</v>
      </c>
      <c r="L1993" t="s">
        <v>62</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x14ac:dyDescent="0.3">
      <c r="A1994" t="s">
        <v>2094</v>
      </c>
      <c r="B1994" t="s">
        <v>46</v>
      </c>
      <c r="C1994">
        <v>1</v>
      </c>
      <c r="D1994">
        <v>43.8</v>
      </c>
      <c r="E1994">
        <v>43.8</v>
      </c>
      <c r="F1994" s="1">
        <v>45731</v>
      </c>
      <c r="G1994" s="1">
        <v>45738</v>
      </c>
      <c r="H1994" t="s">
        <v>27</v>
      </c>
      <c r="I1994" t="s">
        <v>18</v>
      </c>
      <c r="J1994">
        <v>5</v>
      </c>
      <c r="K1994" t="s">
        <v>19</v>
      </c>
      <c r="L1994" t="s">
        <v>62</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x14ac:dyDescent="0.3">
      <c r="A1995" t="s">
        <v>2095</v>
      </c>
      <c r="B1995" t="s">
        <v>37</v>
      </c>
      <c r="C1995">
        <v>3</v>
      </c>
      <c r="D1995">
        <v>53.6</v>
      </c>
      <c r="E1995">
        <v>160.80000000000001</v>
      </c>
      <c r="F1995" s="1">
        <v>45731</v>
      </c>
      <c r="G1995" s="1">
        <v>45732</v>
      </c>
      <c r="H1995" t="s">
        <v>23</v>
      </c>
      <c r="I1995" t="s">
        <v>51</v>
      </c>
      <c r="J1995">
        <v>4</v>
      </c>
      <c r="K1995" t="s">
        <v>19</v>
      </c>
      <c r="L1995" t="s">
        <v>62</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x14ac:dyDescent="0.3">
      <c r="A1996" t="s">
        <v>2096</v>
      </c>
      <c r="B1996" t="s">
        <v>69</v>
      </c>
      <c r="C1996">
        <v>2</v>
      </c>
      <c r="D1996">
        <v>84.3</v>
      </c>
      <c r="E1996">
        <v>168.6</v>
      </c>
      <c r="F1996" s="1">
        <v>45731</v>
      </c>
      <c r="G1996" s="1">
        <v>45734</v>
      </c>
      <c r="H1996" t="s">
        <v>23</v>
      </c>
      <c r="I1996" t="s">
        <v>70</v>
      </c>
      <c r="J1996">
        <v>3</v>
      </c>
      <c r="K1996" t="s">
        <v>19</v>
      </c>
      <c r="L1996" t="s">
        <v>62</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x14ac:dyDescent="0.3">
      <c r="A1997" t="s">
        <v>2097</v>
      </c>
      <c r="B1997" t="s">
        <v>39</v>
      </c>
      <c r="C1997">
        <v>9</v>
      </c>
      <c r="D1997">
        <v>117.9</v>
      </c>
      <c r="E1997">
        <v>1061.1000000000001</v>
      </c>
      <c r="F1997" s="1">
        <v>45731</v>
      </c>
      <c r="G1997" s="1">
        <v>45732</v>
      </c>
      <c r="H1997" t="s">
        <v>27</v>
      </c>
      <c r="I1997" t="s">
        <v>35</v>
      </c>
      <c r="J1997">
        <v>5</v>
      </c>
      <c r="K1997" t="s">
        <v>19</v>
      </c>
      <c r="L1997" t="s">
        <v>62</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x14ac:dyDescent="0.3">
      <c r="A1998" t="s">
        <v>2098</v>
      </c>
      <c r="B1998" t="s">
        <v>32</v>
      </c>
      <c r="C1998">
        <v>8</v>
      </c>
      <c r="D1998">
        <v>30</v>
      </c>
      <c r="E1998">
        <v>240</v>
      </c>
      <c r="F1998" s="1">
        <v>45731</v>
      </c>
      <c r="G1998" s="1">
        <v>45732</v>
      </c>
      <c r="H1998" t="s">
        <v>27</v>
      </c>
      <c r="I1998" t="s">
        <v>35</v>
      </c>
      <c r="J1998">
        <v>4</v>
      </c>
      <c r="K1998" t="s">
        <v>19</v>
      </c>
      <c r="L1998" t="s">
        <v>201</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x14ac:dyDescent="0.3">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x14ac:dyDescent="0.3">
      <c r="A2000" t="s">
        <v>2100</v>
      </c>
      <c r="B2000" t="s">
        <v>32</v>
      </c>
      <c r="C2000">
        <v>9</v>
      </c>
      <c r="D2000">
        <v>25.1</v>
      </c>
      <c r="E2000">
        <v>225.9</v>
      </c>
      <c r="F2000" s="1">
        <v>45731</v>
      </c>
      <c r="G2000" s="1">
        <v>45733</v>
      </c>
      <c r="H2000" t="s">
        <v>23</v>
      </c>
      <c r="I2000" t="s">
        <v>35</v>
      </c>
      <c r="J2000">
        <v>5</v>
      </c>
      <c r="K2000" t="s">
        <v>19</v>
      </c>
      <c r="L2000" t="s">
        <v>77</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x14ac:dyDescent="0.3">
      <c r="A2001" t="s">
        <v>2101</v>
      </c>
      <c r="B2001" t="s">
        <v>44</v>
      </c>
      <c r="C2001">
        <v>11</v>
      </c>
      <c r="D2001">
        <v>36</v>
      </c>
      <c r="E2001">
        <v>396</v>
      </c>
      <c r="F2001" s="1">
        <v>45731</v>
      </c>
      <c r="G2001" s="1">
        <v>45741</v>
      </c>
      <c r="H2001" t="s">
        <v>23</v>
      </c>
      <c r="I2001" t="s">
        <v>35</v>
      </c>
      <c r="J2001">
        <v>4</v>
      </c>
      <c r="K2001" t="s">
        <v>19</v>
      </c>
      <c r="L2001" t="s">
        <v>108</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x14ac:dyDescent="0.3">
      <c r="A2002" t="s">
        <v>2102</v>
      </c>
      <c r="B2002" t="s">
        <v>128</v>
      </c>
      <c r="C2002">
        <v>3</v>
      </c>
      <c r="D2002">
        <v>48.5</v>
      </c>
      <c r="E2002">
        <v>145.5</v>
      </c>
      <c r="F2002" s="1">
        <v>45731</v>
      </c>
      <c r="G2002" s="1">
        <v>45735</v>
      </c>
      <c r="H2002" t="s">
        <v>27</v>
      </c>
      <c r="I2002" t="s">
        <v>35</v>
      </c>
      <c r="J2002">
        <v>4</v>
      </c>
      <c r="K2002" t="s">
        <v>19</v>
      </c>
      <c r="L2002" t="s">
        <v>110</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x14ac:dyDescent="0.3">
      <c r="A2003" t="s">
        <v>2103</v>
      </c>
      <c r="B2003" t="s">
        <v>135</v>
      </c>
      <c r="C2003">
        <v>6</v>
      </c>
      <c r="D2003">
        <v>21.1</v>
      </c>
      <c r="E2003">
        <v>126.60000000000001</v>
      </c>
      <c r="F2003" s="1">
        <v>45731</v>
      </c>
      <c r="G2003" s="1">
        <v>45732</v>
      </c>
      <c r="H2003" t="s">
        <v>23</v>
      </c>
      <c r="I2003" t="s">
        <v>35</v>
      </c>
      <c r="J2003">
        <v>5</v>
      </c>
      <c r="K2003" t="s">
        <v>19</v>
      </c>
      <c r="L2003" t="s">
        <v>115</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x14ac:dyDescent="0.3">
      <c r="A2004" t="s">
        <v>2104</v>
      </c>
      <c r="B2004" t="s">
        <v>123</v>
      </c>
      <c r="C2004">
        <v>14</v>
      </c>
      <c r="D2004">
        <v>43.2</v>
      </c>
      <c r="E2004">
        <v>604.80000000000007</v>
      </c>
      <c r="F2004" s="1">
        <v>45731</v>
      </c>
      <c r="G2004" s="1">
        <v>45732</v>
      </c>
      <c r="H2004" t="s">
        <v>89</v>
      </c>
      <c r="I2004" t="s">
        <v>18</v>
      </c>
      <c r="J2004">
        <v>3</v>
      </c>
      <c r="K2004" t="s">
        <v>19</v>
      </c>
      <c r="L2004" t="s">
        <v>115</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x14ac:dyDescent="0.3">
      <c r="A2005" t="s">
        <v>2105</v>
      </c>
      <c r="B2005" t="s">
        <v>46</v>
      </c>
      <c r="C2005">
        <v>2</v>
      </c>
      <c r="D2005">
        <v>21.1</v>
      </c>
      <c r="E2005">
        <v>42.2</v>
      </c>
      <c r="F2005" s="1">
        <v>45731</v>
      </c>
      <c r="G2005" s="1">
        <v>45732</v>
      </c>
      <c r="H2005" t="s">
        <v>17</v>
      </c>
      <c r="I2005" t="s">
        <v>51</v>
      </c>
      <c r="J2005">
        <v>3</v>
      </c>
      <c r="K2005" t="s">
        <v>19</v>
      </c>
      <c r="L2005" t="s">
        <v>115</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x14ac:dyDescent="0.3">
      <c r="A2006" t="s">
        <v>2106</v>
      </c>
      <c r="B2006" t="s">
        <v>39</v>
      </c>
      <c r="C2006">
        <v>4</v>
      </c>
      <c r="D2006">
        <v>41.3</v>
      </c>
      <c r="E2006">
        <v>165.2</v>
      </c>
      <c r="F2006" s="1">
        <v>45731</v>
      </c>
      <c r="G2006" s="1">
        <v>45733</v>
      </c>
      <c r="H2006" t="s">
        <v>27</v>
      </c>
      <c r="I2006" t="s">
        <v>51</v>
      </c>
      <c r="J2006">
        <v>5</v>
      </c>
      <c r="K2006" t="s">
        <v>19</v>
      </c>
      <c r="L2006" t="s">
        <v>24</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x14ac:dyDescent="0.3">
      <c r="A2007" t="s">
        <v>2107</v>
      </c>
      <c r="B2007" t="s">
        <v>44</v>
      </c>
      <c r="C2007">
        <v>2</v>
      </c>
      <c r="D2007">
        <v>15.3</v>
      </c>
      <c r="E2007">
        <v>30.6</v>
      </c>
      <c r="F2007" s="1">
        <v>45731</v>
      </c>
      <c r="G2007" s="1">
        <v>45734</v>
      </c>
      <c r="H2007" t="s">
        <v>17</v>
      </c>
      <c r="I2007" t="s">
        <v>40</v>
      </c>
      <c r="J2007">
        <v>5</v>
      </c>
      <c r="K2007" t="s">
        <v>19</v>
      </c>
      <c r="L2007" t="s">
        <v>24</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x14ac:dyDescent="0.3">
      <c r="A2008" t="s">
        <v>2108</v>
      </c>
      <c r="B2008" t="s">
        <v>22</v>
      </c>
      <c r="C2008">
        <v>1</v>
      </c>
      <c r="D2008">
        <v>54.6</v>
      </c>
      <c r="E2008">
        <v>54.6</v>
      </c>
      <c r="F2008" s="1">
        <v>45731</v>
      </c>
      <c r="G2008" s="1">
        <v>45733</v>
      </c>
      <c r="H2008" t="s">
        <v>23</v>
      </c>
      <c r="I2008" t="s">
        <v>35</v>
      </c>
      <c r="J2008">
        <v>3</v>
      </c>
      <c r="K2008" t="s">
        <v>19</v>
      </c>
      <c r="L2008" t="s">
        <v>28</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x14ac:dyDescent="0.3">
      <c r="A2009" t="s">
        <v>2109</v>
      </c>
      <c r="B2009" t="s">
        <v>44</v>
      </c>
      <c r="C2009">
        <v>1</v>
      </c>
      <c r="D2009">
        <v>15.9</v>
      </c>
      <c r="E2009">
        <v>15.9</v>
      </c>
      <c r="F2009" s="1">
        <v>45731</v>
      </c>
      <c r="G2009" s="1">
        <v>45732</v>
      </c>
      <c r="H2009" t="s">
        <v>23</v>
      </c>
      <c r="I2009" t="s">
        <v>18</v>
      </c>
      <c r="J2009">
        <v>3</v>
      </c>
      <c r="K2009" t="s">
        <v>19</v>
      </c>
      <c r="L2009" t="s">
        <v>147</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x14ac:dyDescent="0.3">
      <c r="A2010" t="s">
        <v>2110</v>
      </c>
      <c r="B2010" t="s">
        <v>46</v>
      </c>
      <c r="C2010">
        <v>1</v>
      </c>
      <c r="D2010">
        <v>50.2</v>
      </c>
      <c r="E2010">
        <v>50.2</v>
      </c>
      <c r="F2010" s="1">
        <v>45731</v>
      </c>
      <c r="G2010" s="1">
        <v>45733</v>
      </c>
      <c r="H2010" t="s">
        <v>27</v>
      </c>
      <c r="I2010" t="s">
        <v>51</v>
      </c>
      <c r="J2010">
        <v>5</v>
      </c>
      <c r="K2010" t="s">
        <v>19</v>
      </c>
      <c r="L2010" t="s">
        <v>334</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x14ac:dyDescent="0.3">
      <c r="A2011" t="s">
        <v>2111</v>
      </c>
      <c r="B2011" t="s">
        <v>67</v>
      </c>
      <c r="C2011">
        <v>4</v>
      </c>
      <c r="D2011">
        <v>85.1</v>
      </c>
      <c r="E2011">
        <v>340.4</v>
      </c>
      <c r="F2011" s="1">
        <v>45731</v>
      </c>
      <c r="G2011" s="1">
        <v>45732</v>
      </c>
      <c r="H2011" t="s">
        <v>27</v>
      </c>
      <c r="I2011" t="s">
        <v>51</v>
      </c>
      <c r="J2011">
        <v>2</v>
      </c>
      <c r="K2011" t="s">
        <v>19</v>
      </c>
      <c r="L2011" t="s">
        <v>334</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x14ac:dyDescent="0.3">
      <c r="A2012" t="s">
        <v>2112</v>
      </c>
      <c r="B2012" t="s">
        <v>67</v>
      </c>
      <c r="C2012">
        <v>2</v>
      </c>
      <c r="D2012">
        <v>41.4</v>
      </c>
      <c r="E2012">
        <v>82.8</v>
      </c>
      <c r="F2012" s="1">
        <v>45731</v>
      </c>
      <c r="G2012" s="1">
        <v>45732</v>
      </c>
      <c r="H2012" t="s">
        <v>27</v>
      </c>
      <c r="I2012" t="s">
        <v>18</v>
      </c>
      <c r="J2012">
        <v>5</v>
      </c>
      <c r="K2012" t="s">
        <v>19</v>
      </c>
      <c r="L2012" t="s">
        <v>33</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x14ac:dyDescent="0.3">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x14ac:dyDescent="0.3">
      <c r="A2014" t="s">
        <v>2114</v>
      </c>
      <c r="B2014" t="s">
        <v>32</v>
      </c>
      <c r="C2014">
        <v>2</v>
      </c>
      <c r="D2014">
        <v>41.6</v>
      </c>
      <c r="E2014">
        <v>83.2</v>
      </c>
      <c r="F2014" s="1">
        <v>45731</v>
      </c>
      <c r="G2014" s="1">
        <v>45733</v>
      </c>
      <c r="H2014" t="s">
        <v>23</v>
      </c>
      <c r="I2014" t="s">
        <v>70</v>
      </c>
      <c r="J2014">
        <v>3</v>
      </c>
      <c r="K2014" t="s">
        <v>19</v>
      </c>
      <c r="L2014" t="s">
        <v>33</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x14ac:dyDescent="0.3">
      <c r="A2015" t="s">
        <v>2115</v>
      </c>
      <c r="B2015" t="s">
        <v>37</v>
      </c>
      <c r="C2015">
        <v>4</v>
      </c>
      <c r="D2015">
        <v>64.8</v>
      </c>
      <c r="E2015">
        <v>259.2</v>
      </c>
      <c r="F2015" s="1">
        <v>45731</v>
      </c>
      <c r="G2015" s="1">
        <v>45732</v>
      </c>
      <c r="H2015" t="s">
        <v>17</v>
      </c>
      <c r="I2015" t="s">
        <v>40</v>
      </c>
      <c r="J2015">
        <v>4</v>
      </c>
      <c r="K2015" t="s">
        <v>19</v>
      </c>
      <c r="L2015" t="s">
        <v>33</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x14ac:dyDescent="0.3">
      <c r="A2016" t="s">
        <v>2116</v>
      </c>
      <c r="B2016" t="s">
        <v>123</v>
      </c>
      <c r="C2016">
        <v>2</v>
      </c>
      <c r="D2016">
        <v>33.6</v>
      </c>
      <c r="E2016">
        <v>67.2</v>
      </c>
      <c r="F2016" s="1">
        <v>45731</v>
      </c>
      <c r="G2016" s="1">
        <v>45732</v>
      </c>
      <c r="H2016" t="s">
        <v>23</v>
      </c>
      <c r="I2016" t="s">
        <v>18</v>
      </c>
      <c r="J2016">
        <v>5</v>
      </c>
      <c r="K2016" t="s">
        <v>19</v>
      </c>
      <c r="L2016" t="s">
        <v>33</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x14ac:dyDescent="0.3">
      <c r="A2017" t="s">
        <v>2117</v>
      </c>
      <c r="B2017" t="s">
        <v>39</v>
      </c>
      <c r="C2017">
        <v>3</v>
      </c>
      <c r="D2017">
        <v>100.7</v>
      </c>
      <c r="E2017">
        <v>302.10000000000002</v>
      </c>
      <c r="F2017" s="1">
        <v>45731</v>
      </c>
      <c r="G2017" s="1">
        <v>45732</v>
      </c>
      <c r="H2017" t="s">
        <v>17</v>
      </c>
      <c r="I2017" t="s">
        <v>35</v>
      </c>
      <c r="J2017">
        <v>4</v>
      </c>
      <c r="K2017" t="s">
        <v>19</v>
      </c>
      <c r="L2017" t="s">
        <v>33</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x14ac:dyDescent="0.3">
      <c r="A2018" t="s">
        <v>2118</v>
      </c>
      <c r="B2018" t="s">
        <v>32</v>
      </c>
      <c r="C2018">
        <v>2</v>
      </c>
      <c r="D2018">
        <v>49.3</v>
      </c>
      <c r="E2018">
        <v>98.6</v>
      </c>
      <c r="F2018" s="1">
        <v>45732</v>
      </c>
      <c r="G2018" s="1">
        <v>45734</v>
      </c>
      <c r="H2018" t="s">
        <v>27</v>
      </c>
      <c r="I2018" t="s">
        <v>70</v>
      </c>
      <c r="J2018">
        <v>5</v>
      </c>
      <c r="K2018" t="s">
        <v>19</v>
      </c>
      <c r="L2018" t="s">
        <v>33</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x14ac:dyDescent="0.3">
      <c r="A2019" t="s">
        <v>2119</v>
      </c>
      <c r="B2019" t="s">
        <v>26</v>
      </c>
      <c r="C2019">
        <v>6</v>
      </c>
      <c r="D2019">
        <v>97</v>
      </c>
      <c r="E2019">
        <v>582</v>
      </c>
      <c r="F2019" s="1">
        <v>45732</v>
      </c>
      <c r="G2019" s="1">
        <v>45735</v>
      </c>
      <c r="H2019" t="s">
        <v>23</v>
      </c>
      <c r="I2019" t="s">
        <v>40</v>
      </c>
      <c r="J2019">
        <v>5</v>
      </c>
      <c r="K2019" t="s">
        <v>19</v>
      </c>
      <c r="L2019" t="s">
        <v>33</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x14ac:dyDescent="0.3">
      <c r="A2020" t="s">
        <v>2120</v>
      </c>
      <c r="B2020" t="s">
        <v>16</v>
      </c>
      <c r="C2020">
        <v>6</v>
      </c>
      <c r="D2020">
        <v>25.2</v>
      </c>
      <c r="E2020">
        <v>151.19999999999999</v>
      </c>
      <c r="F2020" s="1">
        <v>45732</v>
      </c>
      <c r="G2020" s="1">
        <v>45735</v>
      </c>
      <c r="H2020" t="s">
        <v>27</v>
      </c>
      <c r="I2020" t="s">
        <v>70</v>
      </c>
      <c r="J2020">
        <v>5</v>
      </c>
      <c r="K2020" t="s">
        <v>19</v>
      </c>
      <c r="L2020" t="s">
        <v>33</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x14ac:dyDescent="0.3">
      <c r="A2021" t="s">
        <v>2121</v>
      </c>
      <c r="B2021" t="s">
        <v>16</v>
      </c>
      <c r="C2021">
        <v>11</v>
      </c>
      <c r="D2021">
        <v>12.2</v>
      </c>
      <c r="E2021">
        <v>134.19999999999999</v>
      </c>
      <c r="F2021" s="1">
        <v>45732</v>
      </c>
      <c r="G2021" s="1">
        <v>45733</v>
      </c>
      <c r="H2021" t="s">
        <v>17</v>
      </c>
      <c r="I2021" t="s">
        <v>18</v>
      </c>
      <c r="J2021">
        <v>3</v>
      </c>
      <c r="K2021" t="s">
        <v>19</v>
      </c>
      <c r="L2021" t="s">
        <v>33</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x14ac:dyDescent="0.3">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x14ac:dyDescent="0.3">
      <c r="A2023" t="s">
        <v>2123</v>
      </c>
      <c r="B2023" t="s">
        <v>26</v>
      </c>
      <c r="C2023">
        <v>4</v>
      </c>
      <c r="D2023">
        <v>53.2</v>
      </c>
      <c r="E2023">
        <v>212.8</v>
      </c>
      <c r="F2023" s="1">
        <v>45732</v>
      </c>
      <c r="G2023" s="1">
        <v>45733</v>
      </c>
      <c r="H2023" t="s">
        <v>23</v>
      </c>
      <c r="I2023" t="s">
        <v>18</v>
      </c>
      <c r="J2023">
        <v>5</v>
      </c>
      <c r="K2023" t="s">
        <v>19</v>
      </c>
      <c r="L2023" t="s">
        <v>62</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x14ac:dyDescent="0.3">
      <c r="A2024" t="s">
        <v>2124</v>
      </c>
      <c r="B2024" t="s">
        <v>39</v>
      </c>
      <c r="C2024">
        <v>7</v>
      </c>
      <c r="D2024">
        <v>151</v>
      </c>
      <c r="E2024">
        <v>1057</v>
      </c>
      <c r="F2024" s="1">
        <v>45732</v>
      </c>
      <c r="G2024" s="1">
        <v>45733</v>
      </c>
      <c r="H2024" t="s">
        <v>89</v>
      </c>
      <c r="I2024" t="s">
        <v>35</v>
      </c>
      <c r="J2024">
        <v>3</v>
      </c>
      <c r="K2024" t="s">
        <v>19</v>
      </c>
      <c r="L2024" t="s">
        <v>62</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x14ac:dyDescent="0.3">
      <c r="A2025" t="s">
        <v>2125</v>
      </c>
      <c r="B2025" t="s">
        <v>22</v>
      </c>
      <c r="C2025">
        <v>2</v>
      </c>
      <c r="D2025">
        <v>37.1</v>
      </c>
      <c r="E2025">
        <v>74.2</v>
      </c>
      <c r="F2025" s="1">
        <v>45732</v>
      </c>
      <c r="G2025" s="1">
        <v>45733</v>
      </c>
      <c r="H2025" t="s">
        <v>27</v>
      </c>
      <c r="I2025" t="s">
        <v>70</v>
      </c>
      <c r="J2025">
        <v>4</v>
      </c>
      <c r="K2025" t="s">
        <v>19</v>
      </c>
      <c r="L2025" t="s">
        <v>62</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x14ac:dyDescent="0.3">
      <c r="A2026" t="s">
        <v>2126</v>
      </c>
      <c r="B2026" t="s">
        <v>37</v>
      </c>
      <c r="C2026">
        <v>2</v>
      </c>
      <c r="D2026">
        <v>38.9</v>
      </c>
      <c r="E2026">
        <v>77.8</v>
      </c>
      <c r="F2026" s="1">
        <v>45732</v>
      </c>
      <c r="G2026" s="1">
        <v>45733</v>
      </c>
      <c r="H2026" t="s">
        <v>23</v>
      </c>
      <c r="I2026" t="s">
        <v>70</v>
      </c>
      <c r="J2026">
        <v>4</v>
      </c>
      <c r="K2026" t="s">
        <v>19</v>
      </c>
      <c r="L2026" t="s">
        <v>62</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x14ac:dyDescent="0.3">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x14ac:dyDescent="0.3">
      <c r="A2028" t="s">
        <v>2128</v>
      </c>
      <c r="B2028" t="s">
        <v>16</v>
      </c>
      <c r="C2028">
        <v>2</v>
      </c>
      <c r="D2028">
        <v>22.3</v>
      </c>
      <c r="E2028">
        <v>44.6</v>
      </c>
      <c r="F2028" s="1">
        <v>45732</v>
      </c>
      <c r="G2028" s="1">
        <v>45734</v>
      </c>
      <c r="H2028" t="s">
        <v>27</v>
      </c>
      <c r="I2028" t="s">
        <v>35</v>
      </c>
      <c r="J2028">
        <v>4</v>
      </c>
      <c r="K2028" t="s">
        <v>19</v>
      </c>
      <c r="L2028" t="s">
        <v>72</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x14ac:dyDescent="0.3">
      <c r="A2029" t="s">
        <v>2129</v>
      </c>
      <c r="B2029" t="s">
        <v>46</v>
      </c>
      <c r="C2029">
        <v>1</v>
      </c>
      <c r="D2029">
        <v>43.3</v>
      </c>
      <c r="E2029">
        <v>43.3</v>
      </c>
      <c r="F2029" s="1">
        <v>45732</v>
      </c>
      <c r="G2029" s="1">
        <v>45735</v>
      </c>
      <c r="H2029" t="s">
        <v>27</v>
      </c>
      <c r="I2029" t="s">
        <v>18</v>
      </c>
      <c r="J2029">
        <v>5</v>
      </c>
      <c r="K2029" t="s">
        <v>19</v>
      </c>
      <c r="L2029" t="s">
        <v>77</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x14ac:dyDescent="0.3">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x14ac:dyDescent="0.3">
      <c r="A2031" t="s">
        <v>2131</v>
      </c>
      <c r="B2031" t="s">
        <v>39</v>
      </c>
      <c r="C2031">
        <v>3</v>
      </c>
      <c r="D2031">
        <v>78.7</v>
      </c>
      <c r="E2031">
        <v>236.10000000000002</v>
      </c>
      <c r="F2031" s="1">
        <v>45732</v>
      </c>
      <c r="G2031" s="1">
        <v>45736</v>
      </c>
      <c r="H2031" t="s">
        <v>27</v>
      </c>
      <c r="I2031" t="s">
        <v>40</v>
      </c>
      <c r="J2031">
        <v>3</v>
      </c>
      <c r="K2031" t="s">
        <v>19</v>
      </c>
      <c r="L2031" t="s">
        <v>77</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x14ac:dyDescent="0.3">
      <c r="A2032" t="s">
        <v>2132</v>
      </c>
      <c r="B2032" t="s">
        <v>22</v>
      </c>
      <c r="C2032">
        <v>1</v>
      </c>
      <c r="D2032">
        <v>66.3</v>
      </c>
      <c r="E2032">
        <v>66.3</v>
      </c>
      <c r="F2032" s="1">
        <v>45732</v>
      </c>
      <c r="G2032" s="1">
        <v>45736</v>
      </c>
      <c r="H2032" t="s">
        <v>27</v>
      </c>
      <c r="I2032" t="s">
        <v>18</v>
      </c>
      <c r="J2032">
        <v>5</v>
      </c>
      <c r="K2032" t="s">
        <v>19</v>
      </c>
      <c r="L2032" t="s">
        <v>110</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x14ac:dyDescent="0.3">
      <c r="A2033" t="s">
        <v>2133</v>
      </c>
      <c r="B2033" t="s">
        <v>44</v>
      </c>
      <c r="C2033">
        <v>2</v>
      </c>
      <c r="D2033">
        <v>33.6</v>
      </c>
      <c r="E2033">
        <v>67.2</v>
      </c>
      <c r="F2033" s="1">
        <v>45732</v>
      </c>
      <c r="G2033" s="1">
        <v>45732</v>
      </c>
      <c r="H2033" t="s">
        <v>23</v>
      </c>
      <c r="I2033" t="s">
        <v>18</v>
      </c>
      <c r="J2033">
        <v>3</v>
      </c>
      <c r="K2033" t="s">
        <v>19</v>
      </c>
      <c r="L2033" t="s">
        <v>110</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x14ac:dyDescent="0.3">
      <c r="A2034" t="s">
        <v>2134</v>
      </c>
      <c r="B2034" t="s">
        <v>26</v>
      </c>
      <c r="C2034">
        <v>7</v>
      </c>
      <c r="D2034">
        <v>61.4</v>
      </c>
      <c r="E2034">
        <v>429.8</v>
      </c>
      <c r="F2034" s="1">
        <v>45732</v>
      </c>
      <c r="G2034" s="1">
        <v>45733</v>
      </c>
      <c r="H2034" t="s">
        <v>23</v>
      </c>
      <c r="I2034" t="s">
        <v>70</v>
      </c>
      <c r="J2034">
        <v>4</v>
      </c>
      <c r="K2034" t="s">
        <v>19</v>
      </c>
      <c r="L2034" t="s">
        <v>110</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x14ac:dyDescent="0.3">
      <c r="A2035" t="s">
        <v>2135</v>
      </c>
      <c r="B2035" t="s">
        <v>44</v>
      </c>
      <c r="C2035">
        <v>2</v>
      </c>
      <c r="D2035">
        <v>17.5</v>
      </c>
      <c r="E2035">
        <v>35</v>
      </c>
      <c r="F2035" s="1">
        <v>45732</v>
      </c>
      <c r="G2035" s="1">
        <v>45735</v>
      </c>
      <c r="H2035" t="s">
        <v>27</v>
      </c>
      <c r="I2035" t="s">
        <v>18</v>
      </c>
      <c r="J2035">
        <v>4</v>
      </c>
      <c r="K2035" t="s">
        <v>19</v>
      </c>
      <c r="L2035" t="s">
        <v>115</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x14ac:dyDescent="0.3">
      <c r="A2036" t="s">
        <v>2136</v>
      </c>
      <c r="B2036" t="s">
        <v>44</v>
      </c>
      <c r="C2036">
        <v>2</v>
      </c>
      <c r="D2036">
        <v>32.5</v>
      </c>
      <c r="E2036">
        <v>65</v>
      </c>
      <c r="F2036" s="1">
        <v>45732</v>
      </c>
      <c r="G2036" s="1">
        <v>45735</v>
      </c>
      <c r="H2036" t="s">
        <v>27</v>
      </c>
      <c r="I2036" t="s">
        <v>35</v>
      </c>
      <c r="J2036">
        <v>4</v>
      </c>
      <c r="K2036" t="s">
        <v>19</v>
      </c>
      <c r="L2036" t="s">
        <v>115</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x14ac:dyDescent="0.3">
      <c r="A2037" t="s">
        <v>2137</v>
      </c>
      <c r="B2037" t="s">
        <v>32</v>
      </c>
      <c r="C2037">
        <v>1</v>
      </c>
      <c r="D2037">
        <v>34.6</v>
      </c>
      <c r="E2037">
        <v>34.6</v>
      </c>
      <c r="F2037" s="1">
        <v>45732</v>
      </c>
      <c r="G2037" s="1">
        <v>45733</v>
      </c>
      <c r="H2037" t="s">
        <v>27</v>
      </c>
      <c r="I2037" t="s">
        <v>70</v>
      </c>
      <c r="J2037">
        <v>4</v>
      </c>
      <c r="K2037" t="s">
        <v>19</v>
      </c>
      <c r="L2037" t="s">
        <v>115</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x14ac:dyDescent="0.3">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x14ac:dyDescent="0.3">
      <c r="A2039" t="s">
        <v>2139</v>
      </c>
      <c r="B2039" t="s">
        <v>22</v>
      </c>
      <c r="C2039">
        <v>3</v>
      </c>
      <c r="D2039">
        <v>42.1</v>
      </c>
      <c r="E2039">
        <v>126.30000000000001</v>
      </c>
      <c r="F2039" s="1">
        <v>45732</v>
      </c>
      <c r="G2039" s="1">
        <v>45735</v>
      </c>
      <c r="H2039" t="s">
        <v>23</v>
      </c>
      <c r="I2039" t="s">
        <v>35</v>
      </c>
      <c r="J2039">
        <v>3</v>
      </c>
      <c r="K2039" t="s">
        <v>19</v>
      </c>
      <c r="L2039" t="s">
        <v>115</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x14ac:dyDescent="0.3">
      <c r="A2040" t="s">
        <v>2140</v>
      </c>
      <c r="B2040" t="s">
        <v>42</v>
      </c>
      <c r="C2040">
        <v>3</v>
      </c>
      <c r="D2040">
        <v>65.3</v>
      </c>
      <c r="E2040">
        <v>195.89999999999998</v>
      </c>
      <c r="F2040" s="1">
        <v>45732</v>
      </c>
      <c r="G2040" s="1">
        <v>45739</v>
      </c>
      <c r="H2040" t="s">
        <v>23</v>
      </c>
      <c r="I2040" t="s">
        <v>18</v>
      </c>
      <c r="J2040">
        <v>4</v>
      </c>
      <c r="K2040" t="s">
        <v>19</v>
      </c>
      <c r="L2040" t="s">
        <v>24</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x14ac:dyDescent="0.3">
      <c r="A2041" t="s">
        <v>2141</v>
      </c>
      <c r="B2041" t="s">
        <v>123</v>
      </c>
      <c r="C2041">
        <v>1</v>
      </c>
      <c r="D2041">
        <v>20.6</v>
      </c>
      <c r="E2041">
        <v>20.6</v>
      </c>
      <c r="F2041" s="1">
        <v>45732</v>
      </c>
      <c r="G2041" s="1">
        <v>45735</v>
      </c>
      <c r="H2041" t="s">
        <v>23</v>
      </c>
      <c r="I2041" t="s">
        <v>51</v>
      </c>
      <c r="J2041">
        <v>4</v>
      </c>
      <c r="K2041" t="s">
        <v>19</v>
      </c>
      <c r="L2041" t="s">
        <v>437</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x14ac:dyDescent="0.3">
      <c r="A2042" t="s">
        <v>2142</v>
      </c>
      <c r="B2042" t="s">
        <v>44</v>
      </c>
      <c r="C2042">
        <v>7</v>
      </c>
      <c r="D2042">
        <v>16.5</v>
      </c>
      <c r="E2042">
        <v>115.5</v>
      </c>
      <c r="F2042" s="1">
        <v>45732</v>
      </c>
      <c r="G2042" s="1">
        <v>45733</v>
      </c>
      <c r="H2042" t="s">
        <v>23</v>
      </c>
      <c r="I2042" t="s">
        <v>35</v>
      </c>
      <c r="J2042">
        <v>3</v>
      </c>
      <c r="K2042" t="s">
        <v>19</v>
      </c>
      <c r="L2042" t="s">
        <v>28</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x14ac:dyDescent="0.3">
      <c r="A2043" t="s">
        <v>2143</v>
      </c>
      <c r="B2043" t="s">
        <v>128</v>
      </c>
      <c r="C2043">
        <v>10</v>
      </c>
      <c r="D2043">
        <v>36.200000000000003</v>
      </c>
      <c r="E2043">
        <v>362</v>
      </c>
      <c r="F2043" s="1">
        <v>45732</v>
      </c>
      <c r="G2043" s="1">
        <v>45734</v>
      </c>
      <c r="H2043" t="s">
        <v>23</v>
      </c>
      <c r="I2043" t="s">
        <v>18</v>
      </c>
      <c r="J2043">
        <v>5</v>
      </c>
      <c r="K2043" t="s">
        <v>19</v>
      </c>
      <c r="L2043" t="s">
        <v>28</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x14ac:dyDescent="0.3">
      <c r="A2044" t="s">
        <v>2144</v>
      </c>
      <c r="B2044" t="s">
        <v>39</v>
      </c>
      <c r="C2044">
        <v>1</v>
      </c>
      <c r="D2044">
        <v>53.2</v>
      </c>
      <c r="E2044">
        <v>53.2</v>
      </c>
      <c r="F2044" s="1">
        <v>45732</v>
      </c>
      <c r="G2044" s="1">
        <v>45733</v>
      </c>
      <c r="H2044" t="s">
        <v>27</v>
      </c>
      <c r="I2044" t="s">
        <v>18</v>
      </c>
      <c r="J2044">
        <v>3</v>
      </c>
      <c r="K2044" t="s">
        <v>19</v>
      </c>
      <c r="L2044" t="s">
        <v>147</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x14ac:dyDescent="0.3">
      <c r="A2045" t="s">
        <v>2145</v>
      </c>
      <c r="B2045" t="s">
        <v>26</v>
      </c>
      <c r="C2045">
        <v>14</v>
      </c>
      <c r="D2045">
        <v>176</v>
      </c>
      <c r="E2045">
        <v>2464</v>
      </c>
      <c r="F2045" s="1">
        <v>45732</v>
      </c>
      <c r="G2045" s="1">
        <v>45733</v>
      </c>
      <c r="H2045" t="s">
        <v>27</v>
      </c>
      <c r="I2045" t="s">
        <v>18</v>
      </c>
      <c r="J2045">
        <v>3</v>
      </c>
      <c r="K2045" t="s">
        <v>19</v>
      </c>
      <c r="L2045" t="s">
        <v>33</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x14ac:dyDescent="0.3">
      <c r="A2046" t="s">
        <v>2146</v>
      </c>
      <c r="B2046" t="s">
        <v>22</v>
      </c>
      <c r="C2046">
        <v>1</v>
      </c>
      <c r="D2046">
        <v>52.4</v>
      </c>
      <c r="E2046">
        <v>52.4</v>
      </c>
      <c r="F2046" s="1">
        <v>45732</v>
      </c>
      <c r="G2046" s="1">
        <v>45733</v>
      </c>
      <c r="H2046" t="s">
        <v>23</v>
      </c>
      <c r="I2046" t="s">
        <v>35</v>
      </c>
      <c r="J2046">
        <v>4</v>
      </c>
      <c r="K2046" t="s">
        <v>19</v>
      </c>
      <c r="L2046" t="s">
        <v>33</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x14ac:dyDescent="0.3">
      <c r="A2047" t="s">
        <v>2147</v>
      </c>
      <c r="B2047" t="s">
        <v>54</v>
      </c>
      <c r="C2047">
        <v>3</v>
      </c>
      <c r="D2047">
        <v>48.2</v>
      </c>
      <c r="E2047">
        <v>144.60000000000002</v>
      </c>
      <c r="F2047" s="1">
        <v>45732</v>
      </c>
      <c r="G2047" s="1">
        <v>45733</v>
      </c>
      <c r="H2047" t="s">
        <v>27</v>
      </c>
      <c r="I2047" t="s">
        <v>35</v>
      </c>
      <c r="J2047">
        <v>5</v>
      </c>
      <c r="K2047" t="s">
        <v>19</v>
      </c>
      <c r="L2047" t="s">
        <v>33</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x14ac:dyDescent="0.3">
      <c r="A2048" t="s">
        <v>2148</v>
      </c>
      <c r="B2048" t="s">
        <v>123</v>
      </c>
      <c r="C2048">
        <v>1</v>
      </c>
      <c r="D2048">
        <v>51.6</v>
      </c>
      <c r="E2048">
        <v>51.6</v>
      </c>
      <c r="F2048" s="1">
        <v>45732</v>
      </c>
      <c r="G2048" s="1">
        <v>45736</v>
      </c>
      <c r="H2048" t="s">
        <v>27</v>
      </c>
      <c r="I2048" t="s">
        <v>40</v>
      </c>
      <c r="J2048">
        <v>3</v>
      </c>
      <c r="K2048" t="s">
        <v>19</v>
      </c>
      <c r="L2048" t="s">
        <v>33</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x14ac:dyDescent="0.3">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x14ac:dyDescent="0.3">
      <c r="A2050" t="s">
        <v>2150</v>
      </c>
      <c r="B2050" t="s">
        <v>32</v>
      </c>
      <c r="C2050">
        <v>10</v>
      </c>
      <c r="D2050">
        <v>36.299999999999997</v>
      </c>
      <c r="E2050">
        <v>363</v>
      </c>
      <c r="F2050" s="1">
        <v>45733</v>
      </c>
      <c r="G2050" s="1">
        <v>45735</v>
      </c>
      <c r="H2050" t="s">
        <v>27</v>
      </c>
      <c r="I2050" t="s">
        <v>70</v>
      </c>
      <c r="J2050">
        <v>3</v>
      </c>
      <c r="K2050" t="s">
        <v>19</v>
      </c>
      <c r="L2050" t="s">
        <v>33</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x14ac:dyDescent="0.3">
      <c r="A2051" t="s">
        <v>2151</v>
      </c>
      <c r="B2051" t="s">
        <v>44</v>
      </c>
      <c r="C2051">
        <v>1</v>
      </c>
      <c r="D2051">
        <v>23.4</v>
      </c>
      <c r="E2051">
        <v>23.4</v>
      </c>
      <c r="F2051" s="1">
        <v>45733</v>
      </c>
      <c r="G2051" s="1">
        <v>45738</v>
      </c>
      <c r="H2051" t="s">
        <v>27</v>
      </c>
      <c r="I2051" t="s">
        <v>35</v>
      </c>
      <c r="J2051">
        <v>5</v>
      </c>
      <c r="K2051" t="s">
        <v>19</v>
      </c>
      <c r="L2051" t="s">
        <v>33</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x14ac:dyDescent="0.3">
      <c r="A2052" t="s">
        <v>2152</v>
      </c>
      <c r="B2052" t="s">
        <v>123</v>
      </c>
      <c r="C2052">
        <v>8</v>
      </c>
      <c r="D2052">
        <v>56.6</v>
      </c>
      <c r="E2052">
        <v>452.8</v>
      </c>
      <c r="F2052" s="1">
        <v>45733</v>
      </c>
      <c r="G2052" s="1">
        <v>45735</v>
      </c>
      <c r="H2052" t="s">
        <v>27</v>
      </c>
      <c r="I2052" t="s">
        <v>35</v>
      </c>
      <c r="J2052">
        <v>4</v>
      </c>
      <c r="K2052" t="s">
        <v>19</v>
      </c>
      <c r="L2052" t="s">
        <v>33</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x14ac:dyDescent="0.3">
      <c r="A2053" t="s">
        <v>2153</v>
      </c>
      <c r="B2053" t="s">
        <v>123</v>
      </c>
      <c r="C2053">
        <v>2</v>
      </c>
      <c r="D2053">
        <v>26.8</v>
      </c>
      <c r="E2053">
        <v>53.6</v>
      </c>
      <c r="F2053" s="1">
        <v>45733</v>
      </c>
      <c r="G2053" s="1">
        <v>45734</v>
      </c>
      <c r="H2053" t="s">
        <v>23</v>
      </c>
      <c r="I2053" t="s">
        <v>18</v>
      </c>
      <c r="J2053">
        <v>4</v>
      </c>
      <c r="K2053" t="s">
        <v>19</v>
      </c>
      <c r="L2053" t="s">
        <v>49</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x14ac:dyDescent="0.3">
      <c r="A2054" t="s">
        <v>2154</v>
      </c>
      <c r="B2054" t="s">
        <v>16</v>
      </c>
      <c r="C2054">
        <v>3</v>
      </c>
      <c r="D2054">
        <v>11.3</v>
      </c>
      <c r="E2054">
        <v>33.900000000000006</v>
      </c>
      <c r="F2054" s="1">
        <v>45733</v>
      </c>
      <c r="G2054" s="1">
        <v>45735</v>
      </c>
      <c r="H2054" t="s">
        <v>23</v>
      </c>
      <c r="I2054" t="s">
        <v>40</v>
      </c>
      <c r="J2054">
        <v>4</v>
      </c>
      <c r="K2054" t="s">
        <v>19</v>
      </c>
      <c r="L2054" t="s">
        <v>188</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x14ac:dyDescent="0.3">
      <c r="A2055" t="s">
        <v>2155</v>
      </c>
      <c r="B2055" t="s">
        <v>39</v>
      </c>
      <c r="C2055">
        <v>3</v>
      </c>
      <c r="D2055">
        <v>60.1</v>
      </c>
      <c r="E2055">
        <v>180.3</v>
      </c>
      <c r="F2055" s="1">
        <v>45733</v>
      </c>
      <c r="G2055" s="1">
        <v>45736</v>
      </c>
      <c r="H2055" t="s">
        <v>27</v>
      </c>
      <c r="I2055" t="s">
        <v>18</v>
      </c>
      <c r="J2055">
        <v>4</v>
      </c>
      <c r="K2055" t="s">
        <v>19</v>
      </c>
      <c r="L2055" t="s">
        <v>59</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x14ac:dyDescent="0.3">
      <c r="A2056" t="s">
        <v>2156</v>
      </c>
      <c r="B2056" t="s">
        <v>16</v>
      </c>
      <c r="C2056">
        <v>11</v>
      </c>
      <c r="D2056">
        <v>27.7</v>
      </c>
      <c r="E2056">
        <v>304.7</v>
      </c>
      <c r="F2056" s="1">
        <v>45733</v>
      </c>
      <c r="G2056" s="1">
        <v>45738</v>
      </c>
      <c r="H2056" t="s">
        <v>27</v>
      </c>
      <c r="I2056" t="s">
        <v>18</v>
      </c>
      <c r="J2056">
        <v>4</v>
      </c>
      <c r="K2056" t="s">
        <v>19</v>
      </c>
      <c r="L2056" t="s">
        <v>62</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x14ac:dyDescent="0.3">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x14ac:dyDescent="0.3">
      <c r="A2058" t="s">
        <v>2158</v>
      </c>
      <c r="B2058" t="s">
        <v>26</v>
      </c>
      <c r="C2058">
        <v>2</v>
      </c>
      <c r="D2058">
        <v>66.7</v>
      </c>
      <c r="E2058">
        <v>133.4</v>
      </c>
      <c r="F2058" s="1">
        <v>45733</v>
      </c>
      <c r="G2058" s="1">
        <v>45734</v>
      </c>
      <c r="H2058" t="s">
        <v>27</v>
      </c>
      <c r="I2058" t="s">
        <v>18</v>
      </c>
      <c r="J2058">
        <v>5</v>
      </c>
      <c r="K2058" t="s">
        <v>19</v>
      </c>
      <c r="L2058" t="s">
        <v>62</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x14ac:dyDescent="0.3">
      <c r="A2059" t="s">
        <v>2159</v>
      </c>
      <c r="B2059" t="s">
        <v>76</v>
      </c>
      <c r="C2059">
        <v>5</v>
      </c>
      <c r="D2059">
        <v>39.1</v>
      </c>
      <c r="E2059">
        <v>195.5</v>
      </c>
      <c r="F2059" s="1">
        <v>45733</v>
      </c>
      <c r="G2059" s="1">
        <v>45734</v>
      </c>
      <c r="H2059" t="s">
        <v>27</v>
      </c>
      <c r="I2059" t="s">
        <v>18</v>
      </c>
      <c r="J2059">
        <v>4</v>
      </c>
      <c r="K2059" t="s">
        <v>19</v>
      </c>
      <c r="L2059" t="s">
        <v>62</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x14ac:dyDescent="0.3">
      <c r="A2060" t="s">
        <v>2160</v>
      </c>
      <c r="B2060" t="s">
        <v>44</v>
      </c>
      <c r="C2060">
        <v>4</v>
      </c>
      <c r="D2060">
        <v>24.9</v>
      </c>
      <c r="E2060">
        <v>99.6</v>
      </c>
      <c r="F2060" s="1">
        <v>45733</v>
      </c>
      <c r="G2060" s="1">
        <v>45738</v>
      </c>
      <c r="H2060" t="s">
        <v>23</v>
      </c>
      <c r="I2060" t="s">
        <v>35</v>
      </c>
      <c r="J2060">
        <v>5</v>
      </c>
      <c r="K2060" t="s">
        <v>19</v>
      </c>
      <c r="L2060" t="s">
        <v>62</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x14ac:dyDescent="0.3">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x14ac:dyDescent="0.3">
      <c r="A2062" t="s">
        <v>2162</v>
      </c>
      <c r="B2062" t="s">
        <v>76</v>
      </c>
      <c r="C2062">
        <v>14</v>
      </c>
      <c r="D2062">
        <v>28.3</v>
      </c>
      <c r="E2062">
        <v>396.2</v>
      </c>
      <c r="F2062" s="1">
        <v>45733</v>
      </c>
      <c r="G2062" s="1">
        <v>45735</v>
      </c>
      <c r="H2062" t="s">
        <v>27</v>
      </c>
      <c r="I2062" t="s">
        <v>35</v>
      </c>
      <c r="J2062">
        <v>4</v>
      </c>
      <c r="K2062" t="s">
        <v>19</v>
      </c>
      <c r="L2062" t="s">
        <v>77</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x14ac:dyDescent="0.3">
      <c r="A2063" t="s">
        <v>2163</v>
      </c>
      <c r="B2063" t="s">
        <v>46</v>
      </c>
      <c r="C2063">
        <v>3</v>
      </c>
      <c r="D2063">
        <v>37.799999999999997</v>
      </c>
      <c r="E2063">
        <v>113.39999999999999</v>
      </c>
      <c r="F2063" s="1">
        <v>45733</v>
      </c>
      <c r="G2063" s="1">
        <v>45734</v>
      </c>
      <c r="H2063" t="s">
        <v>27</v>
      </c>
      <c r="I2063" t="s">
        <v>18</v>
      </c>
      <c r="J2063">
        <v>3</v>
      </c>
      <c r="K2063" t="s">
        <v>19</v>
      </c>
      <c r="L2063" t="s">
        <v>77</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x14ac:dyDescent="0.3">
      <c r="A2064" t="s">
        <v>2164</v>
      </c>
      <c r="B2064" t="s">
        <v>81</v>
      </c>
      <c r="C2064">
        <v>7</v>
      </c>
      <c r="D2064">
        <v>28.1</v>
      </c>
      <c r="E2064">
        <v>196.70000000000002</v>
      </c>
      <c r="F2064" s="1">
        <v>45733</v>
      </c>
      <c r="G2064" s="1">
        <v>45739</v>
      </c>
      <c r="H2064" t="s">
        <v>27</v>
      </c>
      <c r="I2064" t="s">
        <v>40</v>
      </c>
      <c r="J2064">
        <v>4</v>
      </c>
      <c r="K2064" t="s">
        <v>19</v>
      </c>
      <c r="L2064" t="s">
        <v>77</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x14ac:dyDescent="0.3">
      <c r="A2065" t="s">
        <v>2165</v>
      </c>
      <c r="B2065" t="s">
        <v>22</v>
      </c>
      <c r="C2065">
        <v>3</v>
      </c>
      <c r="D2065">
        <v>59.7</v>
      </c>
      <c r="E2065">
        <v>179.10000000000002</v>
      </c>
      <c r="F2065" s="1">
        <v>45733</v>
      </c>
      <c r="G2065" s="1">
        <v>45735</v>
      </c>
      <c r="H2065" t="s">
        <v>27</v>
      </c>
      <c r="I2065" t="s">
        <v>40</v>
      </c>
      <c r="J2065">
        <v>4</v>
      </c>
      <c r="K2065" t="s">
        <v>19</v>
      </c>
      <c r="L2065" t="s">
        <v>77</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x14ac:dyDescent="0.3">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x14ac:dyDescent="0.3">
      <c r="A2067" t="s">
        <v>2167</v>
      </c>
      <c r="B2067" t="s">
        <v>22</v>
      </c>
      <c r="C2067">
        <v>2</v>
      </c>
      <c r="D2067">
        <v>56.9</v>
      </c>
      <c r="E2067">
        <v>113.8</v>
      </c>
      <c r="F2067" s="1">
        <v>45733</v>
      </c>
      <c r="G2067" s="1">
        <v>45734</v>
      </c>
      <c r="H2067" t="s">
        <v>23</v>
      </c>
      <c r="I2067" t="s">
        <v>40</v>
      </c>
      <c r="J2067">
        <v>4</v>
      </c>
      <c r="K2067" t="s">
        <v>19</v>
      </c>
      <c r="L2067" t="s">
        <v>82</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x14ac:dyDescent="0.3">
      <c r="A2068" t="s">
        <v>2168</v>
      </c>
      <c r="B2068" t="s">
        <v>44</v>
      </c>
      <c r="C2068">
        <v>2</v>
      </c>
      <c r="D2068">
        <v>15.8</v>
      </c>
      <c r="E2068">
        <v>31.6</v>
      </c>
      <c r="F2068" s="1">
        <v>45733</v>
      </c>
      <c r="G2068" s="1">
        <v>45736</v>
      </c>
      <c r="H2068" t="s">
        <v>27</v>
      </c>
      <c r="I2068" t="s">
        <v>40</v>
      </c>
      <c r="J2068">
        <v>3</v>
      </c>
      <c r="K2068" t="s">
        <v>19</v>
      </c>
      <c r="L2068" t="s">
        <v>24</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x14ac:dyDescent="0.3">
      <c r="A2069" t="s">
        <v>2169</v>
      </c>
      <c r="B2069" t="s">
        <v>67</v>
      </c>
      <c r="C2069">
        <v>4</v>
      </c>
      <c r="D2069">
        <v>61.7</v>
      </c>
      <c r="E2069">
        <v>246.8</v>
      </c>
      <c r="F2069" s="1">
        <v>45733</v>
      </c>
      <c r="G2069" s="1">
        <v>45735</v>
      </c>
      <c r="H2069" t="s">
        <v>27</v>
      </c>
      <c r="I2069" t="s">
        <v>40</v>
      </c>
      <c r="J2069">
        <v>4</v>
      </c>
      <c r="K2069" t="s">
        <v>19</v>
      </c>
      <c r="L2069" t="s">
        <v>147</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x14ac:dyDescent="0.3">
      <c r="A2070" t="s">
        <v>2170</v>
      </c>
      <c r="B2070" t="s">
        <v>26</v>
      </c>
      <c r="C2070">
        <v>10</v>
      </c>
      <c r="D2070">
        <v>105.2</v>
      </c>
      <c r="E2070">
        <v>1052</v>
      </c>
      <c r="F2070" s="1">
        <v>45733</v>
      </c>
      <c r="G2070" s="1">
        <v>45735</v>
      </c>
      <c r="H2070" t="s">
        <v>23</v>
      </c>
      <c r="I2070" t="s">
        <v>35</v>
      </c>
      <c r="J2070">
        <v>2</v>
      </c>
      <c r="K2070" t="s">
        <v>19</v>
      </c>
      <c r="L2070" t="s">
        <v>33</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x14ac:dyDescent="0.3">
      <c r="A2071" t="s">
        <v>2171</v>
      </c>
      <c r="B2071" t="s">
        <v>16</v>
      </c>
      <c r="C2071">
        <v>2</v>
      </c>
      <c r="D2071">
        <v>17</v>
      </c>
      <c r="E2071">
        <v>34</v>
      </c>
      <c r="F2071" s="1">
        <v>45733</v>
      </c>
      <c r="G2071" s="1">
        <v>45735</v>
      </c>
      <c r="H2071" t="s">
        <v>27</v>
      </c>
      <c r="I2071" t="s">
        <v>40</v>
      </c>
      <c r="J2071">
        <v>4</v>
      </c>
      <c r="K2071" t="s">
        <v>19</v>
      </c>
      <c r="L2071" t="s">
        <v>33</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x14ac:dyDescent="0.3">
      <c r="A2072" t="s">
        <v>2172</v>
      </c>
      <c r="B2072" t="s">
        <v>39</v>
      </c>
      <c r="C2072">
        <v>3</v>
      </c>
      <c r="D2072">
        <v>84.1</v>
      </c>
      <c r="E2072">
        <v>252.29999999999998</v>
      </c>
      <c r="F2072" s="1">
        <v>45733</v>
      </c>
      <c r="G2072" s="1">
        <v>45734</v>
      </c>
      <c r="H2072" t="s">
        <v>23</v>
      </c>
      <c r="I2072" t="s">
        <v>40</v>
      </c>
      <c r="J2072">
        <v>4</v>
      </c>
      <c r="K2072" t="s">
        <v>19</v>
      </c>
      <c r="L2072" t="s">
        <v>33</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x14ac:dyDescent="0.3">
      <c r="A2073" t="s">
        <v>2173</v>
      </c>
      <c r="B2073" t="s">
        <v>30</v>
      </c>
      <c r="C2073">
        <v>4</v>
      </c>
      <c r="D2073">
        <v>59.5</v>
      </c>
      <c r="E2073">
        <v>238</v>
      </c>
      <c r="F2073" s="1">
        <v>45733</v>
      </c>
      <c r="G2073" s="1">
        <v>45738</v>
      </c>
      <c r="H2073" t="s">
        <v>23</v>
      </c>
      <c r="I2073" t="s">
        <v>18</v>
      </c>
      <c r="J2073">
        <v>5</v>
      </c>
      <c r="K2073" t="s">
        <v>19</v>
      </c>
      <c r="L2073" t="s">
        <v>33</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x14ac:dyDescent="0.3">
      <c r="A2074" t="s">
        <v>2174</v>
      </c>
      <c r="B2074" t="s">
        <v>44</v>
      </c>
      <c r="C2074">
        <v>2</v>
      </c>
      <c r="D2074">
        <v>57.5</v>
      </c>
      <c r="E2074">
        <v>115</v>
      </c>
      <c r="F2074" s="1">
        <v>45733</v>
      </c>
      <c r="G2074" s="1">
        <v>45735</v>
      </c>
      <c r="H2074" t="s">
        <v>23</v>
      </c>
      <c r="I2074" t="s">
        <v>35</v>
      </c>
      <c r="J2074">
        <v>5</v>
      </c>
      <c r="K2074" t="s">
        <v>19</v>
      </c>
      <c r="L2074" t="s">
        <v>33</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x14ac:dyDescent="0.3">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x14ac:dyDescent="0.3">
      <c r="A2076" t="s">
        <v>2176</v>
      </c>
      <c r="B2076" t="s">
        <v>37</v>
      </c>
      <c r="C2076">
        <v>2</v>
      </c>
      <c r="D2076">
        <v>27.8</v>
      </c>
      <c r="E2076">
        <v>55.6</v>
      </c>
      <c r="F2076" s="1">
        <v>45734</v>
      </c>
      <c r="G2076" s="1">
        <v>45736</v>
      </c>
      <c r="H2076" t="s">
        <v>27</v>
      </c>
      <c r="I2076" t="s">
        <v>18</v>
      </c>
      <c r="J2076">
        <v>4</v>
      </c>
      <c r="K2076" t="s">
        <v>19</v>
      </c>
      <c r="L2076" t="s">
        <v>33</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x14ac:dyDescent="0.3">
      <c r="A2077" t="s">
        <v>2177</v>
      </c>
      <c r="B2077" t="s">
        <v>69</v>
      </c>
      <c r="C2077">
        <v>2</v>
      </c>
      <c r="D2077">
        <v>85</v>
      </c>
      <c r="E2077">
        <v>170</v>
      </c>
      <c r="F2077" s="1">
        <v>45734</v>
      </c>
      <c r="G2077" s="1">
        <v>45734</v>
      </c>
      <c r="H2077" t="s">
        <v>23</v>
      </c>
      <c r="I2077" t="s">
        <v>40</v>
      </c>
      <c r="J2077">
        <v>5</v>
      </c>
      <c r="K2077" t="s">
        <v>19</v>
      </c>
      <c r="L2077" t="s">
        <v>33</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x14ac:dyDescent="0.3">
      <c r="A2078" t="s">
        <v>2178</v>
      </c>
      <c r="B2078" t="s">
        <v>39</v>
      </c>
      <c r="C2078">
        <v>2</v>
      </c>
      <c r="D2078">
        <v>95</v>
      </c>
      <c r="E2078">
        <v>190</v>
      </c>
      <c r="F2078" s="1">
        <v>45734</v>
      </c>
      <c r="G2078" s="1">
        <v>45736</v>
      </c>
      <c r="H2078" t="s">
        <v>27</v>
      </c>
      <c r="I2078" t="s">
        <v>18</v>
      </c>
      <c r="J2078">
        <v>4</v>
      </c>
      <c r="K2078" t="s">
        <v>19</v>
      </c>
      <c r="L2078" t="s">
        <v>33</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x14ac:dyDescent="0.3">
      <c r="A2079" t="s">
        <v>2179</v>
      </c>
      <c r="B2079" t="s">
        <v>128</v>
      </c>
      <c r="C2079">
        <v>2</v>
      </c>
      <c r="D2079">
        <v>32</v>
      </c>
      <c r="E2079">
        <v>64</v>
      </c>
      <c r="F2079" s="1">
        <v>45734</v>
      </c>
      <c r="G2079" s="1">
        <v>45736</v>
      </c>
      <c r="H2079" t="s">
        <v>23</v>
      </c>
      <c r="I2079" t="s">
        <v>18</v>
      </c>
      <c r="J2079">
        <v>3</v>
      </c>
      <c r="K2079" t="s">
        <v>19</v>
      </c>
      <c r="L2079" t="s">
        <v>33</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x14ac:dyDescent="0.3">
      <c r="A2080" t="s">
        <v>2180</v>
      </c>
      <c r="B2080" t="s">
        <v>26</v>
      </c>
      <c r="C2080">
        <v>2</v>
      </c>
      <c r="D2080">
        <v>65.2</v>
      </c>
      <c r="E2080">
        <v>130.4</v>
      </c>
      <c r="F2080" s="1">
        <v>45734</v>
      </c>
      <c r="G2080" s="1">
        <v>45735</v>
      </c>
      <c r="H2080" t="s">
        <v>27</v>
      </c>
      <c r="I2080" t="s">
        <v>35</v>
      </c>
      <c r="J2080">
        <v>4</v>
      </c>
      <c r="K2080" t="s">
        <v>19</v>
      </c>
      <c r="L2080" t="s">
        <v>33</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x14ac:dyDescent="0.3">
      <c r="A2081" t="s">
        <v>2181</v>
      </c>
      <c r="B2081" t="s">
        <v>135</v>
      </c>
      <c r="C2081">
        <v>4</v>
      </c>
      <c r="D2081">
        <v>22</v>
      </c>
      <c r="E2081">
        <v>88</v>
      </c>
      <c r="F2081" s="1">
        <v>45734</v>
      </c>
      <c r="G2081" s="1">
        <v>45735</v>
      </c>
      <c r="H2081" t="s">
        <v>23</v>
      </c>
      <c r="I2081" t="s">
        <v>35</v>
      </c>
      <c r="J2081">
        <v>5</v>
      </c>
      <c r="K2081" t="s">
        <v>19</v>
      </c>
      <c r="L2081" t="s">
        <v>33</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x14ac:dyDescent="0.3">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x14ac:dyDescent="0.3">
      <c r="A2083" t="s">
        <v>2183</v>
      </c>
      <c r="B2083" t="s">
        <v>54</v>
      </c>
      <c r="C2083">
        <v>6</v>
      </c>
      <c r="D2083">
        <v>31.5</v>
      </c>
      <c r="E2083">
        <v>189</v>
      </c>
      <c r="F2083" s="1">
        <v>45734</v>
      </c>
      <c r="G2083" s="1">
        <v>45736</v>
      </c>
      <c r="H2083" t="s">
        <v>27</v>
      </c>
      <c r="I2083" t="s">
        <v>18</v>
      </c>
      <c r="J2083">
        <v>5</v>
      </c>
      <c r="K2083" t="s">
        <v>19</v>
      </c>
      <c r="L2083" t="s">
        <v>33</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x14ac:dyDescent="0.3">
      <c r="A2084" t="s">
        <v>2184</v>
      </c>
      <c r="B2084" t="s">
        <v>39</v>
      </c>
      <c r="C2084">
        <v>1</v>
      </c>
      <c r="D2084">
        <v>45.8</v>
      </c>
      <c r="E2084">
        <v>45.8</v>
      </c>
      <c r="F2084" s="1">
        <v>45734</v>
      </c>
      <c r="G2084" s="1">
        <v>45738</v>
      </c>
      <c r="H2084" t="s">
        <v>89</v>
      </c>
      <c r="I2084" t="s">
        <v>18</v>
      </c>
      <c r="J2084">
        <v>4</v>
      </c>
      <c r="K2084" t="s">
        <v>19</v>
      </c>
      <c r="L2084" t="s">
        <v>33</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x14ac:dyDescent="0.3">
      <c r="A2085" t="s">
        <v>2185</v>
      </c>
      <c r="B2085" t="s">
        <v>171</v>
      </c>
      <c r="C2085">
        <v>4</v>
      </c>
      <c r="D2085">
        <v>12.8</v>
      </c>
      <c r="E2085">
        <v>51.2</v>
      </c>
      <c r="F2085" s="1">
        <v>45734</v>
      </c>
      <c r="G2085" s="1">
        <v>45741</v>
      </c>
      <c r="H2085" t="s">
        <v>27</v>
      </c>
      <c r="I2085" t="s">
        <v>35</v>
      </c>
      <c r="J2085">
        <v>3</v>
      </c>
      <c r="K2085" t="s">
        <v>19</v>
      </c>
      <c r="L2085" t="s">
        <v>52</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x14ac:dyDescent="0.3">
      <c r="A2086" t="s">
        <v>2186</v>
      </c>
      <c r="B2086" t="s">
        <v>37</v>
      </c>
      <c r="C2086">
        <v>3</v>
      </c>
      <c r="D2086">
        <v>115.3</v>
      </c>
      <c r="E2086">
        <v>345.9</v>
      </c>
      <c r="F2086" s="1">
        <v>45734</v>
      </c>
      <c r="G2086" s="1">
        <v>45735</v>
      </c>
      <c r="H2086" t="s">
        <v>27</v>
      </c>
      <c r="I2086" t="s">
        <v>40</v>
      </c>
      <c r="J2086">
        <v>5</v>
      </c>
      <c r="K2086" t="s">
        <v>19</v>
      </c>
      <c r="L2086" t="s">
        <v>55</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x14ac:dyDescent="0.3">
      <c r="A2087" t="s">
        <v>2187</v>
      </c>
      <c r="B2087" t="s">
        <v>37</v>
      </c>
      <c r="C2087">
        <v>2</v>
      </c>
      <c r="D2087">
        <v>85</v>
      </c>
      <c r="E2087">
        <v>170</v>
      </c>
      <c r="F2087" s="1">
        <v>45734</v>
      </c>
      <c r="G2087" s="1">
        <v>45736</v>
      </c>
      <c r="H2087" t="s">
        <v>27</v>
      </c>
      <c r="I2087" t="s">
        <v>35</v>
      </c>
      <c r="J2087">
        <v>4</v>
      </c>
      <c r="K2087" t="s">
        <v>19</v>
      </c>
      <c r="L2087" t="s">
        <v>59</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x14ac:dyDescent="0.3">
      <c r="A2088" t="s">
        <v>2188</v>
      </c>
      <c r="B2088" t="s">
        <v>44</v>
      </c>
      <c r="C2088">
        <v>3</v>
      </c>
      <c r="D2088">
        <v>56.6</v>
      </c>
      <c r="E2088">
        <v>169.8</v>
      </c>
      <c r="F2088" s="1">
        <v>45734</v>
      </c>
      <c r="G2088" s="1">
        <v>45735</v>
      </c>
      <c r="H2088" t="s">
        <v>27</v>
      </c>
      <c r="I2088" t="s">
        <v>35</v>
      </c>
      <c r="J2088">
        <v>5</v>
      </c>
      <c r="K2088" t="s">
        <v>19</v>
      </c>
      <c r="L2088" t="s">
        <v>59</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x14ac:dyDescent="0.3">
      <c r="A2089" t="s">
        <v>2189</v>
      </c>
      <c r="B2089" t="s">
        <v>123</v>
      </c>
      <c r="C2089">
        <v>27</v>
      </c>
      <c r="D2089">
        <v>46.3</v>
      </c>
      <c r="E2089">
        <v>1250.0999999999999</v>
      </c>
      <c r="F2089" s="1">
        <v>45734</v>
      </c>
      <c r="G2089" s="1">
        <v>45737</v>
      </c>
      <c r="H2089" t="s">
        <v>23</v>
      </c>
      <c r="I2089" t="s">
        <v>18</v>
      </c>
      <c r="J2089">
        <v>4</v>
      </c>
      <c r="K2089" t="s">
        <v>19</v>
      </c>
      <c r="L2089" t="s">
        <v>59</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x14ac:dyDescent="0.3">
      <c r="A2090" t="s">
        <v>2190</v>
      </c>
      <c r="B2090" t="s">
        <v>81</v>
      </c>
      <c r="C2090">
        <v>4</v>
      </c>
      <c r="D2090">
        <v>23</v>
      </c>
      <c r="E2090">
        <v>92</v>
      </c>
      <c r="F2090" s="1">
        <v>45734</v>
      </c>
      <c r="G2090" s="1">
        <v>45738</v>
      </c>
      <c r="H2090" t="s">
        <v>23</v>
      </c>
      <c r="I2090" t="s">
        <v>51</v>
      </c>
      <c r="J2090">
        <v>5</v>
      </c>
      <c r="K2090" t="s">
        <v>19</v>
      </c>
      <c r="L2090" t="s">
        <v>59</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x14ac:dyDescent="0.3">
      <c r="A2091" t="s">
        <v>2191</v>
      </c>
      <c r="B2091" t="s">
        <v>44</v>
      </c>
      <c r="C2091">
        <v>6</v>
      </c>
      <c r="D2091">
        <v>42.1</v>
      </c>
      <c r="E2091">
        <v>252.60000000000002</v>
      </c>
      <c r="F2091" s="1">
        <v>45734</v>
      </c>
      <c r="G2091" s="1">
        <v>45736</v>
      </c>
      <c r="H2091" t="s">
        <v>23</v>
      </c>
      <c r="I2091" t="s">
        <v>70</v>
      </c>
      <c r="J2091">
        <v>4</v>
      </c>
      <c r="K2091" t="s">
        <v>19</v>
      </c>
      <c r="L2091" t="s">
        <v>62</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x14ac:dyDescent="0.3">
      <c r="A2092" t="s">
        <v>2192</v>
      </c>
      <c r="B2092" t="s">
        <v>37</v>
      </c>
      <c r="C2092">
        <v>7</v>
      </c>
      <c r="D2092">
        <v>57.4</v>
      </c>
      <c r="E2092">
        <v>401.8</v>
      </c>
      <c r="F2092" s="1">
        <v>45734</v>
      </c>
      <c r="G2092" s="1">
        <v>45738</v>
      </c>
      <c r="H2092" t="s">
        <v>27</v>
      </c>
      <c r="I2092" t="s">
        <v>35</v>
      </c>
      <c r="J2092">
        <v>2</v>
      </c>
      <c r="K2092" t="s">
        <v>19</v>
      </c>
      <c r="L2092" t="s">
        <v>62</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x14ac:dyDescent="0.3">
      <c r="A2093" t="s">
        <v>2193</v>
      </c>
      <c r="B2093" t="s">
        <v>16</v>
      </c>
      <c r="C2093">
        <v>6</v>
      </c>
      <c r="D2093">
        <v>13.2</v>
      </c>
      <c r="E2093">
        <v>79.199999999999989</v>
      </c>
      <c r="F2093" s="1">
        <v>45734</v>
      </c>
      <c r="G2093" s="1">
        <v>45738</v>
      </c>
      <c r="H2093" t="s">
        <v>23</v>
      </c>
      <c r="I2093" t="s">
        <v>40</v>
      </c>
      <c r="J2093">
        <v>4</v>
      </c>
      <c r="K2093" t="s">
        <v>19</v>
      </c>
      <c r="L2093" t="s">
        <v>62</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x14ac:dyDescent="0.3">
      <c r="A2094" t="s">
        <v>2194</v>
      </c>
      <c r="B2094" t="s">
        <v>39</v>
      </c>
      <c r="C2094">
        <v>3</v>
      </c>
      <c r="D2094">
        <v>52.3</v>
      </c>
      <c r="E2094">
        <v>156.89999999999998</v>
      </c>
      <c r="F2094" s="1">
        <v>45734</v>
      </c>
      <c r="G2094" s="1">
        <v>45735</v>
      </c>
      <c r="H2094" t="s">
        <v>23</v>
      </c>
      <c r="I2094" t="s">
        <v>35</v>
      </c>
      <c r="J2094">
        <v>4</v>
      </c>
      <c r="K2094" t="s">
        <v>19</v>
      </c>
      <c r="L2094" t="s">
        <v>62</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x14ac:dyDescent="0.3">
      <c r="A2095" t="s">
        <v>2195</v>
      </c>
      <c r="B2095" t="s">
        <v>44</v>
      </c>
      <c r="C2095">
        <v>2</v>
      </c>
      <c r="D2095">
        <v>15.7</v>
      </c>
      <c r="E2095">
        <v>31.4</v>
      </c>
      <c r="F2095" s="1">
        <v>45734</v>
      </c>
      <c r="G2095" s="1">
        <v>45737</v>
      </c>
      <c r="H2095" t="s">
        <v>23</v>
      </c>
      <c r="I2095" t="s">
        <v>35</v>
      </c>
      <c r="J2095">
        <v>5</v>
      </c>
      <c r="K2095" t="s">
        <v>19</v>
      </c>
      <c r="L2095" t="s">
        <v>62</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x14ac:dyDescent="0.3">
      <c r="A2096" t="s">
        <v>2196</v>
      </c>
      <c r="B2096" t="s">
        <v>42</v>
      </c>
      <c r="C2096">
        <v>3</v>
      </c>
      <c r="D2096">
        <v>35</v>
      </c>
      <c r="E2096">
        <v>105</v>
      </c>
      <c r="F2096" s="1">
        <v>45734</v>
      </c>
      <c r="G2096" s="1">
        <v>45737</v>
      </c>
      <c r="H2096" t="s">
        <v>27</v>
      </c>
      <c r="I2096" t="s">
        <v>35</v>
      </c>
      <c r="J2096">
        <v>5</v>
      </c>
      <c r="K2096" t="s">
        <v>19</v>
      </c>
      <c r="L2096" t="s">
        <v>72</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x14ac:dyDescent="0.3">
      <c r="A2097" t="s">
        <v>2197</v>
      </c>
      <c r="B2097" t="s">
        <v>32</v>
      </c>
      <c r="C2097">
        <v>3</v>
      </c>
      <c r="D2097">
        <v>26.6</v>
      </c>
      <c r="E2097">
        <v>79.800000000000011</v>
      </c>
      <c r="F2097" s="1">
        <v>45734</v>
      </c>
      <c r="G2097" s="1">
        <v>45734</v>
      </c>
      <c r="H2097" t="s">
        <v>23</v>
      </c>
      <c r="I2097" t="s">
        <v>35</v>
      </c>
      <c r="J2097">
        <v>5</v>
      </c>
      <c r="K2097" t="s">
        <v>19</v>
      </c>
      <c r="L2097" t="s">
        <v>77</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x14ac:dyDescent="0.3">
      <c r="A2098" t="s">
        <v>2198</v>
      </c>
      <c r="B2098" t="s">
        <v>32</v>
      </c>
      <c r="C2098">
        <v>8</v>
      </c>
      <c r="D2098">
        <v>47.9</v>
      </c>
      <c r="E2098">
        <v>383.2</v>
      </c>
      <c r="F2098" s="1">
        <v>45735</v>
      </c>
      <c r="G2098" s="1">
        <v>45736</v>
      </c>
      <c r="H2098" t="s">
        <v>27</v>
      </c>
      <c r="I2098" t="s">
        <v>51</v>
      </c>
      <c r="J2098">
        <v>5</v>
      </c>
      <c r="K2098" t="s">
        <v>19</v>
      </c>
      <c r="L2098" t="s">
        <v>113</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x14ac:dyDescent="0.3">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x14ac:dyDescent="0.3">
      <c r="A2100" t="s">
        <v>2200</v>
      </c>
      <c r="B2100" t="s">
        <v>39</v>
      </c>
      <c r="C2100">
        <v>5</v>
      </c>
      <c r="D2100">
        <v>50.4</v>
      </c>
      <c r="E2100">
        <v>252</v>
      </c>
      <c r="F2100" s="1">
        <v>45735</v>
      </c>
      <c r="G2100" s="1">
        <v>45736</v>
      </c>
      <c r="H2100" t="s">
        <v>23</v>
      </c>
      <c r="I2100" t="s">
        <v>35</v>
      </c>
      <c r="J2100">
        <v>5</v>
      </c>
      <c r="K2100" t="s">
        <v>19</v>
      </c>
      <c r="L2100" t="s">
        <v>115</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x14ac:dyDescent="0.3">
      <c r="A2101" t="s">
        <v>2201</v>
      </c>
      <c r="B2101" t="s">
        <v>54</v>
      </c>
      <c r="C2101">
        <v>7</v>
      </c>
      <c r="D2101">
        <v>43.3</v>
      </c>
      <c r="E2101">
        <v>303.09999999999997</v>
      </c>
      <c r="F2101" s="1">
        <v>45735</v>
      </c>
      <c r="G2101" s="1">
        <v>45736</v>
      </c>
      <c r="H2101" t="s">
        <v>23</v>
      </c>
      <c r="I2101" t="s">
        <v>40</v>
      </c>
      <c r="J2101">
        <v>4</v>
      </c>
      <c r="K2101" t="s">
        <v>19</v>
      </c>
      <c r="L2101" t="s">
        <v>115</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x14ac:dyDescent="0.3">
      <c r="A2102" t="s">
        <v>2202</v>
      </c>
      <c r="B2102" t="s">
        <v>54</v>
      </c>
      <c r="C2102">
        <v>4</v>
      </c>
      <c r="D2102">
        <v>57.5</v>
      </c>
      <c r="E2102">
        <v>230</v>
      </c>
      <c r="F2102" s="1">
        <v>45735</v>
      </c>
      <c r="G2102" s="1">
        <v>45736</v>
      </c>
      <c r="H2102" t="s">
        <v>27</v>
      </c>
      <c r="I2102" t="s">
        <v>35</v>
      </c>
      <c r="J2102">
        <v>5</v>
      </c>
      <c r="K2102" t="s">
        <v>19</v>
      </c>
      <c r="L2102" t="s">
        <v>24</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x14ac:dyDescent="0.3">
      <c r="A2103" t="s">
        <v>2203</v>
      </c>
      <c r="B2103" t="s">
        <v>46</v>
      </c>
      <c r="C2103">
        <v>13</v>
      </c>
      <c r="D2103">
        <v>24.8</v>
      </c>
      <c r="E2103">
        <v>322.40000000000003</v>
      </c>
      <c r="F2103" s="1">
        <v>45735</v>
      </c>
      <c r="G2103" s="1">
        <v>45736</v>
      </c>
      <c r="H2103" t="s">
        <v>23</v>
      </c>
      <c r="I2103" t="s">
        <v>18</v>
      </c>
      <c r="J2103">
        <v>4</v>
      </c>
      <c r="K2103" t="s">
        <v>19</v>
      </c>
      <c r="L2103" t="s">
        <v>2204</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x14ac:dyDescent="0.3">
      <c r="A2104" t="s">
        <v>2205</v>
      </c>
      <c r="B2104" t="s">
        <v>26</v>
      </c>
      <c r="C2104">
        <v>9</v>
      </c>
      <c r="D2104">
        <v>85.7</v>
      </c>
      <c r="E2104">
        <v>771.30000000000007</v>
      </c>
      <c r="F2104" s="1">
        <v>45735</v>
      </c>
      <c r="G2104" s="1">
        <v>45736</v>
      </c>
      <c r="H2104" t="s">
        <v>27</v>
      </c>
      <c r="I2104" t="s">
        <v>18</v>
      </c>
      <c r="J2104">
        <v>4</v>
      </c>
      <c r="K2104" t="s">
        <v>19</v>
      </c>
      <c r="L2104" t="s">
        <v>437</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x14ac:dyDescent="0.3">
      <c r="A2105" t="s">
        <v>2206</v>
      </c>
      <c r="B2105" t="s">
        <v>42</v>
      </c>
      <c r="C2105">
        <v>1</v>
      </c>
      <c r="D2105">
        <v>47.1</v>
      </c>
      <c r="E2105">
        <v>47.1</v>
      </c>
      <c r="F2105" s="1">
        <v>45735</v>
      </c>
      <c r="G2105" s="1">
        <v>45737</v>
      </c>
      <c r="H2105" t="s">
        <v>27</v>
      </c>
      <c r="I2105" t="s">
        <v>18</v>
      </c>
      <c r="J2105">
        <v>4</v>
      </c>
      <c r="K2105" t="s">
        <v>19</v>
      </c>
      <c r="L2105" t="s">
        <v>28</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x14ac:dyDescent="0.3">
      <c r="A2106" t="s">
        <v>2207</v>
      </c>
      <c r="B2106" t="s">
        <v>37</v>
      </c>
      <c r="C2106">
        <v>10</v>
      </c>
      <c r="D2106">
        <v>83.2</v>
      </c>
      <c r="E2106">
        <v>832</v>
      </c>
      <c r="F2106" s="1">
        <v>45735</v>
      </c>
      <c r="G2106" s="1">
        <v>45739</v>
      </c>
      <c r="H2106" t="s">
        <v>27</v>
      </c>
      <c r="I2106" t="s">
        <v>18</v>
      </c>
      <c r="J2106">
        <v>4</v>
      </c>
      <c r="K2106" t="s">
        <v>19</v>
      </c>
      <c r="L2106" t="s">
        <v>331</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x14ac:dyDescent="0.3">
      <c r="A2107" t="s">
        <v>2208</v>
      </c>
      <c r="B2107" t="s">
        <v>26</v>
      </c>
      <c r="C2107">
        <v>3</v>
      </c>
      <c r="D2107">
        <v>157</v>
      </c>
      <c r="E2107">
        <v>471</v>
      </c>
      <c r="F2107" s="1">
        <v>45735</v>
      </c>
      <c r="G2107" s="1">
        <v>45737</v>
      </c>
      <c r="H2107" t="s">
        <v>27</v>
      </c>
      <c r="I2107" t="s">
        <v>18</v>
      </c>
      <c r="J2107">
        <v>5</v>
      </c>
      <c r="K2107" t="s">
        <v>19</v>
      </c>
      <c r="L2107" t="s">
        <v>147</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x14ac:dyDescent="0.3">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x14ac:dyDescent="0.3">
      <c r="A2109" t="s">
        <v>2210</v>
      </c>
      <c r="B2109" t="s">
        <v>26</v>
      </c>
      <c r="C2109">
        <v>3</v>
      </c>
      <c r="D2109">
        <v>60.8</v>
      </c>
      <c r="E2109">
        <v>182.39999999999998</v>
      </c>
      <c r="F2109" s="1">
        <v>45735</v>
      </c>
      <c r="G2109" s="1">
        <v>45739</v>
      </c>
      <c r="H2109" t="s">
        <v>27</v>
      </c>
      <c r="I2109" t="s">
        <v>35</v>
      </c>
      <c r="J2109">
        <v>3</v>
      </c>
      <c r="K2109" t="s">
        <v>19</v>
      </c>
      <c r="L2109" t="s">
        <v>33</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x14ac:dyDescent="0.3">
      <c r="A2110" t="s">
        <v>2211</v>
      </c>
      <c r="B2110" t="s">
        <v>42</v>
      </c>
      <c r="C2110">
        <v>1</v>
      </c>
      <c r="D2110">
        <v>57.6</v>
      </c>
      <c r="E2110">
        <v>57.6</v>
      </c>
      <c r="F2110" s="1">
        <v>45735</v>
      </c>
      <c r="G2110" s="1">
        <v>45736</v>
      </c>
      <c r="H2110" t="s">
        <v>23</v>
      </c>
      <c r="I2110" t="s">
        <v>35</v>
      </c>
      <c r="J2110">
        <v>2</v>
      </c>
      <c r="K2110" t="s">
        <v>19</v>
      </c>
      <c r="L2110" t="s">
        <v>33</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x14ac:dyDescent="0.3">
      <c r="A2111" t="s">
        <v>2212</v>
      </c>
      <c r="B2111" t="s">
        <v>54</v>
      </c>
      <c r="C2111">
        <v>1</v>
      </c>
      <c r="D2111">
        <v>32</v>
      </c>
      <c r="E2111">
        <v>32</v>
      </c>
      <c r="F2111" s="1">
        <v>45735</v>
      </c>
      <c r="G2111" s="1">
        <v>45737</v>
      </c>
      <c r="H2111" t="s">
        <v>23</v>
      </c>
      <c r="I2111" t="s">
        <v>18</v>
      </c>
      <c r="J2111">
        <v>4</v>
      </c>
      <c r="K2111" t="s">
        <v>19</v>
      </c>
      <c r="L2111" t="s">
        <v>33</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x14ac:dyDescent="0.3">
      <c r="A2112" t="s">
        <v>2213</v>
      </c>
      <c r="B2112" t="s">
        <v>54</v>
      </c>
      <c r="C2112">
        <v>4</v>
      </c>
      <c r="D2112">
        <v>23.5</v>
      </c>
      <c r="E2112">
        <v>94</v>
      </c>
      <c r="F2112" s="1">
        <v>45735</v>
      </c>
      <c r="G2112" s="1">
        <v>45736</v>
      </c>
      <c r="H2112" t="s">
        <v>27</v>
      </c>
      <c r="I2112" t="s">
        <v>18</v>
      </c>
      <c r="J2112">
        <v>5</v>
      </c>
      <c r="K2112" t="s">
        <v>19</v>
      </c>
      <c r="L2112" t="s">
        <v>33</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x14ac:dyDescent="0.3">
      <c r="A2113" t="s">
        <v>2214</v>
      </c>
      <c r="B2113" t="s">
        <v>69</v>
      </c>
      <c r="C2113">
        <v>3</v>
      </c>
      <c r="D2113">
        <v>44.8</v>
      </c>
      <c r="E2113">
        <v>134.39999999999998</v>
      </c>
      <c r="F2113" s="1">
        <v>45735</v>
      </c>
      <c r="G2113" s="1">
        <v>45736</v>
      </c>
      <c r="H2113" t="s">
        <v>89</v>
      </c>
      <c r="I2113" t="s">
        <v>70</v>
      </c>
      <c r="J2113">
        <v>4</v>
      </c>
      <c r="K2113" t="s">
        <v>19</v>
      </c>
      <c r="L2113" t="s">
        <v>33</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x14ac:dyDescent="0.3">
      <c r="A2114" t="s">
        <v>2215</v>
      </c>
      <c r="B2114" t="s">
        <v>16</v>
      </c>
      <c r="C2114">
        <v>8</v>
      </c>
      <c r="D2114">
        <v>11.7</v>
      </c>
      <c r="E2114">
        <v>93.6</v>
      </c>
      <c r="F2114" s="1">
        <v>45735</v>
      </c>
      <c r="G2114" s="1">
        <v>45736</v>
      </c>
      <c r="H2114" t="s">
        <v>23</v>
      </c>
      <c r="I2114" t="s">
        <v>40</v>
      </c>
      <c r="J2114">
        <v>5</v>
      </c>
      <c r="K2114" t="s">
        <v>19</v>
      </c>
      <c r="L2114" t="s">
        <v>33</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x14ac:dyDescent="0.3">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x14ac:dyDescent="0.3">
      <c r="A2116" t="s">
        <v>2217</v>
      </c>
      <c r="B2116" t="s">
        <v>37</v>
      </c>
      <c r="C2116">
        <v>14</v>
      </c>
      <c r="D2116">
        <v>86.9</v>
      </c>
      <c r="E2116">
        <v>1216.6000000000001</v>
      </c>
      <c r="F2116" s="1">
        <v>45735</v>
      </c>
      <c r="G2116" s="1">
        <v>45740</v>
      </c>
      <c r="H2116" t="s">
        <v>27</v>
      </c>
      <c r="I2116" t="s">
        <v>35</v>
      </c>
      <c r="J2116">
        <v>4</v>
      </c>
      <c r="K2116" t="s">
        <v>19</v>
      </c>
      <c r="L2116" t="s">
        <v>33</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x14ac:dyDescent="0.3">
      <c r="A2117" t="s">
        <v>2218</v>
      </c>
      <c r="B2117" t="s">
        <v>44</v>
      </c>
      <c r="C2117">
        <v>1</v>
      </c>
      <c r="D2117">
        <v>18.3</v>
      </c>
      <c r="E2117">
        <v>18.3</v>
      </c>
      <c r="F2117" s="1">
        <v>45735</v>
      </c>
      <c r="G2117" s="1">
        <v>45736</v>
      </c>
      <c r="H2117" t="s">
        <v>27</v>
      </c>
      <c r="I2117" t="s">
        <v>18</v>
      </c>
      <c r="J2117">
        <v>4</v>
      </c>
      <c r="K2117" t="s">
        <v>19</v>
      </c>
      <c r="L2117" t="s">
        <v>33</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x14ac:dyDescent="0.3">
      <c r="A2118" t="s">
        <v>2219</v>
      </c>
      <c r="B2118" t="s">
        <v>37</v>
      </c>
      <c r="C2118">
        <v>1</v>
      </c>
      <c r="D2118">
        <v>47.5</v>
      </c>
      <c r="E2118">
        <v>47.5</v>
      </c>
      <c r="F2118" s="1">
        <v>45735</v>
      </c>
      <c r="G2118" s="1">
        <v>45739</v>
      </c>
      <c r="H2118" t="s">
        <v>23</v>
      </c>
      <c r="I2118" t="s">
        <v>70</v>
      </c>
      <c r="J2118">
        <v>5</v>
      </c>
      <c r="K2118" t="s">
        <v>19</v>
      </c>
      <c r="L2118" t="s">
        <v>33</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x14ac:dyDescent="0.3">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x14ac:dyDescent="0.3">
      <c r="A2120" t="s">
        <v>2221</v>
      </c>
      <c r="B2120" t="s">
        <v>39</v>
      </c>
      <c r="C2120">
        <v>4</v>
      </c>
      <c r="D2120">
        <v>87.3</v>
      </c>
      <c r="E2120">
        <v>349.2</v>
      </c>
      <c r="F2120" s="1">
        <v>45735</v>
      </c>
      <c r="G2120" s="1">
        <v>45736</v>
      </c>
      <c r="H2120" t="s">
        <v>23</v>
      </c>
      <c r="I2120" t="s">
        <v>18</v>
      </c>
      <c r="J2120">
        <v>4</v>
      </c>
      <c r="K2120" t="s">
        <v>19</v>
      </c>
      <c r="L2120" t="s">
        <v>33</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x14ac:dyDescent="0.3">
      <c r="A2121" t="s">
        <v>2222</v>
      </c>
      <c r="B2121" t="s">
        <v>46</v>
      </c>
      <c r="C2121">
        <v>2</v>
      </c>
      <c r="D2121">
        <v>63.2</v>
      </c>
      <c r="E2121">
        <v>126.4</v>
      </c>
      <c r="F2121" s="1">
        <v>45735</v>
      </c>
      <c r="G2121" s="1">
        <v>45735</v>
      </c>
      <c r="H2121" t="s">
        <v>23</v>
      </c>
      <c r="I2121" t="s">
        <v>70</v>
      </c>
      <c r="J2121">
        <v>3</v>
      </c>
      <c r="K2121" t="s">
        <v>19</v>
      </c>
      <c r="L2121" t="s">
        <v>33</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x14ac:dyDescent="0.3">
      <c r="A2122" t="s">
        <v>2223</v>
      </c>
      <c r="B2122" t="s">
        <v>37</v>
      </c>
      <c r="C2122">
        <v>5</v>
      </c>
      <c r="D2122">
        <v>33.700000000000003</v>
      </c>
      <c r="E2122">
        <v>168.5</v>
      </c>
      <c r="F2122" s="1">
        <v>45735</v>
      </c>
      <c r="G2122" s="1">
        <v>45736</v>
      </c>
      <c r="H2122" t="s">
        <v>27</v>
      </c>
      <c r="I2122" t="s">
        <v>18</v>
      </c>
      <c r="J2122">
        <v>4</v>
      </c>
      <c r="K2122" t="s">
        <v>19</v>
      </c>
      <c r="L2122" t="s">
        <v>33</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x14ac:dyDescent="0.3">
      <c r="A2123" t="s">
        <v>2224</v>
      </c>
      <c r="B2123" t="s">
        <v>26</v>
      </c>
      <c r="C2123">
        <v>3</v>
      </c>
      <c r="D2123">
        <v>107.4</v>
      </c>
      <c r="E2123">
        <v>322.20000000000005</v>
      </c>
      <c r="F2123" s="1">
        <v>45735</v>
      </c>
      <c r="G2123" s="1">
        <v>45748</v>
      </c>
      <c r="H2123" t="s">
        <v>27</v>
      </c>
      <c r="I2123" t="s">
        <v>35</v>
      </c>
      <c r="J2123">
        <v>5</v>
      </c>
      <c r="K2123" t="s">
        <v>19</v>
      </c>
      <c r="L2123" t="s">
        <v>33</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x14ac:dyDescent="0.3">
      <c r="A2124" t="s">
        <v>2225</v>
      </c>
      <c r="B2124" t="s">
        <v>32</v>
      </c>
      <c r="C2124">
        <v>4</v>
      </c>
      <c r="D2124">
        <v>22.2</v>
      </c>
      <c r="E2124">
        <v>88.8</v>
      </c>
      <c r="F2124" s="1">
        <v>45735</v>
      </c>
      <c r="G2124" s="1">
        <v>45736</v>
      </c>
      <c r="H2124" t="s">
        <v>17</v>
      </c>
      <c r="I2124" t="s">
        <v>35</v>
      </c>
      <c r="J2124">
        <v>5</v>
      </c>
      <c r="K2124" t="s">
        <v>19</v>
      </c>
      <c r="L2124" t="s">
        <v>186</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x14ac:dyDescent="0.3">
      <c r="A2125" t="s">
        <v>2226</v>
      </c>
      <c r="B2125" t="s">
        <v>146</v>
      </c>
      <c r="C2125">
        <v>3</v>
      </c>
      <c r="D2125">
        <v>52.8</v>
      </c>
      <c r="E2125">
        <v>158.39999999999998</v>
      </c>
      <c r="F2125" s="1">
        <v>45735</v>
      </c>
      <c r="G2125" s="1">
        <v>45736</v>
      </c>
      <c r="H2125" t="s">
        <v>23</v>
      </c>
      <c r="I2125" t="s">
        <v>51</v>
      </c>
      <c r="J2125">
        <v>5</v>
      </c>
      <c r="K2125" t="s">
        <v>19</v>
      </c>
      <c r="L2125" t="s">
        <v>186</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x14ac:dyDescent="0.3">
      <c r="A2126" t="s">
        <v>2227</v>
      </c>
      <c r="B2126" t="s">
        <v>44</v>
      </c>
      <c r="C2126">
        <v>3</v>
      </c>
      <c r="D2126">
        <v>41.5</v>
      </c>
      <c r="E2126">
        <v>124.5</v>
      </c>
      <c r="F2126" s="1">
        <v>45735</v>
      </c>
      <c r="G2126" s="1">
        <v>45738</v>
      </c>
      <c r="H2126" t="s">
        <v>27</v>
      </c>
      <c r="I2126" t="s">
        <v>18</v>
      </c>
      <c r="J2126">
        <v>4</v>
      </c>
      <c r="K2126" t="s">
        <v>19</v>
      </c>
      <c r="L2126" t="s">
        <v>188</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x14ac:dyDescent="0.3">
      <c r="A2127" t="s">
        <v>2228</v>
      </c>
      <c r="B2127" t="s">
        <v>69</v>
      </c>
      <c r="C2127">
        <v>8</v>
      </c>
      <c r="D2127">
        <v>103.5</v>
      </c>
      <c r="E2127">
        <v>828</v>
      </c>
      <c r="F2127" s="1">
        <v>45735</v>
      </c>
      <c r="G2127" s="1">
        <v>45738</v>
      </c>
      <c r="H2127" t="s">
        <v>27</v>
      </c>
      <c r="I2127" t="s">
        <v>18</v>
      </c>
      <c r="J2127">
        <v>5</v>
      </c>
      <c r="K2127" t="s">
        <v>19</v>
      </c>
      <c r="L2127" t="s">
        <v>158</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x14ac:dyDescent="0.3">
      <c r="A2128" t="s">
        <v>2229</v>
      </c>
      <c r="B2128" t="s">
        <v>32</v>
      </c>
      <c r="C2128">
        <v>14</v>
      </c>
      <c r="D2128">
        <v>37.5</v>
      </c>
      <c r="E2128">
        <v>525</v>
      </c>
      <c r="F2128" s="1">
        <v>45735</v>
      </c>
      <c r="G2128" s="1">
        <v>45735</v>
      </c>
      <c r="H2128" t="s">
        <v>27</v>
      </c>
      <c r="I2128" t="s">
        <v>35</v>
      </c>
      <c r="J2128">
        <v>5</v>
      </c>
      <c r="K2128" t="s">
        <v>19</v>
      </c>
      <c r="L2128" t="s">
        <v>55</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x14ac:dyDescent="0.3">
      <c r="A2129" t="s">
        <v>2230</v>
      </c>
      <c r="B2129" t="s">
        <v>123</v>
      </c>
      <c r="C2129">
        <v>8</v>
      </c>
      <c r="D2129">
        <v>44.4</v>
      </c>
      <c r="E2129">
        <v>355.2</v>
      </c>
      <c r="F2129" s="1">
        <v>45735</v>
      </c>
      <c r="G2129" s="1">
        <v>45741</v>
      </c>
      <c r="H2129" t="s">
        <v>27</v>
      </c>
      <c r="I2129" t="s">
        <v>51</v>
      </c>
      <c r="J2129">
        <v>5</v>
      </c>
      <c r="K2129" t="s">
        <v>19</v>
      </c>
      <c r="L2129" t="s">
        <v>59</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x14ac:dyDescent="0.3">
      <c r="A2130" t="s">
        <v>2231</v>
      </c>
      <c r="B2130" t="s">
        <v>44</v>
      </c>
      <c r="C2130">
        <v>3</v>
      </c>
      <c r="D2130">
        <v>26.2</v>
      </c>
      <c r="E2130">
        <v>78.599999999999994</v>
      </c>
      <c r="F2130" s="1">
        <v>45735</v>
      </c>
      <c r="G2130" s="1">
        <v>45736</v>
      </c>
      <c r="H2130" t="s">
        <v>23</v>
      </c>
      <c r="I2130" t="s">
        <v>18</v>
      </c>
      <c r="J2130">
        <v>4</v>
      </c>
      <c r="K2130" t="s">
        <v>19</v>
      </c>
      <c r="L2130" t="s">
        <v>62</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x14ac:dyDescent="0.3">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x14ac:dyDescent="0.3">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x14ac:dyDescent="0.3">
      <c r="A2133" t="s">
        <v>2234</v>
      </c>
      <c r="B2133" t="s">
        <v>44</v>
      </c>
      <c r="C2133">
        <v>6</v>
      </c>
      <c r="D2133">
        <v>72.3</v>
      </c>
      <c r="E2133">
        <v>433.79999999999995</v>
      </c>
      <c r="F2133" s="1">
        <v>45735</v>
      </c>
      <c r="G2133" s="1">
        <v>45738</v>
      </c>
      <c r="H2133" t="s">
        <v>27</v>
      </c>
      <c r="I2133" t="s">
        <v>18</v>
      </c>
      <c r="J2133">
        <v>4</v>
      </c>
      <c r="K2133" t="s">
        <v>19</v>
      </c>
      <c r="L2133" t="s">
        <v>62</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x14ac:dyDescent="0.3">
      <c r="A2134" t="s">
        <v>2235</v>
      </c>
      <c r="B2134" t="s">
        <v>44</v>
      </c>
      <c r="C2134">
        <v>11</v>
      </c>
      <c r="D2134">
        <v>24.3</v>
      </c>
      <c r="E2134">
        <v>267.3</v>
      </c>
      <c r="F2134" s="1">
        <v>45735</v>
      </c>
      <c r="G2134" s="1">
        <v>45736</v>
      </c>
      <c r="H2134" t="s">
        <v>23</v>
      </c>
      <c r="I2134" t="s">
        <v>18</v>
      </c>
      <c r="J2134">
        <v>4</v>
      </c>
      <c r="K2134" t="s">
        <v>19</v>
      </c>
      <c r="L2134" t="s">
        <v>62</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x14ac:dyDescent="0.3">
      <c r="A2135" t="s">
        <v>2236</v>
      </c>
      <c r="B2135" t="s">
        <v>76</v>
      </c>
      <c r="C2135">
        <v>3</v>
      </c>
      <c r="D2135">
        <v>49.1</v>
      </c>
      <c r="E2135">
        <v>147.30000000000001</v>
      </c>
      <c r="F2135" s="1">
        <v>45735</v>
      </c>
      <c r="G2135" s="1">
        <v>45741</v>
      </c>
      <c r="H2135" t="s">
        <v>23</v>
      </c>
      <c r="I2135" t="s">
        <v>40</v>
      </c>
      <c r="J2135">
        <v>2</v>
      </c>
      <c r="K2135" t="s">
        <v>19</v>
      </c>
      <c r="L2135" t="s">
        <v>62</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x14ac:dyDescent="0.3">
      <c r="A2136" t="s">
        <v>2237</v>
      </c>
      <c r="B2136" t="s">
        <v>26</v>
      </c>
      <c r="C2136">
        <v>10</v>
      </c>
      <c r="D2136">
        <v>234.7</v>
      </c>
      <c r="E2136">
        <v>2347</v>
      </c>
      <c r="F2136" s="1">
        <v>45735</v>
      </c>
      <c r="G2136" s="1">
        <v>45736</v>
      </c>
      <c r="H2136" t="s">
        <v>23</v>
      </c>
      <c r="I2136" t="s">
        <v>51</v>
      </c>
      <c r="J2136">
        <v>3</v>
      </c>
      <c r="K2136" t="s">
        <v>19</v>
      </c>
      <c r="L2136" t="s">
        <v>62</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x14ac:dyDescent="0.3">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x14ac:dyDescent="0.3">
      <c r="A2138" t="s">
        <v>2239</v>
      </c>
      <c r="B2138" t="s">
        <v>22</v>
      </c>
      <c r="C2138">
        <v>3</v>
      </c>
      <c r="D2138">
        <v>93.9</v>
      </c>
      <c r="E2138">
        <v>281.70000000000005</v>
      </c>
      <c r="F2138" s="1">
        <v>45735</v>
      </c>
      <c r="G2138" s="1">
        <v>45736</v>
      </c>
      <c r="H2138" t="s">
        <v>23</v>
      </c>
      <c r="I2138" t="s">
        <v>35</v>
      </c>
      <c r="J2138">
        <v>2</v>
      </c>
      <c r="K2138" t="s">
        <v>19</v>
      </c>
      <c r="L2138" t="s">
        <v>77</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x14ac:dyDescent="0.3">
      <c r="A2139" t="s">
        <v>2240</v>
      </c>
      <c r="B2139" t="s">
        <v>26</v>
      </c>
      <c r="C2139">
        <v>4</v>
      </c>
      <c r="D2139">
        <v>187</v>
      </c>
      <c r="E2139">
        <v>748</v>
      </c>
      <c r="F2139" s="1">
        <v>45736</v>
      </c>
      <c r="G2139" s="1">
        <v>45739</v>
      </c>
      <c r="H2139" t="s">
        <v>23</v>
      </c>
      <c r="I2139" t="s">
        <v>18</v>
      </c>
      <c r="J2139">
        <v>4</v>
      </c>
      <c r="K2139" t="s">
        <v>19</v>
      </c>
      <c r="L2139" t="s">
        <v>77</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x14ac:dyDescent="0.3">
      <c r="A2140" t="s">
        <v>2241</v>
      </c>
      <c r="B2140" t="s">
        <v>44</v>
      </c>
      <c r="C2140">
        <v>2</v>
      </c>
      <c r="D2140">
        <v>18</v>
      </c>
      <c r="E2140">
        <v>36</v>
      </c>
      <c r="F2140" s="1">
        <v>45736</v>
      </c>
      <c r="G2140" s="1">
        <v>45737</v>
      </c>
      <c r="H2140" t="s">
        <v>27</v>
      </c>
      <c r="I2140" t="s">
        <v>35</v>
      </c>
      <c r="J2140">
        <v>5</v>
      </c>
      <c r="K2140" t="s">
        <v>19</v>
      </c>
      <c r="L2140" t="s">
        <v>1116</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x14ac:dyDescent="0.3">
      <c r="A2141" t="s">
        <v>2242</v>
      </c>
      <c r="B2141" t="s">
        <v>32</v>
      </c>
      <c r="C2141">
        <v>1</v>
      </c>
      <c r="D2141">
        <v>24.4</v>
      </c>
      <c r="E2141">
        <v>24.4</v>
      </c>
      <c r="F2141" s="1">
        <v>45736</v>
      </c>
      <c r="G2141" s="1">
        <v>45737</v>
      </c>
      <c r="H2141" t="s">
        <v>27</v>
      </c>
      <c r="I2141" t="s">
        <v>70</v>
      </c>
      <c r="J2141">
        <v>5</v>
      </c>
      <c r="K2141" t="s">
        <v>19</v>
      </c>
      <c r="L2141" t="s">
        <v>115</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x14ac:dyDescent="0.3">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x14ac:dyDescent="0.3">
      <c r="A2143" t="s">
        <v>2244</v>
      </c>
      <c r="B2143" t="s">
        <v>30</v>
      </c>
      <c r="C2143">
        <v>1</v>
      </c>
      <c r="D2143">
        <v>59.7</v>
      </c>
      <c r="E2143">
        <v>59.7</v>
      </c>
      <c r="F2143" s="1">
        <v>45736</v>
      </c>
      <c r="G2143" s="1">
        <v>45739</v>
      </c>
      <c r="H2143" t="s">
        <v>23</v>
      </c>
      <c r="I2143" t="s">
        <v>51</v>
      </c>
      <c r="J2143">
        <v>4</v>
      </c>
      <c r="K2143" t="s">
        <v>19</v>
      </c>
      <c r="L2143" t="s">
        <v>33</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x14ac:dyDescent="0.3">
      <c r="A2144" t="s">
        <v>2245</v>
      </c>
      <c r="B2144" t="s">
        <v>42</v>
      </c>
      <c r="C2144">
        <v>1</v>
      </c>
      <c r="D2144">
        <v>31.2</v>
      </c>
      <c r="E2144">
        <v>31.2</v>
      </c>
      <c r="F2144" s="1">
        <v>45736</v>
      </c>
      <c r="G2144" s="1">
        <v>45737</v>
      </c>
      <c r="H2144" t="s">
        <v>23</v>
      </c>
      <c r="I2144" t="s">
        <v>35</v>
      </c>
      <c r="J2144">
        <v>5</v>
      </c>
      <c r="K2144" t="s">
        <v>19</v>
      </c>
      <c r="L2144" t="s">
        <v>33</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x14ac:dyDescent="0.3">
      <c r="A2145" t="s">
        <v>2246</v>
      </c>
      <c r="B2145" t="s">
        <v>16</v>
      </c>
      <c r="C2145">
        <v>1</v>
      </c>
      <c r="D2145">
        <v>16.8</v>
      </c>
      <c r="E2145">
        <v>16.8</v>
      </c>
      <c r="F2145" s="1">
        <v>45736</v>
      </c>
      <c r="G2145" s="1">
        <v>45737</v>
      </c>
      <c r="H2145" t="s">
        <v>27</v>
      </c>
      <c r="I2145" t="s">
        <v>40</v>
      </c>
      <c r="J2145">
        <v>3</v>
      </c>
      <c r="K2145" t="s">
        <v>19</v>
      </c>
      <c r="L2145" t="s">
        <v>33</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x14ac:dyDescent="0.3">
      <c r="A2146" t="s">
        <v>2247</v>
      </c>
      <c r="B2146" t="s">
        <v>44</v>
      </c>
      <c r="C2146">
        <v>1</v>
      </c>
      <c r="D2146">
        <v>46</v>
      </c>
      <c r="E2146">
        <v>46</v>
      </c>
      <c r="F2146" s="1">
        <v>45736</v>
      </c>
      <c r="G2146" s="1">
        <v>45737</v>
      </c>
      <c r="H2146" t="s">
        <v>23</v>
      </c>
      <c r="I2146" t="s">
        <v>18</v>
      </c>
      <c r="J2146">
        <v>4</v>
      </c>
      <c r="K2146" t="s">
        <v>19</v>
      </c>
      <c r="L2146" t="s">
        <v>33</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x14ac:dyDescent="0.3">
      <c r="A2147" t="s">
        <v>2248</v>
      </c>
      <c r="B2147" t="s">
        <v>46</v>
      </c>
      <c r="C2147">
        <v>8</v>
      </c>
      <c r="D2147">
        <v>42.2</v>
      </c>
      <c r="E2147">
        <v>337.6</v>
      </c>
      <c r="F2147" s="1">
        <v>45736</v>
      </c>
      <c r="G2147" s="1">
        <v>45739</v>
      </c>
      <c r="H2147" t="s">
        <v>27</v>
      </c>
      <c r="I2147" t="s">
        <v>51</v>
      </c>
      <c r="J2147">
        <v>5</v>
      </c>
      <c r="K2147" t="s">
        <v>19</v>
      </c>
      <c r="L2147" t="s">
        <v>33</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x14ac:dyDescent="0.3">
      <c r="A2148" t="s">
        <v>2249</v>
      </c>
      <c r="B2148" t="s">
        <v>22</v>
      </c>
      <c r="C2148">
        <v>3</v>
      </c>
      <c r="D2148">
        <v>71.5</v>
      </c>
      <c r="E2148">
        <v>214.5</v>
      </c>
      <c r="F2148" s="1">
        <v>45736</v>
      </c>
      <c r="G2148" s="1">
        <v>45750</v>
      </c>
      <c r="H2148" t="s">
        <v>27</v>
      </c>
      <c r="I2148" t="s">
        <v>18</v>
      </c>
      <c r="J2148">
        <v>4</v>
      </c>
      <c r="K2148" t="s">
        <v>19</v>
      </c>
      <c r="L2148" t="s">
        <v>33</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x14ac:dyDescent="0.3">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x14ac:dyDescent="0.3">
      <c r="A2150" t="s">
        <v>2251</v>
      </c>
      <c r="B2150" t="s">
        <v>69</v>
      </c>
      <c r="C2150">
        <v>2</v>
      </c>
      <c r="D2150">
        <v>87.3</v>
      </c>
      <c r="E2150">
        <v>174.6</v>
      </c>
      <c r="F2150" s="1">
        <v>45736</v>
      </c>
      <c r="G2150" s="1">
        <v>45744</v>
      </c>
      <c r="H2150" t="s">
        <v>27</v>
      </c>
      <c r="I2150" t="s">
        <v>51</v>
      </c>
      <c r="J2150">
        <v>5</v>
      </c>
      <c r="K2150" t="s">
        <v>19</v>
      </c>
      <c r="L2150" t="s">
        <v>33</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x14ac:dyDescent="0.3">
      <c r="A2151" t="s">
        <v>2252</v>
      </c>
      <c r="B2151" t="s">
        <v>22</v>
      </c>
      <c r="C2151">
        <v>1</v>
      </c>
      <c r="D2151">
        <v>63</v>
      </c>
      <c r="E2151">
        <v>63</v>
      </c>
      <c r="F2151" s="1">
        <v>45736</v>
      </c>
      <c r="G2151" s="1">
        <v>45739</v>
      </c>
      <c r="H2151" t="s">
        <v>23</v>
      </c>
      <c r="I2151" t="s">
        <v>51</v>
      </c>
      <c r="J2151">
        <v>4</v>
      </c>
      <c r="K2151" t="s">
        <v>19</v>
      </c>
      <c r="L2151" t="s">
        <v>33</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x14ac:dyDescent="0.3">
      <c r="A2152" t="s">
        <v>2253</v>
      </c>
      <c r="B2152" t="s">
        <v>44</v>
      </c>
      <c r="C2152">
        <v>2</v>
      </c>
      <c r="D2152">
        <v>41.7</v>
      </c>
      <c r="E2152">
        <v>83.4</v>
      </c>
      <c r="F2152" s="1">
        <v>45736</v>
      </c>
      <c r="G2152" s="1">
        <v>45737</v>
      </c>
      <c r="H2152" t="s">
        <v>27</v>
      </c>
      <c r="I2152" t="s">
        <v>70</v>
      </c>
      <c r="J2152">
        <v>3</v>
      </c>
      <c r="K2152" t="s">
        <v>19</v>
      </c>
      <c r="L2152" t="s">
        <v>545</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x14ac:dyDescent="0.3">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x14ac:dyDescent="0.3">
      <c r="A2154" t="s">
        <v>2255</v>
      </c>
      <c r="B2154" t="s">
        <v>76</v>
      </c>
      <c r="C2154">
        <v>2</v>
      </c>
      <c r="D2154">
        <v>28.5</v>
      </c>
      <c r="E2154">
        <v>57</v>
      </c>
      <c r="F2154" s="1">
        <v>45736</v>
      </c>
      <c r="G2154" s="1">
        <v>45737</v>
      </c>
      <c r="H2154" t="s">
        <v>27</v>
      </c>
      <c r="I2154" t="s">
        <v>18</v>
      </c>
      <c r="J2154">
        <v>5</v>
      </c>
      <c r="K2154" t="s">
        <v>19</v>
      </c>
      <c r="L2154" t="s">
        <v>49</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x14ac:dyDescent="0.3">
      <c r="A2155" t="s">
        <v>2256</v>
      </c>
      <c r="B2155" t="s">
        <v>16</v>
      </c>
      <c r="C2155">
        <v>4</v>
      </c>
      <c r="D2155">
        <v>32.1</v>
      </c>
      <c r="E2155">
        <v>128.4</v>
      </c>
      <c r="F2155" s="1">
        <v>45736</v>
      </c>
      <c r="G2155" s="1">
        <v>45737</v>
      </c>
      <c r="H2155" t="s">
        <v>27</v>
      </c>
      <c r="I2155" t="s">
        <v>35</v>
      </c>
      <c r="J2155">
        <v>5</v>
      </c>
      <c r="K2155" t="s">
        <v>19</v>
      </c>
      <c r="L2155" t="s">
        <v>188</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x14ac:dyDescent="0.3">
      <c r="A2156" t="s">
        <v>2257</v>
      </c>
      <c r="B2156" t="s">
        <v>32</v>
      </c>
      <c r="C2156">
        <v>3</v>
      </c>
      <c r="D2156">
        <v>39</v>
      </c>
      <c r="E2156">
        <v>117</v>
      </c>
      <c r="F2156" s="1">
        <v>45736</v>
      </c>
      <c r="G2156" s="1">
        <v>45739</v>
      </c>
      <c r="H2156" t="s">
        <v>23</v>
      </c>
      <c r="I2156" t="s">
        <v>35</v>
      </c>
      <c r="J2156">
        <v>5</v>
      </c>
      <c r="K2156" t="s">
        <v>19</v>
      </c>
      <c r="L2156" t="s">
        <v>188</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x14ac:dyDescent="0.3">
      <c r="A2157" t="s">
        <v>2258</v>
      </c>
      <c r="B2157" t="s">
        <v>39</v>
      </c>
      <c r="C2157">
        <v>1</v>
      </c>
      <c r="D2157">
        <v>78.5</v>
      </c>
      <c r="E2157">
        <v>78.5</v>
      </c>
      <c r="F2157" s="1">
        <v>45736</v>
      </c>
      <c r="G2157" s="1">
        <v>45737</v>
      </c>
      <c r="H2157" t="s">
        <v>23</v>
      </c>
      <c r="I2157" t="s">
        <v>35</v>
      </c>
      <c r="J2157">
        <v>4</v>
      </c>
      <c r="K2157" t="s">
        <v>19</v>
      </c>
      <c r="L2157" t="s">
        <v>55</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x14ac:dyDescent="0.3">
      <c r="A2158" t="s">
        <v>2259</v>
      </c>
      <c r="B2158" t="s">
        <v>32</v>
      </c>
      <c r="C2158">
        <v>5</v>
      </c>
      <c r="D2158">
        <v>49.7</v>
      </c>
      <c r="E2158">
        <v>248.5</v>
      </c>
      <c r="F2158" s="1">
        <v>45736</v>
      </c>
      <c r="G2158" s="1">
        <v>45738</v>
      </c>
      <c r="H2158" t="s">
        <v>27</v>
      </c>
      <c r="I2158" t="s">
        <v>18</v>
      </c>
      <c r="J2158">
        <v>4</v>
      </c>
      <c r="K2158" t="s">
        <v>19</v>
      </c>
      <c r="L2158" t="s">
        <v>55</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x14ac:dyDescent="0.3">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x14ac:dyDescent="0.3">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x14ac:dyDescent="0.3">
      <c r="A2161" t="s">
        <v>2262</v>
      </c>
      <c r="B2161" t="s">
        <v>37</v>
      </c>
      <c r="C2161">
        <v>13</v>
      </c>
      <c r="D2161">
        <v>30.3</v>
      </c>
      <c r="E2161">
        <v>393.90000000000003</v>
      </c>
      <c r="F2161" s="1">
        <v>45736</v>
      </c>
      <c r="G2161" s="1">
        <v>45737</v>
      </c>
      <c r="H2161" t="s">
        <v>23</v>
      </c>
      <c r="I2161" t="s">
        <v>70</v>
      </c>
      <c r="J2161">
        <v>4</v>
      </c>
      <c r="K2161" t="s">
        <v>19</v>
      </c>
      <c r="L2161" t="s">
        <v>59</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x14ac:dyDescent="0.3">
      <c r="A2162" t="s">
        <v>2263</v>
      </c>
      <c r="B2162" t="s">
        <v>39</v>
      </c>
      <c r="C2162">
        <v>11</v>
      </c>
      <c r="D2162">
        <v>57.9</v>
      </c>
      <c r="E2162">
        <v>636.9</v>
      </c>
      <c r="F2162" s="1">
        <v>45736</v>
      </c>
      <c r="G2162" s="1">
        <v>45737</v>
      </c>
      <c r="H2162" t="s">
        <v>27</v>
      </c>
      <c r="I2162" t="s">
        <v>18</v>
      </c>
      <c r="J2162">
        <v>4</v>
      </c>
      <c r="K2162" t="s">
        <v>19</v>
      </c>
      <c r="L2162" t="s">
        <v>62</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x14ac:dyDescent="0.3">
      <c r="A2163" t="s">
        <v>2264</v>
      </c>
      <c r="B2163" t="s">
        <v>22</v>
      </c>
      <c r="C2163">
        <v>1</v>
      </c>
      <c r="D2163">
        <v>96.7</v>
      </c>
      <c r="E2163">
        <v>96.7</v>
      </c>
      <c r="F2163" s="1">
        <v>45736</v>
      </c>
      <c r="G2163" s="1">
        <v>45737</v>
      </c>
      <c r="H2163" t="s">
        <v>23</v>
      </c>
      <c r="I2163" t="s">
        <v>18</v>
      </c>
      <c r="J2163">
        <v>4</v>
      </c>
      <c r="K2163" t="s">
        <v>19</v>
      </c>
      <c r="L2163" t="s">
        <v>62</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x14ac:dyDescent="0.3">
      <c r="A2164" t="s">
        <v>2265</v>
      </c>
      <c r="B2164" t="s">
        <v>44</v>
      </c>
      <c r="C2164">
        <v>12</v>
      </c>
      <c r="D2164">
        <v>27.6</v>
      </c>
      <c r="E2164">
        <v>331.20000000000005</v>
      </c>
      <c r="F2164" s="1">
        <v>45736</v>
      </c>
      <c r="G2164" s="1">
        <v>45738</v>
      </c>
      <c r="H2164" t="s">
        <v>23</v>
      </c>
      <c r="I2164" t="s">
        <v>40</v>
      </c>
      <c r="J2164">
        <v>5</v>
      </c>
      <c r="K2164" t="s">
        <v>19</v>
      </c>
      <c r="L2164" t="s">
        <v>62</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x14ac:dyDescent="0.3">
      <c r="A2165" t="s">
        <v>2266</v>
      </c>
      <c r="B2165" t="s">
        <v>39</v>
      </c>
      <c r="C2165">
        <v>4</v>
      </c>
      <c r="D2165">
        <v>64.7</v>
      </c>
      <c r="E2165">
        <v>258.8</v>
      </c>
      <c r="F2165" s="1">
        <v>45736</v>
      </c>
      <c r="G2165" s="1">
        <v>45736</v>
      </c>
      <c r="H2165" t="s">
        <v>23</v>
      </c>
      <c r="I2165" t="s">
        <v>51</v>
      </c>
      <c r="J2165">
        <v>5</v>
      </c>
      <c r="K2165" t="s">
        <v>19</v>
      </c>
      <c r="L2165" t="s">
        <v>62</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x14ac:dyDescent="0.3">
      <c r="A2166" t="s">
        <v>2267</v>
      </c>
      <c r="B2166" t="s">
        <v>54</v>
      </c>
      <c r="C2166">
        <v>6</v>
      </c>
      <c r="D2166">
        <v>30.5</v>
      </c>
      <c r="E2166">
        <v>183</v>
      </c>
      <c r="F2166" s="1">
        <v>45736</v>
      </c>
      <c r="G2166" s="1">
        <v>45737</v>
      </c>
      <c r="H2166" t="s">
        <v>23</v>
      </c>
      <c r="I2166" t="s">
        <v>70</v>
      </c>
      <c r="J2166">
        <v>4</v>
      </c>
      <c r="K2166" t="s">
        <v>19</v>
      </c>
      <c r="L2166" t="s">
        <v>62</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x14ac:dyDescent="0.3">
      <c r="A2167" t="s">
        <v>2268</v>
      </c>
      <c r="B2167" t="s">
        <v>39</v>
      </c>
      <c r="C2167">
        <v>70</v>
      </c>
      <c r="D2167">
        <v>106</v>
      </c>
      <c r="E2167">
        <v>7420</v>
      </c>
      <c r="F2167" s="1">
        <v>45737</v>
      </c>
      <c r="G2167" s="1">
        <v>45739</v>
      </c>
      <c r="H2167" t="s">
        <v>23</v>
      </c>
      <c r="I2167" t="s">
        <v>70</v>
      </c>
      <c r="J2167">
        <v>5</v>
      </c>
      <c r="K2167" t="s">
        <v>19</v>
      </c>
      <c r="L2167" t="s">
        <v>62</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x14ac:dyDescent="0.3">
      <c r="A2168" t="s">
        <v>2269</v>
      </c>
      <c r="B2168" t="s">
        <v>69</v>
      </c>
      <c r="C2168">
        <v>5</v>
      </c>
      <c r="D2168">
        <v>76.8</v>
      </c>
      <c r="E2168">
        <v>384</v>
      </c>
      <c r="F2168" s="1">
        <v>45737</v>
      </c>
      <c r="G2168" s="1">
        <v>45743</v>
      </c>
      <c r="H2168" t="s">
        <v>17</v>
      </c>
      <c r="I2168" t="s">
        <v>35</v>
      </c>
      <c r="J2168">
        <v>3</v>
      </c>
      <c r="K2168" t="s">
        <v>19</v>
      </c>
      <c r="L2168" t="s">
        <v>108</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x14ac:dyDescent="0.3">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x14ac:dyDescent="0.3">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x14ac:dyDescent="0.3">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x14ac:dyDescent="0.3">
      <c r="A2172" t="s">
        <v>2273</v>
      </c>
      <c r="B2172" t="s">
        <v>26</v>
      </c>
      <c r="C2172">
        <v>2</v>
      </c>
      <c r="D2172">
        <v>61.3</v>
      </c>
      <c r="E2172">
        <v>122.6</v>
      </c>
      <c r="F2172" s="1">
        <v>45737</v>
      </c>
      <c r="G2172" s="1">
        <v>45738</v>
      </c>
      <c r="H2172" t="s">
        <v>27</v>
      </c>
      <c r="I2172" t="s">
        <v>35</v>
      </c>
      <c r="J2172">
        <v>3</v>
      </c>
      <c r="K2172" t="s">
        <v>19</v>
      </c>
      <c r="L2172" t="s">
        <v>115</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x14ac:dyDescent="0.3">
      <c r="A2173" t="s">
        <v>2274</v>
      </c>
      <c r="B2173" t="s">
        <v>42</v>
      </c>
      <c r="C2173">
        <v>1</v>
      </c>
      <c r="D2173">
        <v>58</v>
      </c>
      <c r="E2173">
        <v>58</v>
      </c>
      <c r="F2173" s="1">
        <v>45737</v>
      </c>
      <c r="G2173" s="1">
        <v>45738</v>
      </c>
      <c r="H2173" t="s">
        <v>23</v>
      </c>
      <c r="I2173" t="s">
        <v>51</v>
      </c>
      <c r="J2173">
        <v>3</v>
      </c>
      <c r="K2173" t="s">
        <v>19</v>
      </c>
      <c r="L2173" t="s">
        <v>24</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x14ac:dyDescent="0.3">
      <c r="A2174" t="s">
        <v>2275</v>
      </c>
      <c r="B2174" t="s">
        <v>26</v>
      </c>
      <c r="C2174">
        <v>8</v>
      </c>
      <c r="D2174">
        <v>102.3</v>
      </c>
      <c r="E2174">
        <v>818.4</v>
      </c>
      <c r="F2174" s="1">
        <v>45737</v>
      </c>
      <c r="G2174" s="1">
        <v>45739</v>
      </c>
      <c r="H2174" t="s">
        <v>23</v>
      </c>
      <c r="I2174" t="s">
        <v>40</v>
      </c>
      <c r="J2174">
        <v>4</v>
      </c>
      <c r="K2174" t="s">
        <v>19</v>
      </c>
      <c r="L2174" t="s">
        <v>437</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x14ac:dyDescent="0.3">
      <c r="A2175" t="s">
        <v>2276</v>
      </c>
      <c r="B2175" t="s">
        <v>171</v>
      </c>
      <c r="C2175">
        <v>2</v>
      </c>
      <c r="D2175">
        <v>13.8</v>
      </c>
      <c r="E2175">
        <v>27.6</v>
      </c>
      <c r="F2175" s="1">
        <v>45737</v>
      </c>
      <c r="G2175" s="1">
        <v>45738</v>
      </c>
      <c r="H2175" t="s">
        <v>27</v>
      </c>
      <c r="I2175" t="s">
        <v>70</v>
      </c>
      <c r="J2175">
        <v>5</v>
      </c>
      <c r="K2175" t="s">
        <v>19</v>
      </c>
      <c r="L2175" t="s">
        <v>28</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x14ac:dyDescent="0.3">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x14ac:dyDescent="0.3">
      <c r="A2177" t="s">
        <v>2278</v>
      </c>
      <c r="B2177" t="s">
        <v>54</v>
      </c>
      <c r="C2177">
        <v>1</v>
      </c>
      <c r="D2177">
        <v>27.4</v>
      </c>
      <c r="E2177">
        <v>27.4</v>
      </c>
      <c r="F2177" s="1">
        <v>45737</v>
      </c>
      <c r="G2177" s="1">
        <v>45740</v>
      </c>
      <c r="H2177" t="s">
        <v>23</v>
      </c>
      <c r="I2177" t="s">
        <v>18</v>
      </c>
      <c r="J2177">
        <v>5</v>
      </c>
      <c r="K2177" t="s">
        <v>19</v>
      </c>
      <c r="L2177" t="s">
        <v>147</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x14ac:dyDescent="0.3">
      <c r="A2178" t="s">
        <v>2279</v>
      </c>
      <c r="B2178" t="s">
        <v>81</v>
      </c>
      <c r="C2178">
        <v>2</v>
      </c>
      <c r="D2178">
        <v>25.6</v>
      </c>
      <c r="E2178">
        <v>51.2</v>
      </c>
      <c r="F2178" s="1">
        <v>45737</v>
      </c>
      <c r="G2178" s="1">
        <v>45738</v>
      </c>
      <c r="H2178" t="s">
        <v>27</v>
      </c>
      <c r="I2178" t="s">
        <v>35</v>
      </c>
      <c r="J2178">
        <v>3</v>
      </c>
      <c r="K2178" t="s">
        <v>19</v>
      </c>
      <c r="L2178" t="s">
        <v>33</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x14ac:dyDescent="0.3">
      <c r="A2179" t="s">
        <v>2280</v>
      </c>
      <c r="B2179" t="s">
        <v>76</v>
      </c>
      <c r="C2179">
        <v>1</v>
      </c>
      <c r="D2179">
        <v>58.4</v>
      </c>
      <c r="E2179">
        <v>58.4</v>
      </c>
      <c r="F2179" s="1">
        <v>45737</v>
      </c>
      <c r="G2179" s="1">
        <v>45738</v>
      </c>
      <c r="H2179" t="s">
        <v>27</v>
      </c>
      <c r="I2179" t="s">
        <v>40</v>
      </c>
      <c r="J2179">
        <v>5</v>
      </c>
      <c r="K2179" t="s">
        <v>19</v>
      </c>
      <c r="L2179" t="s">
        <v>33</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x14ac:dyDescent="0.3">
      <c r="A2180" t="s">
        <v>2281</v>
      </c>
      <c r="B2180" t="s">
        <v>67</v>
      </c>
      <c r="C2180">
        <v>30</v>
      </c>
      <c r="D2180">
        <v>27</v>
      </c>
      <c r="E2180">
        <v>810</v>
      </c>
      <c r="F2180" s="1">
        <v>45737</v>
      </c>
      <c r="G2180" s="1">
        <v>45738</v>
      </c>
      <c r="H2180" t="s">
        <v>27</v>
      </c>
      <c r="I2180" t="s">
        <v>70</v>
      </c>
      <c r="J2180">
        <v>4</v>
      </c>
      <c r="K2180" t="s">
        <v>19</v>
      </c>
      <c r="L2180" t="s">
        <v>33</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x14ac:dyDescent="0.3">
      <c r="A2181" t="s">
        <v>2282</v>
      </c>
      <c r="B2181" t="s">
        <v>16</v>
      </c>
      <c r="C2181">
        <v>4</v>
      </c>
      <c r="D2181">
        <v>14.2</v>
      </c>
      <c r="E2181">
        <v>56.8</v>
      </c>
      <c r="F2181" s="1">
        <v>45737</v>
      </c>
      <c r="G2181" s="1">
        <v>45738</v>
      </c>
      <c r="H2181" t="s">
        <v>23</v>
      </c>
      <c r="I2181" t="s">
        <v>18</v>
      </c>
      <c r="J2181">
        <v>5</v>
      </c>
      <c r="K2181" t="s">
        <v>19</v>
      </c>
      <c r="L2181" t="s">
        <v>33</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x14ac:dyDescent="0.3">
      <c r="A2182" t="s">
        <v>2283</v>
      </c>
      <c r="B2182" t="s">
        <v>42</v>
      </c>
      <c r="C2182">
        <v>2</v>
      </c>
      <c r="D2182">
        <v>68</v>
      </c>
      <c r="E2182">
        <v>136</v>
      </c>
      <c r="F2182" s="1">
        <v>45737</v>
      </c>
      <c r="G2182" s="1">
        <v>45747</v>
      </c>
      <c r="H2182" t="s">
        <v>23</v>
      </c>
      <c r="I2182" t="s">
        <v>40</v>
      </c>
      <c r="J2182">
        <v>3</v>
      </c>
      <c r="K2182" t="s">
        <v>19</v>
      </c>
      <c r="L2182" t="s">
        <v>33</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x14ac:dyDescent="0.3">
      <c r="A2183" t="s">
        <v>2284</v>
      </c>
      <c r="B2183" t="s">
        <v>44</v>
      </c>
      <c r="C2183">
        <v>1</v>
      </c>
      <c r="D2183">
        <v>30.7</v>
      </c>
      <c r="E2183">
        <v>30.7</v>
      </c>
      <c r="F2183" s="1">
        <v>45737</v>
      </c>
      <c r="G2183" s="1">
        <v>45738</v>
      </c>
      <c r="H2183" t="s">
        <v>23</v>
      </c>
      <c r="I2183" t="s">
        <v>18</v>
      </c>
      <c r="J2183">
        <v>4</v>
      </c>
      <c r="K2183" t="s">
        <v>19</v>
      </c>
      <c r="L2183" t="s">
        <v>33</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x14ac:dyDescent="0.3">
      <c r="A2184" t="s">
        <v>2285</v>
      </c>
      <c r="B2184" t="s">
        <v>135</v>
      </c>
      <c r="C2184">
        <v>13</v>
      </c>
      <c r="D2184">
        <v>51.6</v>
      </c>
      <c r="E2184">
        <v>670.80000000000007</v>
      </c>
      <c r="F2184" s="1">
        <v>45737</v>
      </c>
      <c r="G2184" s="1">
        <v>45740</v>
      </c>
      <c r="H2184" t="s">
        <v>89</v>
      </c>
      <c r="I2184" t="s">
        <v>35</v>
      </c>
      <c r="J2184">
        <v>5</v>
      </c>
      <c r="K2184" t="s">
        <v>19</v>
      </c>
      <c r="L2184" t="s">
        <v>33</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x14ac:dyDescent="0.3">
      <c r="A2185" t="s">
        <v>2286</v>
      </c>
      <c r="B2185" t="s">
        <v>44</v>
      </c>
      <c r="C2185">
        <v>3</v>
      </c>
      <c r="D2185">
        <v>20.6</v>
      </c>
      <c r="E2185">
        <v>61.800000000000004</v>
      </c>
      <c r="F2185" s="1">
        <v>45737</v>
      </c>
      <c r="G2185" s="1">
        <v>45741</v>
      </c>
      <c r="H2185" t="s">
        <v>27</v>
      </c>
      <c r="I2185" t="s">
        <v>70</v>
      </c>
      <c r="J2185">
        <v>5</v>
      </c>
      <c r="K2185" t="s">
        <v>19</v>
      </c>
      <c r="L2185" t="s">
        <v>33</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x14ac:dyDescent="0.3">
      <c r="A2186" t="s">
        <v>2287</v>
      </c>
      <c r="B2186" t="s">
        <v>44</v>
      </c>
      <c r="C2186">
        <v>1</v>
      </c>
      <c r="D2186">
        <v>24.8</v>
      </c>
      <c r="E2186">
        <v>24.8</v>
      </c>
      <c r="F2186" s="1">
        <v>45737</v>
      </c>
      <c r="G2186" s="1">
        <v>45738</v>
      </c>
      <c r="H2186" t="s">
        <v>23</v>
      </c>
      <c r="I2186" t="s">
        <v>70</v>
      </c>
      <c r="J2186">
        <v>4</v>
      </c>
      <c r="K2186" t="s">
        <v>19</v>
      </c>
      <c r="L2186" t="s">
        <v>33</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x14ac:dyDescent="0.3">
      <c r="A2187" t="s">
        <v>2288</v>
      </c>
      <c r="B2187" t="s">
        <v>16</v>
      </c>
      <c r="C2187">
        <v>7</v>
      </c>
      <c r="D2187">
        <v>11.2</v>
      </c>
      <c r="E2187">
        <v>78.399999999999991</v>
      </c>
      <c r="F2187" s="1">
        <v>45737</v>
      </c>
      <c r="G2187" s="1">
        <v>45740</v>
      </c>
      <c r="H2187" t="s">
        <v>23</v>
      </c>
      <c r="I2187" t="s">
        <v>35</v>
      </c>
      <c r="J2187">
        <v>4</v>
      </c>
      <c r="K2187" t="s">
        <v>19</v>
      </c>
      <c r="L2187" t="s">
        <v>33</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x14ac:dyDescent="0.3">
      <c r="A2188" t="s">
        <v>2289</v>
      </c>
      <c r="B2188" t="s">
        <v>67</v>
      </c>
      <c r="C2188">
        <v>2</v>
      </c>
      <c r="D2188">
        <v>51.2</v>
      </c>
      <c r="E2188">
        <v>102.4</v>
      </c>
      <c r="F2188" s="1">
        <v>45737</v>
      </c>
      <c r="G2188" s="1">
        <v>45738</v>
      </c>
      <c r="H2188" t="s">
        <v>27</v>
      </c>
      <c r="I2188" t="s">
        <v>35</v>
      </c>
      <c r="J2188">
        <v>5</v>
      </c>
      <c r="K2188" t="s">
        <v>19</v>
      </c>
      <c r="L2188" t="s">
        <v>33</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x14ac:dyDescent="0.3">
      <c r="A2189" t="s">
        <v>2290</v>
      </c>
      <c r="B2189" t="s">
        <v>42</v>
      </c>
      <c r="C2189">
        <v>6</v>
      </c>
      <c r="D2189">
        <v>90.5</v>
      </c>
      <c r="E2189">
        <v>543</v>
      </c>
      <c r="F2189" s="1">
        <v>45737</v>
      </c>
      <c r="G2189" s="1">
        <v>45738</v>
      </c>
      <c r="H2189" t="s">
        <v>27</v>
      </c>
      <c r="I2189" t="s">
        <v>35</v>
      </c>
      <c r="J2189">
        <v>2</v>
      </c>
      <c r="K2189" t="s">
        <v>19</v>
      </c>
      <c r="L2189" t="s">
        <v>33</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x14ac:dyDescent="0.3">
      <c r="A2190" t="s">
        <v>2291</v>
      </c>
      <c r="B2190" t="s">
        <v>22</v>
      </c>
      <c r="C2190">
        <v>2</v>
      </c>
      <c r="D2190">
        <v>42.4</v>
      </c>
      <c r="E2190">
        <v>84.8</v>
      </c>
      <c r="F2190" s="1">
        <v>45737</v>
      </c>
      <c r="G2190" s="1">
        <v>45738</v>
      </c>
      <c r="H2190" t="s">
        <v>23</v>
      </c>
      <c r="I2190" t="s">
        <v>35</v>
      </c>
      <c r="J2190">
        <v>5</v>
      </c>
      <c r="K2190" t="s">
        <v>19</v>
      </c>
      <c r="L2190" t="s">
        <v>49</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x14ac:dyDescent="0.3">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x14ac:dyDescent="0.3">
      <c r="A2192" t="s">
        <v>2293</v>
      </c>
      <c r="B2192" t="s">
        <v>26</v>
      </c>
      <c r="C2192">
        <v>9</v>
      </c>
      <c r="D2192">
        <v>121.3</v>
      </c>
      <c r="E2192">
        <v>1091.7</v>
      </c>
      <c r="F2192" s="1">
        <v>45737</v>
      </c>
      <c r="G2192" s="1">
        <v>45742</v>
      </c>
      <c r="H2192" t="s">
        <v>23</v>
      </c>
      <c r="I2192" t="s">
        <v>18</v>
      </c>
      <c r="J2192">
        <v>4</v>
      </c>
      <c r="K2192" t="s">
        <v>19</v>
      </c>
      <c r="L2192" t="s">
        <v>55</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x14ac:dyDescent="0.3">
      <c r="A2193" t="s">
        <v>2294</v>
      </c>
      <c r="B2193" t="s">
        <v>39</v>
      </c>
      <c r="C2193">
        <v>2</v>
      </c>
      <c r="D2193">
        <v>46.9</v>
      </c>
      <c r="E2193">
        <v>93.8</v>
      </c>
      <c r="F2193" s="1">
        <v>45737</v>
      </c>
      <c r="G2193" s="1">
        <v>45744</v>
      </c>
      <c r="H2193" t="s">
        <v>23</v>
      </c>
      <c r="I2193" t="s">
        <v>18</v>
      </c>
      <c r="J2193">
        <v>4</v>
      </c>
      <c r="K2193" t="s">
        <v>19</v>
      </c>
      <c r="L2193" t="s">
        <v>62</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x14ac:dyDescent="0.3">
      <c r="A2194" t="s">
        <v>2295</v>
      </c>
      <c r="B2194" t="s">
        <v>54</v>
      </c>
      <c r="C2194">
        <v>1</v>
      </c>
      <c r="D2194">
        <v>55.3</v>
      </c>
      <c r="E2194">
        <v>55.3</v>
      </c>
      <c r="F2194" s="1">
        <v>45737</v>
      </c>
      <c r="G2194" s="1">
        <v>45739</v>
      </c>
      <c r="H2194" t="s">
        <v>23</v>
      </c>
      <c r="I2194" t="s">
        <v>18</v>
      </c>
      <c r="J2194">
        <v>4</v>
      </c>
      <c r="K2194" t="s">
        <v>19</v>
      </c>
      <c r="L2194" t="s">
        <v>62</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x14ac:dyDescent="0.3">
      <c r="A2195" t="s">
        <v>2296</v>
      </c>
      <c r="B2195" t="s">
        <v>26</v>
      </c>
      <c r="C2195">
        <v>3</v>
      </c>
      <c r="D2195">
        <v>70.599999999999994</v>
      </c>
      <c r="E2195">
        <v>211.79999999999998</v>
      </c>
      <c r="F2195" s="1">
        <v>45738</v>
      </c>
      <c r="G2195" s="1">
        <v>45738</v>
      </c>
      <c r="H2195" t="s">
        <v>27</v>
      </c>
      <c r="I2195" t="s">
        <v>18</v>
      </c>
      <c r="J2195">
        <v>3</v>
      </c>
      <c r="K2195" t="s">
        <v>19</v>
      </c>
      <c r="L2195" t="s">
        <v>62</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x14ac:dyDescent="0.3">
      <c r="A2196" t="s">
        <v>2297</v>
      </c>
      <c r="B2196" t="s">
        <v>81</v>
      </c>
      <c r="C2196">
        <v>4</v>
      </c>
      <c r="D2196">
        <v>26.1</v>
      </c>
      <c r="E2196">
        <v>104.4</v>
      </c>
      <c r="F2196" s="1">
        <v>45738</v>
      </c>
      <c r="G2196" s="1">
        <v>45740</v>
      </c>
      <c r="H2196" t="s">
        <v>23</v>
      </c>
      <c r="I2196" t="s">
        <v>18</v>
      </c>
      <c r="J2196">
        <v>4</v>
      </c>
      <c r="K2196" t="s">
        <v>19</v>
      </c>
      <c r="L2196" t="s">
        <v>62</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x14ac:dyDescent="0.3">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x14ac:dyDescent="0.3">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x14ac:dyDescent="0.3">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x14ac:dyDescent="0.3">
      <c r="A2200" t="s">
        <v>2301</v>
      </c>
      <c r="B2200" t="s">
        <v>69</v>
      </c>
      <c r="C2200">
        <v>2</v>
      </c>
      <c r="D2200">
        <v>78.5</v>
      </c>
      <c r="E2200">
        <v>157</v>
      </c>
      <c r="F2200" s="1">
        <v>45738</v>
      </c>
      <c r="G2200" s="1">
        <v>45739</v>
      </c>
      <c r="H2200" t="s">
        <v>23</v>
      </c>
      <c r="I2200" t="s">
        <v>40</v>
      </c>
      <c r="J2200">
        <v>4</v>
      </c>
      <c r="K2200" t="s">
        <v>19</v>
      </c>
      <c r="L2200" t="s">
        <v>201</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x14ac:dyDescent="0.3">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x14ac:dyDescent="0.3">
      <c r="A2202" t="s">
        <v>2303</v>
      </c>
      <c r="B2202" t="s">
        <v>171</v>
      </c>
      <c r="C2202">
        <v>1</v>
      </c>
      <c r="D2202">
        <v>26.2</v>
      </c>
      <c r="E2202">
        <v>26.2</v>
      </c>
      <c r="F2202" s="1">
        <v>45738</v>
      </c>
      <c r="G2202" s="1">
        <v>45739</v>
      </c>
      <c r="H2202" t="s">
        <v>23</v>
      </c>
      <c r="I2202" t="s">
        <v>40</v>
      </c>
      <c r="J2202">
        <v>4</v>
      </c>
      <c r="K2202" t="s">
        <v>19</v>
      </c>
      <c r="L2202" t="s">
        <v>72</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x14ac:dyDescent="0.3">
      <c r="A2203" t="s">
        <v>2304</v>
      </c>
      <c r="B2203" t="s">
        <v>39</v>
      </c>
      <c r="C2203">
        <v>4</v>
      </c>
      <c r="D2203">
        <v>53.2</v>
      </c>
      <c r="E2203">
        <v>212.8</v>
      </c>
      <c r="F2203" s="1">
        <v>45738</v>
      </c>
      <c r="G2203" s="1">
        <v>45739</v>
      </c>
      <c r="H2203" t="s">
        <v>23</v>
      </c>
      <c r="I2203" t="s">
        <v>35</v>
      </c>
      <c r="J2203">
        <v>3</v>
      </c>
      <c r="K2203" t="s">
        <v>19</v>
      </c>
      <c r="L2203" t="s">
        <v>77</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x14ac:dyDescent="0.3">
      <c r="A2204" t="s">
        <v>2305</v>
      </c>
      <c r="B2204" t="s">
        <v>22</v>
      </c>
      <c r="C2204">
        <v>1</v>
      </c>
      <c r="D2204">
        <v>35.4</v>
      </c>
      <c r="E2204">
        <v>35.4</v>
      </c>
      <c r="F2204" s="1">
        <v>45738</v>
      </c>
      <c r="G2204" s="1">
        <v>45742</v>
      </c>
      <c r="H2204" t="s">
        <v>23</v>
      </c>
      <c r="I2204" t="s">
        <v>35</v>
      </c>
      <c r="J2204">
        <v>2</v>
      </c>
      <c r="K2204" t="s">
        <v>19</v>
      </c>
      <c r="L2204" t="s">
        <v>108</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x14ac:dyDescent="0.3">
      <c r="A2205" t="s">
        <v>2306</v>
      </c>
      <c r="B2205" t="s">
        <v>81</v>
      </c>
      <c r="C2205">
        <v>2</v>
      </c>
      <c r="D2205">
        <v>21.3</v>
      </c>
      <c r="E2205">
        <v>42.6</v>
      </c>
      <c r="F2205" s="1">
        <v>45738</v>
      </c>
      <c r="G2205" s="1">
        <v>45739</v>
      </c>
      <c r="H2205" t="s">
        <v>23</v>
      </c>
      <c r="I2205" t="s">
        <v>40</v>
      </c>
      <c r="J2205">
        <v>4</v>
      </c>
      <c r="K2205" t="s">
        <v>19</v>
      </c>
      <c r="L2205" t="s">
        <v>113</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x14ac:dyDescent="0.3">
      <c r="A2206" t="s">
        <v>2307</v>
      </c>
      <c r="B2206" t="s">
        <v>44</v>
      </c>
      <c r="C2206">
        <v>4</v>
      </c>
      <c r="D2206">
        <v>32.9</v>
      </c>
      <c r="E2206">
        <v>131.6</v>
      </c>
      <c r="F2206" s="1">
        <v>45738</v>
      </c>
      <c r="G2206" s="1">
        <v>45741</v>
      </c>
      <c r="H2206" t="s">
        <v>27</v>
      </c>
      <c r="I2206" t="s">
        <v>70</v>
      </c>
      <c r="J2206">
        <v>5</v>
      </c>
      <c r="K2206" t="s">
        <v>19</v>
      </c>
      <c r="L2206" t="s">
        <v>115</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x14ac:dyDescent="0.3">
      <c r="A2207" t="s">
        <v>2308</v>
      </c>
      <c r="B2207" t="s">
        <v>37</v>
      </c>
      <c r="C2207">
        <v>15</v>
      </c>
      <c r="D2207">
        <v>85.5</v>
      </c>
      <c r="E2207">
        <v>1282.5</v>
      </c>
      <c r="F2207" s="1">
        <v>45738</v>
      </c>
      <c r="G2207" s="1">
        <v>45740</v>
      </c>
      <c r="H2207" t="s">
        <v>27</v>
      </c>
      <c r="I2207" t="s">
        <v>51</v>
      </c>
      <c r="J2207">
        <v>3</v>
      </c>
      <c r="K2207" t="s">
        <v>19</v>
      </c>
      <c r="L2207" t="s">
        <v>115</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x14ac:dyDescent="0.3">
      <c r="A2208" t="s">
        <v>2309</v>
      </c>
      <c r="B2208" t="s">
        <v>32</v>
      </c>
      <c r="C2208">
        <v>1</v>
      </c>
      <c r="D2208">
        <v>26.8</v>
      </c>
      <c r="E2208">
        <v>26.8</v>
      </c>
      <c r="F2208" s="1">
        <v>45738</v>
      </c>
      <c r="G2208" s="1">
        <v>45739</v>
      </c>
      <c r="H2208" t="s">
        <v>27</v>
      </c>
      <c r="I2208" t="s">
        <v>18</v>
      </c>
      <c r="J2208">
        <v>3</v>
      </c>
      <c r="K2208" t="s">
        <v>19</v>
      </c>
      <c r="L2208" t="s">
        <v>28</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x14ac:dyDescent="0.3">
      <c r="A2209" t="s">
        <v>2310</v>
      </c>
      <c r="B2209" t="s">
        <v>46</v>
      </c>
      <c r="C2209">
        <v>26</v>
      </c>
      <c r="D2209">
        <v>31.7</v>
      </c>
      <c r="E2209">
        <v>824.19999999999993</v>
      </c>
      <c r="F2209" s="1">
        <v>45738</v>
      </c>
      <c r="G2209" s="1">
        <v>45738</v>
      </c>
      <c r="H2209" t="s">
        <v>27</v>
      </c>
      <c r="I2209" t="s">
        <v>51</v>
      </c>
      <c r="J2209">
        <v>4</v>
      </c>
      <c r="K2209" t="s">
        <v>19</v>
      </c>
      <c r="L2209" t="s">
        <v>28</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x14ac:dyDescent="0.3">
      <c r="A2210" t="s">
        <v>2311</v>
      </c>
      <c r="B2210" t="s">
        <v>22</v>
      </c>
      <c r="C2210">
        <v>2</v>
      </c>
      <c r="D2210">
        <v>78.3</v>
      </c>
      <c r="E2210">
        <v>156.6</v>
      </c>
      <c r="F2210" s="1">
        <v>45738</v>
      </c>
      <c r="G2210" s="1">
        <v>45740</v>
      </c>
      <c r="H2210" t="s">
        <v>27</v>
      </c>
      <c r="I2210" t="s">
        <v>35</v>
      </c>
      <c r="J2210">
        <v>3</v>
      </c>
      <c r="K2210" t="s">
        <v>19</v>
      </c>
      <c r="L2210" t="s">
        <v>33</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x14ac:dyDescent="0.3">
      <c r="A2211" t="s">
        <v>2312</v>
      </c>
      <c r="B2211" t="s">
        <v>39</v>
      </c>
      <c r="C2211">
        <v>1</v>
      </c>
      <c r="D2211">
        <v>43.9</v>
      </c>
      <c r="E2211">
        <v>43.9</v>
      </c>
      <c r="F2211" s="1">
        <v>45738</v>
      </c>
      <c r="G2211" s="1">
        <v>45739</v>
      </c>
      <c r="H2211" t="s">
        <v>23</v>
      </c>
      <c r="I2211" t="s">
        <v>18</v>
      </c>
      <c r="J2211">
        <v>4</v>
      </c>
      <c r="K2211" t="s">
        <v>19</v>
      </c>
      <c r="L2211" t="s">
        <v>33</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x14ac:dyDescent="0.3">
      <c r="A2212" t="s">
        <v>2313</v>
      </c>
      <c r="B2212" t="s">
        <v>146</v>
      </c>
      <c r="C2212">
        <v>3</v>
      </c>
      <c r="D2212">
        <v>84</v>
      </c>
      <c r="E2212">
        <v>252</v>
      </c>
      <c r="F2212" s="1">
        <v>45738</v>
      </c>
      <c r="G2212" s="1">
        <v>45740</v>
      </c>
      <c r="H2212" t="s">
        <v>17</v>
      </c>
      <c r="I2212" t="s">
        <v>51</v>
      </c>
      <c r="J2212">
        <v>5</v>
      </c>
      <c r="K2212" t="s">
        <v>19</v>
      </c>
      <c r="L2212" t="s">
        <v>33</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x14ac:dyDescent="0.3">
      <c r="A2213" t="s">
        <v>2314</v>
      </c>
      <c r="B2213" t="s">
        <v>16</v>
      </c>
      <c r="C2213">
        <v>3</v>
      </c>
      <c r="D2213">
        <v>11.4</v>
      </c>
      <c r="E2213">
        <v>34.200000000000003</v>
      </c>
      <c r="F2213" s="1">
        <v>45738</v>
      </c>
      <c r="G2213" s="1">
        <v>45739</v>
      </c>
      <c r="H2213" t="s">
        <v>23</v>
      </c>
      <c r="I2213" t="s">
        <v>70</v>
      </c>
      <c r="J2213">
        <v>4</v>
      </c>
      <c r="K2213" t="s">
        <v>19</v>
      </c>
      <c r="L2213" t="s">
        <v>33</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x14ac:dyDescent="0.3">
      <c r="A2214" t="s">
        <v>2315</v>
      </c>
      <c r="B2214" t="s">
        <v>69</v>
      </c>
      <c r="C2214">
        <v>8</v>
      </c>
      <c r="D2214">
        <v>47.5</v>
      </c>
      <c r="E2214">
        <v>380</v>
      </c>
      <c r="F2214" s="1">
        <v>45738</v>
      </c>
      <c r="G2214" s="1">
        <v>45746</v>
      </c>
      <c r="H2214" t="s">
        <v>27</v>
      </c>
      <c r="I2214" t="s">
        <v>18</v>
      </c>
      <c r="J2214">
        <v>4</v>
      </c>
      <c r="K2214" t="s">
        <v>19</v>
      </c>
      <c r="L2214" t="s">
        <v>33</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x14ac:dyDescent="0.3">
      <c r="A2215" t="s">
        <v>2316</v>
      </c>
      <c r="B2215" t="s">
        <v>46</v>
      </c>
      <c r="C2215">
        <v>11</v>
      </c>
      <c r="D2215">
        <v>50.5</v>
      </c>
      <c r="E2215">
        <v>555.5</v>
      </c>
      <c r="F2215" s="1">
        <v>45738</v>
      </c>
      <c r="G2215" s="1">
        <v>45740</v>
      </c>
      <c r="H2215" t="s">
        <v>23</v>
      </c>
      <c r="I2215" t="s">
        <v>40</v>
      </c>
      <c r="J2215">
        <v>4</v>
      </c>
      <c r="K2215" t="s">
        <v>19</v>
      </c>
      <c r="L2215" t="s">
        <v>33</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x14ac:dyDescent="0.3">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x14ac:dyDescent="0.3">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x14ac:dyDescent="0.3">
      <c r="A2218" t="s">
        <v>2319</v>
      </c>
      <c r="B2218" t="s">
        <v>22</v>
      </c>
      <c r="C2218">
        <v>3</v>
      </c>
      <c r="D2218">
        <v>45.9</v>
      </c>
      <c r="E2218">
        <v>137.69999999999999</v>
      </c>
      <c r="F2218" s="1">
        <v>45739</v>
      </c>
      <c r="G2218" s="1">
        <v>45740</v>
      </c>
      <c r="H2218" t="s">
        <v>23</v>
      </c>
      <c r="I2218" t="s">
        <v>51</v>
      </c>
      <c r="J2218">
        <v>4</v>
      </c>
      <c r="K2218" t="s">
        <v>19</v>
      </c>
      <c r="L2218" t="s">
        <v>72</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x14ac:dyDescent="0.3">
      <c r="A2219" t="s">
        <v>2320</v>
      </c>
      <c r="B2219" t="s">
        <v>39</v>
      </c>
      <c r="C2219">
        <v>10</v>
      </c>
      <c r="D2219">
        <v>41.2</v>
      </c>
      <c r="E2219">
        <v>412</v>
      </c>
      <c r="F2219" s="1">
        <v>45739</v>
      </c>
      <c r="G2219" s="1">
        <v>45743</v>
      </c>
      <c r="H2219" t="s">
        <v>23</v>
      </c>
      <c r="I2219" t="s">
        <v>18</v>
      </c>
      <c r="J2219">
        <v>4</v>
      </c>
      <c r="K2219" t="s">
        <v>19</v>
      </c>
      <c r="L2219" t="s">
        <v>77</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x14ac:dyDescent="0.3">
      <c r="A2220" t="s">
        <v>2321</v>
      </c>
      <c r="B2220" t="s">
        <v>135</v>
      </c>
      <c r="C2220">
        <v>2</v>
      </c>
      <c r="D2220">
        <v>45.1</v>
      </c>
      <c r="E2220">
        <v>90.2</v>
      </c>
      <c r="F2220" s="1">
        <v>45739</v>
      </c>
      <c r="G2220" s="1">
        <v>45740</v>
      </c>
      <c r="H2220" t="s">
        <v>23</v>
      </c>
      <c r="I2220" t="s">
        <v>35</v>
      </c>
      <c r="J2220">
        <v>3</v>
      </c>
      <c r="K2220" t="s">
        <v>19</v>
      </c>
      <c r="L2220" t="s">
        <v>115</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x14ac:dyDescent="0.3">
      <c r="A2221" t="s">
        <v>2322</v>
      </c>
      <c r="B2221" t="s">
        <v>39</v>
      </c>
      <c r="C2221">
        <v>10</v>
      </c>
      <c r="D2221">
        <v>63.6</v>
      </c>
      <c r="E2221">
        <v>636</v>
      </c>
      <c r="F2221" s="1">
        <v>45739</v>
      </c>
      <c r="G2221" s="1">
        <v>45739</v>
      </c>
      <c r="H2221" t="s">
        <v>23</v>
      </c>
      <c r="I2221" t="s">
        <v>40</v>
      </c>
      <c r="J2221">
        <v>4</v>
      </c>
      <c r="K2221" t="s">
        <v>19</v>
      </c>
      <c r="L2221" t="s">
        <v>24</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x14ac:dyDescent="0.3">
      <c r="A2222" t="s">
        <v>2323</v>
      </c>
      <c r="B2222" t="s">
        <v>44</v>
      </c>
      <c r="C2222">
        <v>1</v>
      </c>
      <c r="D2222">
        <v>70.5</v>
      </c>
      <c r="E2222">
        <v>70.5</v>
      </c>
      <c r="F2222" s="1">
        <v>45739</v>
      </c>
      <c r="G2222" s="1">
        <v>45740</v>
      </c>
      <c r="H2222" t="s">
        <v>23</v>
      </c>
      <c r="I2222" t="s">
        <v>18</v>
      </c>
      <c r="J2222">
        <v>4</v>
      </c>
      <c r="K2222" t="s">
        <v>19</v>
      </c>
      <c r="L2222" t="s">
        <v>33</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x14ac:dyDescent="0.3">
      <c r="A2223" t="s">
        <v>2324</v>
      </c>
      <c r="B2223" t="s">
        <v>39</v>
      </c>
      <c r="C2223">
        <v>1</v>
      </c>
      <c r="D2223">
        <v>41.3</v>
      </c>
      <c r="E2223">
        <v>41.3</v>
      </c>
      <c r="F2223" s="1">
        <v>45739</v>
      </c>
      <c r="G2223" s="1">
        <v>45739</v>
      </c>
      <c r="H2223" t="s">
        <v>23</v>
      </c>
      <c r="I2223" t="s">
        <v>70</v>
      </c>
      <c r="J2223">
        <v>4</v>
      </c>
      <c r="K2223" t="s">
        <v>19</v>
      </c>
      <c r="L2223" t="s">
        <v>33</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x14ac:dyDescent="0.3">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x14ac:dyDescent="0.3">
      <c r="A2225" t="s">
        <v>2326</v>
      </c>
      <c r="B2225" t="s">
        <v>44</v>
      </c>
      <c r="C2225">
        <v>5</v>
      </c>
      <c r="D2225">
        <v>34.700000000000003</v>
      </c>
      <c r="E2225">
        <v>173.5</v>
      </c>
      <c r="F2225" s="1">
        <v>45739</v>
      </c>
      <c r="G2225" s="1">
        <v>45740</v>
      </c>
      <c r="H2225" t="s">
        <v>27</v>
      </c>
      <c r="I2225" t="s">
        <v>18</v>
      </c>
      <c r="J2225">
        <v>5</v>
      </c>
      <c r="K2225" t="s">
        <v>19</v>
      </c>
      <c r="L2225" t="s">
        <v>33</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x14ac:dyDescent="0.3">
      <c r="A2226" t="s">
        <v>2327</v>
      </c>
      <c r="B2226" t="s">
        <v>44</v>
      </c>
      <c r="C2226">
        <v>3</v>
      </c>
      <c r="D2226">
        <v>26.1</v>
      </c>
      <c r="E2226">
        <v>78.300000000000011</v>
      </c>
      <c r="F2226" s="1">
        <v>45739</v>
      </c>
      <c r="G2226" s="1">
        <v>45740</v>
      </c>
      <c r="H2226" t="s">
        <v>27</v>
      </c>
      <c r="I2226" t="s">
        <v>18</v>
      </c>
      <c r="J2226">
        <v>4</v>
      </c>
      <c r="K2226" t="s">
        <v>19</v>
      </c>
      <c r="L2226" t="s">
        <v>33</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x14ac:dyDescent="0.3">
      <c r="A2227" t="s">
        <v>2328</v>
      </c>
      <c r="B2227" t="s">
        <v>46</v>
      </c>
      <c r="C2227">
        <v>5</v>
      </c>
      <c r="D2227">
        <v>22.6</v>
      </c>
      <c r="E2227">
        <v>113</v>
      </c>
      <c r="F2227" s="1">
        <v>45739</v>
      </c>
      <c r="G2227" s="1">
        <v>45739</v>
      </c>
      <c r="H2227" t="s">
        <v>27</v>
      </c>
      <c r="I2227" t="s">
        <v>35</v>
      </c>
      <c r="J2227">
        <v>5</v>
      </c>
      <c r="K2227" t="s">
        <v>19</v>
      </c>
      <c r="L2227" t="s">
        <v>33</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x14ac:dyDescent="0.3">
      <c r="A2228" t="s">
        <v>2329</v>
      </c>
      <c r="B2228" t="s">
        <v>26</v>
      </c>
      <c r="C2228">
        <v>2</v>
      </c>
      <c r="D2228">
        <v>154.4</v>
      </c>
      <c r="E2228">
        <v>308.8</v>
      </c>
      <c r="F2228" s="1">
        <v>45739</v>
      </c>
      <c r="G2228" s="1">
        <v>45742</v>
      </c>
      <c r="H2228" t="s">
        <v>23</v>
      </c>
      <c r="I2228" t="s">
        <v>35</v>
      </c>
      <c r="J2228">
        <v>3</v>
      </c>
      <c r="K2228" t="s">
        <v>19</v>
      </c>
      <c r="L2228" t="s">
        <v>33</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x14ac:dyDescent="0.3">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x14ac:dyDescent="0.3">
      <c r="A2230" t="s">
        <v>2331</v>
      </c>
      <c r="B2230" t="s">
        <v>81</v>
      </c>
      <c r="C2230">
        <v>1</v>
      </c>
      <c r="D2230">
        <v>25</v>
      </c>
      <c r="E2230">
        <v>25</v>
      </c>
      <c r="F2230" s="1">
        <v>45739</v>
      </c>
      <c r="G2230" s="1">
        <v>45742</v>
      </c>
      <c r="H2230" t="s">
        <v>27</v>
      </c>
      <c r="I2230" t="s">
        <v>18</v>
      </c>
      <c r="J2230">
        <v>4</v>
      </c>
      <c r="K2230" t="s">
        <v>19</v>
      </c>
      <c r="L2230" t="s">
        <v>33</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x14ac:dyDescent="0.3">
      <c r="A2231" t="s">
        <v>2332</v>
      </c>
      <c r="B2231" t="s">
        <v>26</v>
      </c>
      <c r="C2231">
        <v>6</v>
      </c>
      <c r="D2231">
        <v>105.6</v>
      </c>
      <c r="E2231">
        <v>633.59999999999991</v>
      </c>
      <c r="F2231" s="1">
        <v>45739</v>
      </c>
      <c r="G2231" s="1">
        <v>45739</v>
      </c>
      <c r="H2231" t="s">
        <v>27</v>
      </c>
      <c r="I2231" t="s">
        <v>18</v>
      </c>
      <c r="J2231">
        <v>4</v>
      </c>
      <c r="K2231" t="s">
        <v>19</v>
      </c>
      <c r="L2231" t="s">
        <v>33</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x14ac:dyDescent="0.3">
      <c r="A2232" t="s">
        <v>2333</v>
      </c>
      <c r="B2232" t="s">
        <v>146</v>
      </c>
      <c r="C2232">
        <v>8</v>
      </c>
      <c r="D2232">
        <v>59.6</v>
      </c>
      <c r="E2232">
        <v>476.8</v>
      </c>
      <c r="F2232" s="1">
        <v>45739</v>
      </c>
      <c r="G2232" s="1">
        <v>45739</v>
      </c>
      <c r="H2232" t="s">
        <v>27</v>
      </c>
      <c r="I2232" t="s">
        <v>18</v>
      </c>
      <c r="J2232">
        <v>5</v>
      </c>
      <c r="K2232" t="s">
        <v>19</v>
      </c>
      <c r="L2232" t="s">
        <v>158</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x14ac:dyDescent="0.3">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x14ac:dyDescent="0.3">
      <c r="A2234" t="s">
        <v>2335</v>
      </c>
      <c r="B2234" t="s">
        <v>42</v>
      </c>
      <c r="C2234">
        <v>1</v>
      </c>
      <c r="D2234">
        <v>104.4</v>
      </c>
      <c r="E2234">
        <v>104.4</v>
      </c>
      <c r="F2234" s="1">
        <v>45739</v>
      </c>
      <c r="G2234" s="1">
        <v>45740</v>
      </c>
      <c r="H2234" t="s">
        <v>27</v>
      </c>
      <c r="I2234" t="s">
        <v>18</v>
      </c>
      <c r="J2234">
        <v>4</v>
      </c>
      <c r="K2234" t="s">
        <v>19</v>
      </c>
      <c r="L2234" t="s">
        <v>62</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x14ac:dyDescent="0.3">
      <c r="A2235" t="s">
        <v>2336</v>
      </c>
      <c r="B2235" t="s">
        <v>26</v>
      </c>
      <c r="C2235">
        <v>10</v>
      </c>
      <c r="D2235">
        <v>208.2</v>
      </c>
      <c r="E2235">
        <v>2082</v>
      </c>
      <c r="F2235" s="1">
        <v>45739</v>
      </c>
      <c r="G2235" s="1">
        <v>45740</v>
      </c>
      <c r="H2235" t="s">
        <v>23</v>
      </c>
      <c r="I2235" t="s">
        <v>18</v>
      </c>
      <c r="J2235">
        <v>5</v>
      </c>
      <c r="K2235" t="s">
        <v>19</v>
      </c>
      <c r="L2235" t="s">
        <v>62</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x14ac:dyDescent="0.3">
      <c r="A2236" t="s">
        <v>2337</v>
      </c>
      <c r="B2236" t="s">
        <v>39</v>
      </c>
      <c r="C2236">
        <v>2</v>
      </c>
      <c r="D2236">
        <v>45</v>
      </c>
      <c r="E2236">
        <v>90</v>
      </c>
      <c r="F2236" s="1">
        <v>45739</v>
      </c>
      <c r="G2236" s="1">
        <v>45742</v>
      </c>
      <c r="H2236" t="s">
        <v>27</v>
      </c>
      <c r="I2236" t="s">
        <v>18</v>
      </c>
      <c r="J2236">
        <v>4</v>
      </c>
      <c r="K2236" t="s">
        <v>19</v>
      </c>
      <c r="L2236" t="s">
        <v>74</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x14ac:dyDescent="0.3">
      <c r="A2237" t="s">
        <v>2338</v>
      </c>
      <c r="B2237" t="s">
        <v>123</v>
      </c>
      <c r="C2237">
        <v>2</v>
      </c>
      <c r="D2237">
        <v>20.3</v>
      </c>
      <c r="E2237">
        <v>40.6</v>
      </c>
      <c r="F2237" s="1">
        <v>45740</v>
      </c>
      <c r="G2237" s="1">
        <v>45742</v>
      </c>
      <c r="H2237" t="s">
        <v>17</v>
      </c>
      <c r="I2237" t="s">
        <v>35</v>
      </c>
      <c r="J2237">
        <v>4</v>
      </c>
      <c r="K2237" t="s">
        <v>19</v>
      </c>
      <c r="L2237" t="s">
        <v>77</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x14ac:dyDescent="0.3">
      <c r="A2238" t="s">
        <v>2339</v>
      </c>
      <c r="B2238" t="s">
        <v>26</v>
      </c>
      <c r="C2238">
        <v>3</v>
      </c>
      <c r="D2238">
        <v>94.4</v>
      </c>
      <c r="E2238">
        <v>283.20000000000005</v>
      </c>
      <c r="F2238" s="1">
        <v>45740</v>
      </c>
      <c r="G2238" s="1">
        <v>45741</v>
      </c>
      <c r="H2238" t="s">
        <v>27</v>
      </c>
      <c r="I2238" t="s">
        <v>18</v>
      </c>
      <c r="J2238">
        <v>5</v>
      </c>
      <c r="K2238" t="s">
        <v>19</v>
      </c>
      <c r="L2238" t="s">
        <v>77</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x14ac:dyDescent="0.3">
      <c r="A2239" t="s">
        <v>2340</v>
      </c>
      <c r="B2239" t="s">
        <v>46</v>
      </c>
      <c r="C2239">
        <v>1</v>
      </c>
      <c r="D2239">
        <v>49</v>
      </c>
      <c r="E2239">
        <v>49</v>
      </c>
      <c r="F2239" s="1">
        <v>45740</v>
      </c>
      <c r="G2239" s="1">
        <v>45742</v>
      </c>
      <c r="H2239" t="s">
        <v>27</v>
      </c>
      <c r="I2239" t="s">
        <v>18</v>
      </c>
      <c r="J2239">
        <v>5</v>
      </c>
      <c r="K2239" t="s">
        <v>19</v>
      </c>
      <c r="L2239" t="s">
        <v>113</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x14ac:dyDescent="0.3">
      <c r="A2240" t="s">
        <v>2341</v>
      </c>
      <c r="B2240" t="s">
        <v>32</v>
      </c>
      <c r="C2240">
        <v>2</v>
      </c>
      <c r="D2240">
        <v>27.2</v>
      </c>
      <c r="E2240">
        <v>54.4</v>
      </c>
      <c r="F2240" s="1">
        <v>45740</v>
      </c>
      <c r="G2240" s="1">
        <v>45742</v>
      </c>
      <c r="H2240" t="s">
        <v>23</v>
      </c>
      <c r="I2240" t="s">
        <v>18</v>
      </c>
      <c r="J2240">
        <v>5</v>
      </c>
      <c r="K2240" t="s">
        <v>19</v>
      </c>
      <c r="L2240" t="s">
        <v>24</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x14ac:dyDescent="0.3">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x14ac:dyDescent="0.3">
      <c r="A2242" t="s">
        <v>2343</v>
      </c>
      <c r="B2242" t="s">
        <v>123</v>
      </c>
      <c r="C2242">
        <v>4</v>
      </c>
      <c r="D2242">
        <v>62.4</v>
      </c>
      <c r="E2242">
        <v>249.6</v>
      </c>
      <c r="F2242" s="1">
        <v>45740</v>
      </c>
      <c r="G2242" s="1">
        <v>45741</v>
      </c>
      <c r="H2242" t="s">
        <v>27</v>
      </c>
      <c r="I2242" t="s">
        <v>18</v>
      </c>
      <c r="J2242">
        <v>4</v>
      </c>
      <c r="K2242" t="s">
        <v>19</v>
      </c>
      <c r="L2242" t="s">
        <v>33</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x14ac:dyDescent="0.3">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x14ac:dyDescent="0.3">
      <c r="A2244" t="s">
        <v>2345</v>
      </c>
      <c r="B2244" t="s">
        <v>54</v>
      </c>
      <c r="C2244">
        <v>1</v>
      </c>
      <c r="D2244">
        <v>29.6</v>
      </c>
      <c r="E2244">
        <v>29.6</v>
      </c>
      <c r="F2244" s="1">
        <v>45740</v>
      </c>
      <c r="G2244" s="1">
        <v>45744</v>
      </c>
      <c r="H2244" t="s">
        <v>23</v>
      </c>
      <c r="I2244" t="s">
        <v>18</v>
      </c>
      <c r="J2244">
        <v>2</v>
      </c>
      <c r="K2244" t="s">
        <v>19</v>
      </c>
      <c r="L2244" t="s">
        <v>33</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x14ac:dyDescent="0.3">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x14ac:dyDescent="0.3">
      <c r="A2246" t="s">
        <v>2347</v>
      </c>
      <c r="B2246" t="s">
        <v>54</v>
      </c>
      <c r="C2246">
        <v>5</v>
      </c>
      <c r="D2246">
        <v>41.4</v>
      </c>
      <c r="E2246">
        <v>207</v>
      </c>
      <c r="F2246" s="1">
        <v>45740</v>
      </c>
      <c r="G2246" s="1">
        <v>45741</v>
      </c>
      <c r="H2246" t="s">
        <v>23</v>
      </c>
      <c r="I2246" t="s">
        <v>51</v>
      </c>
      <c r="J2246">
        <v>4</v>
      </c>
      <c r="K2246" t="s">
        <v>19</v>
      </c>
      <c r="L2246" t="s">
        <v>33</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x14ac:dyDescent="0.3">
      <c r="A2247" t="s">
        <v>2348</v>
      </c>
      <c r="B2247" t="s">
        <v>26</v>
      </c>
      <c r="C2247">
        <v>1</v>
      </c>
      <c r="D2247">
        <v>118.4</v>
      </c>
      <c r="E2247">
        <v>118.4</v>
      </c>
      <c r="F2247" s="1">
        <v>45740</v>
      </c>
      <c r="G2247" s="1">
        <v>45741</v>
      </c>
      <c r="H2247" t="s">
        <v>27</v>
      </c>
      <c r="I2247" t="s">
        <v>18</v>
      </c>
      <c r="J2247">
        <v>5</v>
      </c>
      <c r="K2247" t="s">
        <v>19</v>
      </c>
      <c r="L2247" t="s">
        <v>33</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x14ac:dyDescent="0.3">
      <c r="A2248" t="s">
        <v>2349</v>
      </c>
      <c r="B2248" t="s">
        <v>26</v>
      </c>
      <c r="C2248">
        <v>2</v>
      </c>
      <c r="D2248">
        <v>125.3</v>
      </c>
      <c r="E2248">
        <v>250.6</v>
      </c>
      <c r="F2248" s="1">
        <v>45740</v>
      </c>
      <c r="G2248" s="1">
        <v>45743</v>
      </c>
      <c r="H2248" t="s">
        <v>27</v>
      </c>
      <c r="I2248" t="s">
        <v>18</v>
      </c>
      <c r="J2248">
        <v>5</v>
      </c>
      <c r="K2248" t="s">
        <v>19</v>
      </c>
      <c r="L2248" t="s">
        <v>33</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x14ac:dyDescent="0.3">
      <c r="A2249" t="s">
        <v>2350</v>
      </c>
      <c r="B2249" t="s">
        <v>30</v>
      </c>
      <c r="C2249">
        <v>2</v>
      </c>
      <c r="D2249">
        <v>85.8</v>
      </c>
      <c r="E2249">
        <v>171.6</v>
      </c>
      <c r="F2249" s="1">
        <v>45740</v>
      </c>
      <c r="G2249" s="1">
        <v>45741</v>
      </c>
      <c r="H2249" t="s">
        <v>27</v>
      </c>
      <c r="I2249" t="s">
        <v>35</v>
      </c>
      <c r="J2249">
        <v>2</v>
      </c>
      <c r="K2249" t="s">
        <v>19</v>
      </c>
      <c r="L2249" t="s">
        <v>33</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x14ac:dyDescent="0.3">
      <c r="A2250" t="s">
        <v>2351</v>
      </c>
      <c r="B2250" t="s">
        <v>39</v>
      </c>
      <c r="C2250">
        <v>1</v>
      </c>
      <c r="D2250">
        <v>44.2</v>
      </c>
      <c r="E2250">
        <v>44.2</v>
      </c>
      <c r="F2250" s="1">
        <v>45740</v>
      </c>
      <c r="G2250" s="1">
        <v>45743</v>
      </c>
      <c r="H2250" t="s">
        <v>23</v>
      </c>
      <c r="I2250" t="s">
        <v>35</v>
      </c>
      <c r="J2250">
        <v>4</v>
      </c>
      <c r="K2250" t="s">
        <v>19</v>
      </c>
      <c r="L2250" t="s">
        <v>33</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x14ac:dyDescent="0.3">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x14ac:dyDescent="0.3">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x14ac:dyDescent="0.3">
      <c r="A2253" t="s">
        <v>2354</v>
      </c>
      <c r="B2253" t="s">
        <v>22</v>
      </c>
      <c r="C2253">
        <v>2</v>
      </c>
      <c r="D2253">
        <v>39.1</v>
      </c>
      <c r="E2253">
        <v>78.2</v>
      </c>
      <c r="F2253" s="1">
        <v>45740</v>
      </c>
      <c r="G2253" s="1">
        <v>45741</v>
      </c>
      <c r="H2253" t="s">
        <v>23</v>
      </c>
      <c r="I2253" t="s">
        <v>18</v>
      </c>
      <c r="J2253">
        <v>3</v>
      </c>
      <c r="K2253" t="s">
        <v>19</v>
      </c>
      <c r="L2253" t="s">
        <v>186</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x14ac:dyDescent="0.3">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x14ac:dyDescent="0.3">
      <c r="A2255" t="s">
        <v>2356</v>
      </c>
      <c r="B2255" t="s">
        <v>123</v>
      </c>
      <c r="C2255">
        <v>3</v>
      </c>
      <c r="D2255">
        <v>33.9</v>
      </c>
      <c r="E2255">
        <v>101.69999999999999</v>
      </c>
      <c r="F2255" s="1">
        <v>45740</v>
      </c>
      <c r="G2255" s="1">
        <v>45742</v>
      </c>
      <c r="H2255" t="s">
        <v>23</v>
      </c>
      <c r="I2255" t="s">
        <v>40</v>
      </c>
      <c r="J2255">
        <v>4</v>
      </c>
      <c r="K2255" t="s">
        <v>19</v>
      </c>
      <c r="L2255" t="s">
        <v>55</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x14ac:dyDescent="0.3">
      <c r="A2256" t="s">
        <v>2357</v>
      </c>
      <c r="B2256" t="s">
        <v>42</v>
      </c>
      <c r="C2256">
        <v>15</v>
      </c>
      <c r="D2256">
        <v>73.3</v>
      </c>
      <c r="E2256">
        <v>1099.5</v>
      </c>
      <c r="F2256" s="1">
        <v>45740</v>
      </c>
      <c r="G2256" s="1">
        <v>45743</v>
      </c>
      <c r="H2256" t="s">
        <v>27</v>
      </c>
      <c r="I2256" t="s">
        <v>40</v>
      </c>
      <c r="J2256">
        <v>3</v>
      </c>
      <c r="K2256" t="s">
        <v>19</v>
      </c>
      <c r="L2256" t="s">
        <v>62</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x14ac:dyDescent="0.3">
      <c r="A2257" t="s">
        <v>2358</v>
      </c>
      <c r="B2257" t="s">
        <v>44</v>
      </c>
      <c r="C2257">
        <v>4</v>
      </c>
      <c r="D2257">
        <v>35</v>
      </c>
      <c r="E2257">
        <v>140</v>
      </c>
      <c r="F2257" s="1">
        <v>45740</v>
      </c>
      <c r="G2257" s="1">
        <v>45742</v>
      </c>
      <c r="H2257" t="s">
        <v>27</v>
      </c>
      <c r="I2257" t="s">
        <v>35</v>
      </c>
      <c r="J2257">
        <v>4</v>
      </c>
      <c r="K2257" t="s">
        <v>19</v>
      </c>
      <c r="L2257" t="s">
        <v>62</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x14ac:dyDescent="0.3">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x14ac:dyDescent="0.3">
      <c r="A2259" t="s">
        <v>2360</v>
      </c>
      <c r="B2259" t="s">
        <v>54</v>
      </c>
      <c r="C2259">
        <v>1</v>
      </c>
      <c r="D2259">
        <v>32.4</v>
      </c>
      <c r="E2259">
        <v>32.4</v>
      </c>
      <c r="F2259" s="1">
        <v>45740</v>
      </c>
      <c r="G2259" s="1">
        <v>45741</v>
      </c>
      <c r="H2259" t="s">
        <v>27</v>
      </c>
      <c r="I2259" t="s">
        <v>18</v>
      </c>
      <c r="J2259">
        <v>4</v>
      </c>
      <c r="K2259" t="s">
        <v>19</v>
      </c>
      <c r="L2259" t="s">
        <v>77</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x14ac:dyDescent="0.3">
      <c r="A2260" t="s">
        <v>2361</v>
      </c>
      <c r="B2260" t="s">
        <v>37</v>
      </c>
      <c r="C2260">
        <v>3</v>
      </c>
      <c r="D2260">
        <v>88.4</v>
      </c>
      <c r="E2260">
        <v>265.20000000000005</v>
      </c>
      <c r="F2260" s="1">
        <v>45741</v>
      </c>
      <c r="G2260" s="1">
        <v>45743</v>
      </c>
      <c r="H2260" t="s">
        <v>27</v>
      </c>
      <c r="I2260" t="s">
        <v>35</v>
      </c>
      <c r="J2260">
        <v>3</v>
      </c>
      <c r="K2260" t="s">
        <v>19</v>
      </c>
      <c r="L2260" t="s">
        <v>77</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x14ac:dyDescent="0.3">
      <c r="A2261" t="s">
        <v>2362</v>
      </c>
      <c r="B2261" t="s">
        <v>37</v>
      </c>
      <c r="C2261">
        <v>16</v>
      </c>
      <c r="D2261">
        <v>30.5</v>
      </c>
      <c r="E2261">
        <v>488</v>
      </c>
      <c r="F2261" s="1">
        <v>45741</v>
      </c>
      <c r="G2261" s="1">
        <v>45742</v>
      </c>
      <c r="H2261" t="s">
        <v>27</v>
      </c>
      <c r="I2261" t="s">
        <v>40</v>
      </c>
      <c r="J2261">
        <v>4</v>
      </c>
      <c r="K2261" t="s">
        <v>19</v>
      </c>
      <c r="L2261" t="s">
        <v>77</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x14ac:dyDescent="0.3">
      <c r="A2262" t="s">
        <v>2363</v>
      </c>
      <c r="B2262" t="s">
        <v>22</v>
      </c>
      <c r="C2262">
        <v>6</v>
      </c>
      <c r="D2262">
        <v>38.1</v>
      </c>
      <c r="E2262">
        <v>228.60000000000002</v>
      </c>
      <c r="F2262" s="1">
        <v>45741</v>
      </c>
      <c r="G2262" s="1">
        <v>45743</v>
      </c>
      <c r="H2262" t="s">
        <v>27</v>
      </c>
      <c r="I2262" t="s">
        <v>18</v>
      </c>
      <c r="J2262">
        <v>3</v>
      </c>
      <c r="K2262" t="s">
        <v>19</v>
      </c>
      <c r="L2262" t="s">
        <v>77</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x14ac:dyDescent="0.3">
      <c r="A2263" t="s">
        <v>2364</v>
      </c>
      <c r="B2263" t="s">
        <v>54</v>
      </c>
      <c r="C2263">
        <v>5</v>
      </c>
      <c r="D2263">
        <v>37.6</v>
      </c>
      <c r="E2263">
        <v>188</v>
      </c>
      <c r="F2263" s="1">
        <v>45741</v>
      </c>
      <c r="G2263" s="1">
        <v>45745</v>
      </c>
      <c r="H2263" t="s">
        <v>23</v>
      </c>
      <c r="I2263" t="s">
        <v>18</v>
      </c>
      <c r="J2263">
        <v>4</v>
      </c>
      <c r="K2263" t="s">
        <v>19</v>
      </c>
      <c r="L2263" t="s">
        <v>77</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x14ac:dyDescent="0.3">
      <c r="A2264" t="s">
        <v>2365</v>
      </c>
      <c r="B2264" t="s">
        <v>123</v>
      </c>
      <c r="C2264">
        <v>2</v>
      </c>
      <c r="D2264">
        <v>31.4</v>
      </c>
      <c r="E2264">
        <v>62.8</v>
      </c>
      <c r="F2264" s="1">
        <v>45741</v>
      </c>
      <c r="G2264" s="1">
        <v>45742</v>
      </c>
      <c r="H2264" t="s">
        <v>23</v>
      </c>
      <c r="I2264" t="s">
        <v>18</v>
      </c>
      <c r="J2264">
        <v>5</v>
      </c>
      <c r="K2264" t="s">
        <v>19</v>
      </c>
      <c r="L2264" t="s">
        <v>77</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x14ac:dyDescent="0.3">
      <c r="A2265" t="s">
        <v>2366</v>
      </c>
      <c r="B2265" t="s">
        <v>39</v>
      </c>
      <c r="C2265">
        <v>2</v>
      </c>
      <c r="D2265">
        <v>61.5</v>
      </c>
      <c r="E2265">
        <v>123</v>
      </c>
      <c r="F2265" s="1">
        <v>45741</v>
      </c>
      <c r="G2265" s="1">
        <v>45742</v>
      </c>
      <c r="H2265" t="s">
        <v>23</v>
      </c>
      <c r="I2265" t="s">
        <v>51</v>
      </c>
      <c r="J2265">
        <v>4</v>
      </c>
      <c r="K2265" t="s">
        <v>19</v>
      </c>
      <c r="L2265" t="s">
        <v>292</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x14ac:dyDescent="0.3">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x14ac:dyDescent="0.3">
      <c r="A2267" t="s">
        <v>2368</v>
      </c>
      <c r="B2267" t="s">
        <v>46</v>
      </c>
      <c r="C2267">
        <v>3</v>
      </c>
      <c r="D2267">
        <v>26.9</v>
      </c>
      <c r="E2267">
        <v>80.699999999999989</v>
      </c>
      <c r="F2267" s="1">
        <v>45741</v>
      </c>
      <c r="G2267" s="1">
        <v>45746</v>
      </c>
      <c r="H2267" t="s">
        <v>89</v>
      </c>
      <c r="I2267" t="s">
        <v>70</v>
      </c>
      <c r="J2267">
        <v>3</v>
      </c>
      <c r="K2267" t="s">
        <v>19</v>
      </c>
      <c r="L2267" t="s">
        <v>641</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x14ac:dyDescent="0.3">
      <c r="A2268" t="s">
        <v>2369</v>
      </c>
      <c r="B2268" t="s">
        <v>135</v>
      </c>
      <c r="C2268">
        <v>12</v>
      </c>
      <c r="D2268">
        <v>29.4</v>
      </c>
      <c r="E2268">
        <v>352.79999999999995</v>
      </c>
      <c r="F2268" s="1">
        <v>45741</v>
      </c>
      <c r="G2268" s="1">
        <v>45742</v>
      </c>
      <c r="H2268" t="s">
        <v>27</v>
      </c>
      <c r="I2268" t="s">
        <v>35</v>
      </c>
      <c r="J2268">
        <v>4</v>
      </c>
      <c r="K2268" t="s">
        <v>19</v>
      </c>
      <c r="L2268" t="s">
        <v>967</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x14ac:dyDescent="0.3">
      <c r="A2269" t="s">
        <v>2370</v>
      </c>
      <c r="B2269" t="s">
        <v>135</v>
      </c>
      <c r="C2269">
        <v>2</v>
      </c>
      <c r="D2269">
        <v>42.1</v>
      </c>
      <c r="E2269">
        <v>84.2</v>
      </c>
      <c r="F2269" s="1">
        <v>45741</v>
      </c>
      <c r="G2269" s="1">
        <v>45742</v>
      </c>
      <c r="H2269" t="s">
        <v>27</v>
      </c>
      <c r="I2269" t="s">
        <v>51</v>
      </c>
      <c r="J2269">
        <v>3</v>
      </c>
      <c r="K2269" t="s">
        <v>19</v>
      </c>
      <c r="L2269" t="s">
        <v>24</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x14ac:dyDescent="0.3">
      <c r="A2270" t="s">
        <v>2371</v>
      </c>
      <c r="B2270" t="s">
        <v>37</v>
      </c>
      <c r="C2270">
        <v>1</v>
      </c>
      <c r="D2270">
        <v>40.5</v>
      </c>
      <c r="E2270">
        <v>40.5</v>
      </c>
      <c r="F2270" s="1">
        <v>45741</v>
      </c>
      <c r="G2270" s="1">
        <v>45742</v>
      </c>
      <c r="H2270" t="s">
        <v>27</v>
      </c>
      <c r="I2270" t="s">
        <v>40</v>
      </c>
      <c r="J2270">
        <v>3</v>
      </c>
      <c r="K2270" t="s">
        <v>19</v>
      </c>
      <c r="L2270" t="s">
        <v>24</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x14ac:dyDescent="0.3">
      <c r="A2271" t="s">
        <v>2372</v>
      </c>
      <c r="B2271" t="s">
        <v>26</v>
      </c>
      <c r="C2271">
        <v>4</v>
      </c>
      <c r="D2271">
        <v>182.3</v>
      </c>
      <c r="E2271">
        <v>729.2</v>
      </c>
      <c r="F2271" s="1">
        <v>45741</v>
      </c>
      <c r="G2271" s="1">
        <v>45742</v>
      </c>
      <c r="H2271" t="s">
        <v>27</v>
      </c>
      <c r="I2271" t="s">
        <v>35</v>
      </c>
      <c r="J2271">
        <v>4</v>
      </c>
      <c r="K2271" t="s">
        <v>19</v>
      </c>
      <c r="L2271" t="s">
        <v>24</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x14ac:dyDescent="0.3">
      <c r="A2272" t="s">
        <v>2373</v>
      </c>
      <c r="B2272" t="s">
        <v>26</v>
      </c>
      <c r="C2272">
        <v>5</v>
      </c>
      <c r="D2272">
        <v>157</v>
      </c>
      <c r="E2272">
        <v>785</v>
      </c>
      <c r="F2272" s="1">
        <v>45741</v>
      </c>
      <c r="G2272" s="1">
        <v>45744</v>
      </c>
      <c r="H2272" t="s">
        <v>27</v>
      </c>
      <c r="I2272" t="s">
        <v>35</v>
      </c>
      <c r="J2272">
        <v>5</v>
      </c>
      <c r="K2272" t="s">
        <v>19</v>
      </c>
      <c r="L2272" t="s">
        <v>28</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x14ac:dyDescent="0.3">
      <c r="A2273" t="s">
        <v>2374</v>
      </c>
      <c r="B2273" t="s">
        <v>135</v>
      </c>
      <c r="C2273">
        <v>5</v>
      </c>
      <c r="D2273">
        <v>45.2</v>
      </c>
      <c r="E2273">
        <v>226</v>
      </c>
      <c r="F2273" s="1">
        <v>45741</v>
      </c>
      <c r="G2273" s="1">
        <v>45744</v>
      </c>
      <c r="H2273" t="s">
        <v>27</v>
      </c>
      <c r="I2273" t="s">
        <v>35</v>
      </c>
      <c r="J2273">
        <v>4</v>
      </c>
      <c r="K2273" t="s">
        <v>19</v>
      </c>
      <c r="L2273" t="s">
        <v>147</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x14ac:dyDescent="0.3">
      <c r="A2274" t="s">
        <v>2375</v>
      </c>
      <c r="B2274" t="s">
        <v>123</v>
      </c>
      <c r="C2274">
        <v>4</v>
      </c>
      <c r="D2274">
        <v>27.4</v>
      </c>
      <c r="E2274">
        <v>109.6</v>
      </c>
      <c r="F2274" s="1">
        <v>45741</v>
      </c>
      <c r="G2274" s="1">
        <v>45743</v>
      </c>
      <c r="H2274" t="s">
        <v>27</v>
      </c>
      <c r="I2274" t="s">
        <v>18</v>
      </c>
      <c r="J2274">
        <v>4</v>
      </c>
      <c r="K2274" t="s">
        <v>19</v>
      </c>
      <c r="L2274" t="s">
        <v>33</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x14ac:dyDescent="0.3">
      <c r="A2275" t="s">
        <v>2376</v>
      </c>
      <c r="B2275" t="s">
        <v>37</v>
      </c>
      <c r="C2275">
        <v>5</v>
      </c>
      <c r="D2275">
        <v>34.1</v>
      </c>
      <c r="E2275">
        <v>170.5</v>
      </c>
      <c r="F2275" s="1">
        <v>45741</v>
      </c>
      <c r="G2275" s="1">
        <v>45743</v>
      </c>
      <c r="H2275" t="s">
        <v>23</v>
      </c>
      <c r="I2275" t="s">
        <v>18</v>
      </c>
      <c r="J2275">
        <v>5</v>
      </c>
      <c r="K2275" t="s">
        <v>19</v>
      </c>
      <c r="L2275" t="s">
        <v>33</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x14ac:dyDescent="0.3">
      <c r="A2276" t="s">
        <v>2377</v>
      </c>
      <c r="B2276" t="s">
        <v>16</v>
      </c>
      <c r="C2276">
        <v>2</v>
      </c>
      <c r="D2276">
        <v>26</v>
      </c>
      <c r="E2276">
        <v>52</v>
      </c>
      <c r="F2276" s="1">
        <v>45741</v>
      </c>
      <c r="G2276" s="1">
        <v>45743</v>
      </c>
      <c r="H2276" t="s">
        <v>23</v>
      </c>
      <c r="I2276" t="s">
        <v>40</v>
      </c>
      <c r="J2276">
        <v>3</v>
      </c>
      <c r="K2276" t="s">
        <v>19</v>
      </c>
      <c r="L2276" t="s">
        <v>33</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x14ac:dyDescent="0.3">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x14ac:dyDescent="0.3">
      <c r="A2278" t="s">
        <v>2379</v>
      </c>
      <c r="B2278" t="s">
        <v>128</v>
      </c>
      <c r="C2278">
        <v>3</v>
      </c>
      <c r="D2278">
        <v>30.3</v>
      </c>
      <c r="E2278">
        <v>90.9</v>
      </c>
      <c r="F2278" s="1">
        <v>45741</v>
      </c>
      <c r="G2278" s="1">
        <v>45744</v>
      </c>
      <c r="H2278" t="s">
        <v>27</v>
      </c>
      <c r="I2278" t="s">
        <v>35</v>
      </c>
      <c r="J2278">
        <v>5</v>
      </c>
      <c r="K2278" t="s">
        <v>19</v>
      </c>
      <c r="L2278" t="s">
        <v>33</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x14ac:dyDescent="0.3">
      <c r="A2279" t="s">
        <v>2380</v>
      </c>
      <c r="B2279" t="s">
        <v>26</v>
      </c>
      <c r="C2279">
        <v>3</v>
      </c>
      <c r="D2279">
        <v>101.4</v>
      </c>
      <c r="E2279">
        <v>304.20000000000005</v>
      </c>
      <c r="F2279" s="1">
        <v>45741</v>
      </c>
      <c r="G2279" s="1">
        <v>45742</v>
      </c>
      <c r="H2279" t="s">
        <v>23</v>
      </c>
      <c r="I2279" t="s">
        <v>18</v>
      </c>
      <c r="J2279">
        <v>4</v>
      </c>
      <c r="K2279" t="s">
        <v>19</v>
      </c>
      <c r="L2279" t="s">
        <v>33</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x14ac:dyDescent="0.3">
      <c r="A2280" t="s">
        <v>2381</v>
      </c>
      <c r="B2280" t="s">
        <v>30</v>
      </c>
      <c r="C2280">
        <v>5</v>
      </c>
      <c r="D2280">
        <v>55.5</v>
      </c>
      <c r="E2280">
        <v>277.5</v>
      </c>
      <c r="F2280" s="1">
        <v>45741</v>
      </c>
      <c r="G2280" s="1">
        <v>45744</v>
      </c>
      <c r="H2280" t="s">
        <v>23</v>
      </c>
      <c r="I2280" t="s">
        <v>35</v>
      </c>
      <c r="J2280">
        <v>4</v>
      </c>
      <c r="K2280" t="s">
        <v>19</v>
      </c>
      <c r="L2280" t="s">
        <v>186</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x14ac:dyDescent="0.3">
      <c r="A2281" t="s">
        <v>2382</v>
      </c>
      <c r="B2281" t="s">
        <v>44</v>
      </c>
      <c r="C2281">
        <v>1</v>
      </c>
      <c r="D2281">
        <v>23.1</v>
      </c>
      <c r="E2281">
        <v>23.1</v>
      </c>
      <c r="F2281" s="1">
        <v>45741</v>
      </c>
      <c r="G2281" s="1">
        <v>45742</v>
      </c>
      <c r="H2281" t="s">
        <v>23</v>
      </c>
      <c r="I2281" t="s">
        <v>18</v>
      </c>
      <c r="J2281">
        <v>4</v>
      </c>
      <c r="K2281" t="s">
        <v>19</v>
      </c>
      <c r="L2281" t="s">
        <v>188</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x14ac:dyDescent="0.3">
      <c r="A2282" t="s">
        <v>2383</v>
      </c>
      <c r="B2282" t="s">
        <v>146</v>
      </c>
      <c r="C2282">
        <v>2</v>
      </c>
      <c r="D2282">
        <v>38.9</v>
      </c>
      <c r="E2282">
        <v>77.8</v>
      </c>
      <c r="F2282" s="1">
        <v>45741</v>
      </c>
      <c r="G2282" s="1">
        <v>45742</v>
      </c>
      <c r="H2282" t="s">
        <v>23</v>
      </c>
      <c r="I2282" t="s">
        <v>40</v>
      </c>
      <c r="J2282">
        <v>4</v>
      </c>
      <c r="K2282" t="s">
        <v>19</v>
      </c>
      <c r="L2282" t="s">
        <v>188</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x14ac:dyDescent="0.3">
      <c r="A2283" t="s">
        <v>2384</v>
      </c>
      <c r="B2283" t="s">
        <v>39</v>
      </c>
      <c r="C2283">
        <v>9</v>
      </c>
      <c r="D2283">
        <v>116.3</v>
      </c>
      <c r="E2283">
        <v>1046.7</v>
      </c>
      <c r="F2283" s="1">
        <v>45741</v>
      </c>
      <c r="G2283" s="1">
        <v>45745</v>
      </c>
      <c r="H2283" t="s">
        <v>27</v>
      </c>
      <c r="I2283" t="s">
        <v>18</v>
      </c>
      <c r="J2283">
        <v>4</v>
      </c>
      <c r="K2283" t="s">
        <v>19</v>
      </c>
      <c r="L2283" t="s">
        <v>52</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x14ac:dyDescent="0.3">
      <c r="A2284" t="s">
        <v>2385</v>
      </c>
      <c r="B2284" t="s">
        <v>128</v>
      </c>
      <c r="C2284">
        <v>9</v>
      </c>
      <c r="D2284">
        <v>64.099999999999994</v>
      </c>
      <c r="E2284">
        <v>576.9</v>
      </c>
      <c r="F2284" s="1">
        <v>45741</v>
      </c>
      <c r="G2284" s="1">
        <v>45741</v>
      </c>
      <c r="H2284" t="s">
        <v>27</v>
      </c>
      <c r="I2284" t="s">
        <v>18</v>
      </c>
      <c r="J2284">
        <v>5</v>
      </c>
      <c r="K2284" t="s">
        <v>19</v>
      </c>
      <c r="L2284" t="s">
        <v>55</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x14ac:dyDescent="0.3">
      <c r="A2285" t="s">
        <v>2386</v>
      </c>
      <c r="B2285" t="s">
        <v>26</v>
      </c>
      <c r="C2285">
        <v>6</v>
      </c>
      <c r="D2285">
        <v>109.2</v>
      </c>
      <c r="E2285">
        <v>655.20000000000005</v>
      </c>
      <c r="F2285" s="1">
        <v>45741</v>
      </c>
      <c r="G2285" s="1">
        <v>45743</v>
      </c>
      <c r="H2285" t="s">
        <v>23</v>
      </c>
      <c r="I2285" t="s">
        <v>18</v>
      </c>
      <c r="J2285">
        <v>3</v>
      </c>
      <c r="K2285" t="s">
        <v>19</v>
      </c>
      <c r="L2285" t="s">
        <v>62</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x14ac:dyDescent="0.3">
      <c r="A2286" t="s">
        <v>2387</v>
      </c>
      <c r="B2286" t="s">
        <v>54</v>
      </c>
      <c r="C2286">
        <v>5</v>
      </c>
      <c r="D2286">
        <v>23.2</v>
      </c>
      <c r="E2286">
        <v>116</v>
      </c>
      <c r="F2286" s="1">
        <v>45742</v>
      </c>
      <c r="G2286" s="1">
        <v>45743</v>
      </c>
      <c r="H2286" t="s">
        <v>23</v>
      </c>
      <c r="I2286" t="s">
        <v>18</v>
      </c>
      <c r="J2286">
        <v>3</v>
      </c>
      <c r="K2286" t="s">
        <v>19</v>
      </c>
      <c r="L2286" t="s">
        <v>62</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x14ac:dyDescent="0.3">
      <c r="A2287" t="s">
        <v>2388</v>
      </c>
      <c r="B2287" t="s">
        <v>146</v>
      </c>
      <c r="C2287">
        <v>6</v>
      </c>
      <c r="D2287">
        <v>81.2</v>
      </c>
      <c r="E2287">
        <v>487.20000000000005</v>
      </c>
      <c r="F2287" s="1">
        <v>45742</v>
      </c>
      <c r="G2287" s="1">
        <v>45744</v>
      </c>
      <c r="H2287" t="s">
        <v>23</v>
      </c>
      <c r="I2287" t="s">
        <v>40</v>
      </c>
      <c r="J2287">
        <v>5</v>
      </c>
      <c r="K2287" t="s">
        <v>19</v>
      </c>
      <c r="L2287" t="s">
        <v>62</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x14ac:dyDescent="0.3">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x14ac:dyDescent="0.3">
      <c r="A2289" t="s">
        <v>2390</v>
      </c>
      <c r="B2289" t="s">
        <v>42</v>
      </c>
      <c r="C2289">
        <v>2</v>
      </c>
      <c r="D2289">
        <v>44.5</v>
      </c>
      <c r="E2289">
        <v>89</v>
      </c>
      <c r="F2289" s="1">
        <v>45742</v>
      </c>
      <c r="G2289" s="1">
        <v>45745</v>
      </c>
      <c r="H2289" t="s">
        <v>23</v>
      </c>
      <c r="I2289" t="s">
        <v>70</v>
      </c>
      <c r="J2289">
        <v>4</v>
      </c>
      <c r="K2289" t="s">
        <v>19</v>
      </c>
      <c r="L2289" t="s">
        <v>72</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x14ac:dyDescent="0.3">
      <c r="A2290" t="s">
        <v>2391</v>
      </c>
      <c r="B2290" t="s">
        <v>22</v>
      </c>
      <c r="C2290">
        <v>5</v>
      </c>
      <c r="D2290">
        <v>32</v>
      </c>
      <c r="E2290">
        <v>160</v>
      </c>
      <c r="F2290" s="1">
        <v>45742</v>
      </c>
      <c r="G2290" s="1">
        <v>45744</v>
      </c>
      <c r="H2290" t="s">
        <v>89</v>
      </c>
      <c r="I2290" t="s">
        <v>35</v>
      </c>
      <c r="J2290">
        <v>3</v>
      </c>
      <c r="K2290" t="s">
        <v>19</v>
      </c>
      <c r="L2290" t="s">
        <v>72</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x14ac:dyDescent="0.3">
      <c r="A2291" t="s">
        <v>2392</v>
      </c>
      <c r="B2291" t="s">
        <v>44</v>
      </c>
      <c r="C2291">
        <v>1</v>
      </c>
      <c r="D2291">
        <v>25.7</v>
      </c>
      <c r="E2291">
        <v>25.7</v>
      </c>
      <c r="F2291" s="1">
        <v>45742</v>
      </c>
      <c r="G2291" s="1">
        <v>45743</v>
      </c>
      <c r="H2291" t="s">
        <v>23</v>
      </c>
      <c r="I2291" t="s">
        <v>18</v>
      </c>
      <c r="J2291">
        <v>4</v>
      </c>
      <c r="K2291" t="s">
        <v>19</v>
      </c>
      <c r="L2291" t="s">
        <v>74</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x14ac:dyDescent="0.3">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x14ac:dyDescent="0.3">
      <c r="A2293" t="s">
        <v>2394</v>
      </c>
      <c r="B2293" t="s">
        <v>22</v>
      </c>
      <c r="C2293">
        <v>4</v>
      </c>
      <c r="D2293">
        <v>52.1</v>
      </c>
      <c r="E2293">
        <v>208.4</v>
      </c>
      <c r="F2293" s="1">
        <v>45742</v>
      </c>
      <c r="G2293" s="1">
        <v>45743</v>
      </c>
      <c r="H2293" t="s">
        <v>27</v>
      </c>
      <c r="I2293" t="s">
        <v>18</v>
      </c>
      <c r="J2293">
        <v>5</v>
      </c>
      <c r="K2293" t="s">
        <v>19</v>
      </c>
      <c r="L2293" t="s">
        <v>77</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x14ac:dyDescent="0.3">
      <c r="A2294" t="s">
        <v>2395</v>
      </c>
      <c r="B2294" t="s">
        <v>44</v>
      </c>
      <c r="C2294">
        <v>1</v>
      </c>
      <c r="D2294">
        <v>31</v>
      </c>
      <c r="E2294">
        <v>31</v>
      </c>
      <c r="F2294" s="1">
        <v>45742</v>
      </c>
      <c r="G2294" s="1">
        <v>45743</v>
      </c>
      <c r="H2294" t="s">
        <v>23</v>
      </c>
      <c r="I2294" t="s">
        <v>18</v>
      </c>
      <c r="J2294">
        <v>3</v>
      </c>
      <c r="K2294" t="s">
        <v>19</v>
      </c>
      <c r="L2294" t="s">
        <v>110</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x14ac:dyDescent="0.3">
      <c r="A2295" t="s">
        <v>2396</v>
      </c>
      <c r="B2295" t="s">
        <v>44</v>
      </c>
      <c r="C2295">
        <v>1</v>
      </c>
      <c r="D2295">
        <v>32</v>
      </c>
      <c r="E2295">
        <v>32</v>
      </c>
      <c r="F2295" s="1">
        <v>45742</v>
      </c>
      <c r="G2295" s="1">
        <v>45744</v>
      </c>
      <c r="H2295" t="s">
        <v>89</v>
      </c>
      <c r="I2295" t="s">
        <v>51</v>
      </c>
      <c r="J2295">
        <v>3</v>
      </c>
      <c r="K2295" t="s">
        <v>19</v>
      </c>
      <c r="L2295" t="s">
        <v>292</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x14ac:dyDescent="0.3">
      <c r="A2296" t="s">
        <v>2397</v>
      </c>
      <c r="B2296" t="s">
        <v>128</v>
      </c>
      <c r="C2296">
        <v>4</v>
      </c>
      <c r="D2296">
        <v>58.3</v>
      </c>
      <c r="E2296">
        <v>233.2</v>
      </c>
      <c r="F2296" s="1">
        <v>45742</v>
      </c>
      <c r="G2296" s="1">
        <v>45746</v>
      </c>
      <c r="H2296" t="s">
        <v>23</v>
      </c>
      <c r="I2296" t="s">
        <v>35</v>
      </c>
      <c r="J2296">
        <v>2</v>
      </c>
      <c r="K2296" t="s">
        <v>19</v>
      </c>
      <c r="L2296" t="s">
        <v>113</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x14ac:dyDescent="0.3">
      <c r="A2297" t="s">
        <v>2398</v>
      </c>
      <c r="B2297" t="s">
        <v>44</v>
      </c>
      <c r="C2297">
        <v>3</v>
      </c>
      <c r="D2297">
        <v>31</v>
      </c>
      <c r="E2297">
        <v>93</v>
      </c>
      <c r="F2297" s="1">
        <v>45742</v>
      </c>
      <c r="G2297" s="1">
        <v>45744</v>
      </c>
      <c r="H2297" t="s">
        <v>27</v>
      </c>
      <c r="I2297" t="s">
        <v>40</v>
      </c>
      <c r="J2297">
        <v>2</v>
      </c>
      <c r="K2297" t="s">
        <v>19</v>
      </c>
      <c r="L2297" t="s">
        <v>82</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x14ac:dyDescent="0.3">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x14ac:dyDescent="0.3">
      <c r="A2299" t="s">
        <v>2400</v>
      </c>
      <c r="B2299" t="s">
        <v>39</v>
      </c>
      <c r="C2299">
        <v>3</v>
      </c>
      <c r="D2299">
        <v>47.3</v>
      </c>
      <c r="E2299">
        <v>141.89999999999998</v>
      </c>
      <c r="F2299" s="1">
        <v>45742</v>
      </c>
      <c r="G2299" s="1">
        <v>45744</v>
      </c>
      <c r="H2299" t="s">
        <v>23</v>
      </c>
      <c r="I2299" t="s">
        <v>70</v>
      </c>
      <c r="J2299">
        <v>5</v>
      </c>
      <c r="K2299" t="s">
        <v>19</v>
      </c>
      <c r="L2299" t="s">
        <v>28</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x14ac:dyDescent="0.3">
      <c r="A2300" t="s">
        <v>2401</v>
      </c>
      <c r="B2300" t="s">
        <v>26</v>
      </c>
      <c r="C2300">
        <v>1</v>
      </c>
      <c r="D2300">
        <v>82.8</v>
      </c>
      <c r="E2300">
        <v>82.8</v>
      </c>
      <c r="F2300" s="1">
        <v>45742</v>
      </c>
      <c r="G2300" s="1">
        <v>45743</v>
      </c>
      <c r="H2300" t="s">
        <v>23</v>
      </c>
      <c r="I2300" t="s">
        <v>18</v>
      </c>
      <c r="J2300">
        <v>4</v>
      </c>
      <c r="K2300" t="s">
        <v>19</v>
      </c>
      <c r="L2300" t="s">
        <v>28</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x14ac:dyDescent="0.3">
      <c r="A2301" t="s">
        <v>2402</v>
      </c>
      <c r="B2301" t="s">
        <v>44</v>
      </c>
      <c r="C2301">
        <v>1</v>
      </c>
      <c r="D2301">
        <v>18.5</v>
      </c>
      <c r="E2301">
        <v>18.5</v>
      </c>
      <c r="F2301" s="1">
        <v>45742</v>
      </c>
      <c r="G2301" s="1">
        <v>45756</v>
      </c>
      <c r="H2301" t="s">
        <v>27</v>
      </c>
      <c r="I2301" t="s">
        <v>18</v>
      </c>
      <c r="J2301">
        <v>4</v>
      </c>
      <c r="K2301" t="s">
        <v>19</v>
      </c>
      <c r="L2301" t="s">
        <v>587</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x14ac:dyDescent="0.3">
      <c r="A2302" t="s">
        <v>2403</v>
      </c>
      <c r="B2302" t="s">
        <v>30</v>
      </c>
      <c r="C2302">
        <v>2</v>
      </c>
      <c r="D2302">
        <v>60.4</v>
      </c>
      <c r="E2302">
        <v>120.8</v>
      </c>
      <c r="F2302" s="1">
        <v>45742</v>
      </c>
      <c r="G2302" s="1">
        <v>45743</v>
      </c>
      <c r="H2302" t="s">
        <v>23</v>
      </c>
      <c r="I2302" t="s">
        <v>40</v>
      </c>
      <c r="J2302">
        <v>4</v>
      </c>
      <c r="K2302" t="s">
        <v>19</v>
      </c>
      <c r="L2302" t="s">
        <v>147</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x14ac:dyDescent="0.3">
      <c r="A2303" t="s">
        <v>2404</v>
      </c>
      <c r="B2303" t="s">
        <v>39</v>
      </c>
      <c r="C2303">
        <v>5</v>
      </c>
      <c r="D2303">
        <v>80.2</v>
      </c>
      <c r="E2303">
        <v>401</v>
      </c>
      <c r="F2303" s="1">
        <v>45742</v>
      </c>
      <c r="G2303" s="1">
        <v>45749</v>
      </c>
      <c r="H2303" t="s">
        <v>23</v>
      </c>
      <c r="I2303" t="s">
        <v>35</v>
      </c>
      <c r="J2303">
        <v>3</v>
      </c>
      <c r="K2303" t="s">
        <v>19</v>
      </c>
      <c r="L2303" t="s">
        <v>949</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x14ac:dyDescent="0.3">
      <c r="A2304" t="s">
        <v>2405</v>
      </c>
      <c r="B2304" t="s">
        <v>32</v>
      </c>
      <c r="C2304">
        <v>1</v>
      </c>
      <c r="D2304">
        <v>41.5</v>
      </c>
      <c r="E2304">
        <v>41.5</v>
      </c>
      <c r="F2304" s="1">
        <v>45742</v>
      </c>
      <c r="G2304" s="1">
        <v>45744</v>
      </c>
      <c r="H2304" t="s">
        <v>23</v>
      </c>
      <c r="I2304" t="s">
        <v>40</v>
      </c>
      <c r="J2304">
        <v>4</v>
      </c>
      <c r="K2304" t="s">
        <v>19</v>
      </c>
      <c r="L2304" t="s">
        <v>33</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x14ac:dyDescent="0.3">
      <c r="A2305" t="s">
        <v>2406</v>
      </c>
      <c r="B2305" t="s">
        <v>26</v>
      </c>
      <c r="C2305">
        <v>2</v>
      </c>
      <c r="D2305">
        <v>83.9</v>
      </c>
      <c r="E2305">
        <v>167.8</v>
      </c>
      <c r="F2305" s="1">
        <v>45742</v>
      </c>
      <c r="G2305" s="1">
        <v>45745</v>
      </c>
      <c r="H2305" t="s">
        <v>27</v>
      </c>
      <c r="I2305" t="s">
        <v>18</v>
      </c>
      <c r="J2305">
        <v>4</v>
      </c>
      <c r="K2305" t="s">
        <v>19</v>
      </c>
      <c r="L2305" t="s">
        <v>33</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x14ac:dyDescent="0.3">
      <c r="A2306" t="s">
        <v>2407</v>
      </c>
      <c r="B2306" t="s">
        <v>44</v>
      </c>
      <c r="C2306">
        <v>2</v>
      </c>
      <c r="D2306">
        <v>16.7</v>
      </c>
      <c r="E2306">
        <v>33.4</v>
      </c>
      <c r="F2306" s="1">
        <v>45742</v>
      </c>
      <c r="G2306" s="1">
        <v>45746</v>
      </c>
      <c r="H2306" t="s">
        <v>27</v>
      </c>
      <c r="I2306" t="s">
        <v>18</v>
      </c>
      <c r="J2306">
        <v>3</v>
      </c>
      <c r="K2306" t="s">
        <v>19</v>
      </c>
      <c r="L2306" t="s">
        <v>33</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x14ac:dyDescent="0.3">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x14ac:dyDescent="0.3">
      <c r="A2308" t="s">
        <v>2409</v>
      </c>
      <c r="B2308" t="s">
        <v>37</v>
      </c>
      <c r="C2308">
        <v>2</v>
      </c>
      <c r="D2308">
        <v>50.2</v>
      </c>
      <c r="E2308">
        <v>100.4</v>
      </c>
      <c r="F2308" s="1">
        <v>45742</v>
      </c>
      <c r="G2308" s="1">
        <v>45744</v>
      </c>
      <c r="H2308" t="s">
        <v>27</v>
      </c>
      <c r="I2308" t="s">
        <v>35</v>
      </c>
      <c r="J2308">
        <v>5</v>
      </c>
      <c r="K2308" t="s">
        <v>19</v>
      </c>
      <c r="L2308" t="s">
        <v>33</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x14ac:dyDescent="0.3">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x14ac:dyDescent="0.3">
      <c r="A2310" t="s">
        <v>2411</v>
      </c>
      <c r="B2310" t="s">
        <v>37</v>
      </c>
      <c r="C2310">
        <v>2</v>
      </c>
      <c r="D2310">
        <v>107.9</v>
      </c>
      <c r="E2310">
        <v>215.8</v>
      </c>
      <c r="F2310" s="1">
        <v>45742</v>
      </c>
      <c r="G2310" s="1">
        <v>45742</v>
      </c>
      <c r="H2310" t="s">
        <v>23</v>
      </c>
      <c r="I2310" t="s">
        <v>35</v>
      </c>
      <c r="J2310">
        <v>2</v>
      </c>
      <c r="K2310" t="s">
        <v>19</v>
      </c>
      <c r="L2310" t="s">
        <v>33</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x14ac:dyDescent="0.3">
      <c r="A2311" t="s">
        <v>2412</v>
      </c>
      <c r="B2311" t="s">
        <v>16</v>
      </c>
      <c r="C2311">
        <v>3</v>
      </c>
      <c r="D2311">
        <v>17.5</v>
      </c>
      <c r="E2311">
        <v>52.5</v>
      </c>
      <c r="F2311" s="1">
        <v>45742</v>
      </c>
      <c r="G2311" s="1">
        <v>45744</v>
      </c>
      <c r="H2311" t="s">
        <v>23</v>
      </c>
      <c r="I2311" t="s">
        <v>70</v>
      </c>
      <c r="J2311">
        <v>4</v>
      </c>
      <c r="K2311" t="s">
        <v>19</v>
      </c>
      <c r="L2311" t="s">
        <v>33</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x14ac:dyDescent="0.3">
      <c r="A2312" t="s">
        <v>2413</v>
      </c>
      <c r="B2312" t="s">
        <v>76</v>
      </c>
      <c r="C2312">
        <v>15</v>
      </c>
      <c r="D2312">
        <v>44.7</v>
      </c>
      <c r="E2312">
        <v>670.5</v>
      </c>
      <c r="F2312" s="1">
        <v>45742</v>
      </c>
      <c r="G2312" s="1">
        <v>45743</v>
      </c>
      <c r="H2312" t="s">
        <v>23</v>
      </c>
      <c r="I2312" t="s">
        <v>18</v>
      </c>
      <c r="J2312">
        <v>3</v>
      </c>
      <c r="K2312" t="s">
        <v>19</v>
      </c>
      <c r="L2312" t="s">
        <v>33</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x14ac:dyDescent="0.3">
      <c r="A2313" t="s">
        <v>2414</v>
      </c>
      <c r="B2313" t="s">
        <v>69</v>
      </c>
      <c r="C2313">
        <v>6</v>
      </c>
      <c r="D2313">
        <v>92.7</v>
      </c>
      <c r="E2313">
        <v>556.20000000000005</v>
      </c>
      <c r="F2313" s="1">
        <v>45742</v>
      </c>
      <c r="G2313" s="1">
        <v>45744</v>
      </c>
      <c r="H2313" t="s">
        <v>27</v>
      </c>
      <c r="I2313" t="s">
        <v>40</v>
      </c>
      <c r="J2313">
        <v>3</v>
      </c>
      <c r="K2313" t="s">
        <v>19</v>
      </c>
      <c r="L2313" t="s">
        <v>33</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x14ac:dyDescent="0.3">
      <c r="A2314" t="s">
        <v>2415</v>
      </c>
      <c r="B2314" t="s">
        <v>42</v>
      </c>
      <c r="C2314">
        <v>3</v>
      </c>
      <c r="D2314">
        <v>48.8</v>
      </c>
      <c r="E2314">
        <v>146.39999999999998</v>
      </c>
      <c r="F2314" s="1">
        <v>45742</v>
      </c>
      <c r="G2314" s="1">
        <v>45744</v>
      </c>
      <c r="H2314" t="s">
        <v>27</v>
      </c>
      <c r="I2314" t="s">
        <v>40</v>
      </c>
      <c r="J2314">
        <v>4</v>
      </c>
      <c r="K2314" t="s">
        <v>19</v>
      </c>
      <c r="L2314" t="s">
        <v>33</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x14ac:dyDescent="0.3">
      <c r="A2315" t="s">
        <v>2416</v>
      </c>
      <c r="B2315" t="s">
        <v>32</v>
      </c>
      <c r="C2315">
        <v>16</v>
      </c>
      <c r="D2315">
        <v>21.3</v>
      </c>
      <c r="E2315">
        <v>340.8</v>
      </c>
      <c r="F2315" s="1">
        <v>45742</v>
      </c>
      <c r="G2315" s="1">
        <v>45746</v>
      </c>
      <c r="H2315" t="s">
        <v>27</v>
      </c>
      <c r="I2315" t="s">
        <v>51</v>
      </c>
      <c r="J2315">
        <v>1</v>
      </c>
      <c r="K2315" t="s">
        <v>19</v>
      </c>
      <c r="L2315" t="s">
        <v>33</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x14ac:dyDescent="0.3">
      <c r="A2316" t="s">
        <v>2417</v>
      </c>
      <c r="B2316" t="s">
        <v>128</v>
      </c>
      <c r="C2316">
        <v>1</v>
      </c>
      <c r="D2316">
        <v>52.5</v>
      </c>
      <c r="E2316">
        <v>52.5</v>
      </c>
      <c r="F2316" s="1">
        <v>45742</v>
      </c>
      <c r="G2316" s="1">
        <v>45743</v>
      </c>
      <c r="H2316" t="s">
        <v>27</v>
      </c>
      <c r="I2316" t="s">
        <v>18</v>
      </c>
      <c r="J2316">
        <v>4</v>
      </c>
      <c r="K2316" t="s">
        <v>19</v>
      </c>
      <c r="L2316" t="s">
        <v>33</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x14ac:dyDescent="0.3">
      <c r="A2317" t="s">
        <v>2418</v>
      </c>
      <c r="B2317" t="s">
        <v>22</v>
      </c>
      <c r="C2317">
        <v>2</v>
      </c>
      <c r="D2317">
        <v>92.4</v>
      </c>
      <c r="E2317">
        <v>184.8</v>
      </c>
      <c r="F2317" s="1">
        <v>45742</v>
      </c>
      <c r="G2317" s="1">
        <v>45748</v>
      </c>
      <c r="H2317" t="s">
        <v>27</v>
      </c>
      <c r="I2317" t="s">
        <v>18</v>
      </c>
      <c r="J2317">
        <v>5</v>
      </c>
      <c r="K2317" t="s">
        <v>19</v>
      </c>
      <c r="L2317" t="s">
        <v>33</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x14ac:dyDescent="0.3">
      <c r="A2318" t="s">
        <v>2419</v>
      </c>
      <c r="B2318" t="s">
        <v>32</v>
      </c>
      <c r="C2318">
        <v>11</v>
      </c>
      <c r="D2318">
        <v>58.3</v>
      </c>
      <c r="E2318">
        <v>641.29999999999995</v>
      </c>
      <c r="F2318" s="1">
        <v>45742</v>
      </c>
      <c r="G2318" s="1">
        <v>45744</v>
      </c>
      <c r="H2318" t="s">
        <v>23</v>
      </c>
      <c r="I2318" t="s">
        <v>35</v>
      </c>
      <c r="J2318">
        <v>5</v>
      </c>
      <c r="K2318" t="s">
        <v>19</v>
      </c>
      <c r="L2318" t="s">
        <v>33</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x14ac:dyDescent="0.3">
      <c r="A2319" t="s">
        <v>2420</v>
      </c>
      <c r="B2319" t="s">
        <v>39</v>
      </c>
      <c r="C2319">
        <v>23</v>
      </c>
      <c r="D2319">
        <v>152.6</v>
      </c>
      <c r="E2319">
        <v>3509.7999999999997</v>
      </c>
      <c r="F2319" s="1">
        <v>45743</v>
      </c>
      <c r="G2319" s="1">
        <v>45745</v>
      </c>
      <c r="H2319" t="s">
        <v>17</v>
      </c>
      <c r="I2319" t="s">
        <v>18</v>
      </c>
      <c r="J2319">
        <v>4</v>
      </c>
      <c r="K2319" t="s">
        <v>19</v>
      </c>
      <c r="L2319" t="s">
        <v>33</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x14ac:dyDescent="0.3">
      <c r="A2320" t="s">
        <v>2421</v>
      </c>
      <c r="B2320" t="s">
        <v>44</v>
      </c>
      <c r="C2320">
        <v>2</v>
      </c>
      <c r="D2320">
        <v>26</v>
      </c>
      <c r="E2320">
        <v>52</v>
      </c>
      <c r="F2320" s="1">
        <v>45743</v>
      </c>
      <c r="G2320" s="1">
        <v>45743</v>
      </c>
      <c r="H2320" t="s">
        <v>17</v>
      </c>
      <c r="I2320" t="s">
        <v>18</v>
      </c>
      <c r="J2320">
        <v>3</v>
      </c>
      <c r="K2320" t="s">
        <v>19</v>
      </c>
      <c r="L2320" t="s">
        <v>33</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x14ac:dyDescent="0.3">
      <c r="A2321" t="s">
        <v>2422</v>
      </c>
      <c r="B2321" t="s">
        <v>22</v>
      </c>
      <c r="C2321">
        <v>4</v>
      </c>
      <c r="D2321">
        <v>33.1</v>
      </c>
      <c r="E2321">
        <v>132.4</v>
      </c>
      <c r="F2321" s="1">
        <v>45743</v>
      </c>
      <c r="G2321" s="1">
        <v>45743</v>
      </c>
      <c r="H2321" t="s">
        <v>23</v>
      </c>
      <c r="I2321" t="s">
        <v>40</v>
      </c>
      <c r="J2321">
        <v>2</v>
      </c>
      <c r="K2321" t="s">
        <v>19</v>
      </c>
      <c r="L2321" t="s">
        <v>52</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x14ac:dyDescent="0.3">
      <c r="A2322" t="s">
        <v>2423</v>
      </c>
      <c r="B2322" t="s">
        <v>146</v>
      </c>
      <c r="C2322">
        <v>1</v>
      </c>
      <c r="D2322">
        <v>51.4</v>
      </c>
      <c r="E2322">
        <v>51.4</v>
      </c>
      <c r="F2322" s="1">
        <v>45743</v>
      </c>
      <c r="G2322" s="1">
        <v>45745</v>
      </c>
      <c r="H2322" t="s">
        <v>27</v>
      </c>
      <c r="I2322" t="s">
        <v>35</v>
      </c>
      <c r="J2322">
        <v>3</v>
      </c>
      <c r="K2322" t="s">
        <v>19</v>
      </c>
      <c r="L2322" t="s">
        <v>52</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x14ac:dyDescent="0.3">
      <c r="A2323" t="s">
        <v>2424</v>
      </c>
      <c r="B2323" t="s">
        <v>44</v>
      </c>
      <c r="C2323">
        <v>2</v>
      </c>
      <c r="D2323">
        <v>30.2</v>
      </c>
      <c r="E2323">
        <v>60.4</v>
      </c>
      <c r="F2323" s="1">
        <v>45743</v>
      </c>
      <c r="G2323" s="1">
        <v>45744</v>
      </c>
      <c r="H2323" t="s">
        <v>27</v>
      </c>
      <c r="I2323" t="s">
        <v>40</v>
      </c>
      <c r="J2323">
        <v>5</v>
      </c>
      <c r="K2323" t="s">
        <v>19</v>
      </c>
      <c r="L2323" t="s">
        <v>55</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x14ac:dyDescent="0.3">
      <c r="A2324" t="s">
        <v>2425</v>
      </c>
      <c r="B2324" t="s">
        <v>26</v>
      </c>
      <c r="C2324">
        <v>6</v>
      </c>
      <c r="D2324">
        <v>97</v>
      </c>
      <c r="E2324">
        <v>582</v>
      </c>
      <c r="F2324" s="1">
        <v>45743</v>
      </c>
      <c r="G2324" s="1">
        <v>45747</v>
      </c>
      <c r="H2324" t="s">
        <v>27</v>
      </c>
      <c r="I2324" t="s">
        <v>18</v>
      </c>
      <c r="J2324">
        <v>5</v>
      </c>
      <c r="K2324" t="s">
        <v>19</v>
      </c>
      <c r="L2324" t="s">
        <v>59</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x14ac:dyDescent="0.3">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x14ac:dyDescent="0.3">
      <c r="A2326" t="s">
        <v>2427</v>
      </c>
      <c r="B2326" t="s">
        <v>42</v>
      </c>
      <c r="C2326">
        <v>6</v>
      </c>
      <c r="D2326">
        <v>36.1</v>
      </c>
      <c r="E2326">
        <v>216.60000000000002</v>
      </c>
      <c r="F2326" s="1">
        <v>45743</v>
      </c>
      <c r="G2326" s="1">
        <v>45747</v>
      </c>
      <c r="H2326" t="s">
        <v>27</v>
      </c>
      <c r="I2326" t="s">
        <v>18</v>
      </c>
      <c r="J2326">
        <v>4</v>
      </c>
      <c r="K2326" t="s">
        <v>19</v>
      </c>
      <c r="L2326" t="s">
        <v>62</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x14ac:dyDescent="0.3">
      <c r="A2327" t="s">
        <v>2428</v>
      </c>
      <c r="B2327" t="s">
        <v>22</v>
      </c>
      <c r="C2327">
        <v>7</v>
      </c>
      <c r="D2327">
        <v>34.4</v>
      </c>
      <c r="E2327">
        <v>240.79999999999998</v>
      </c>
      <c r="F2327" s="1">
        <v>45743</v>
      </c>
      <c r="G2327" s="1">
        <v>45743</v>
      </c>
      <c r="H2327" t="s">
        <v>27</v>
      </c>
      <c r="I2327" t="s">
        <v>40</v>
      </c>
      <c r="J2327">
        <v>3</v>
      </c>
      <c r="K2327" t="s">
        <v>19</v>
      </c>
      <c r="L2327" t="s">
        <v>77</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x14ac:dyDescent="0.3">
      <c r="A2328" t="s">
        <v>2429</v>
      </c>
      <c r="B2328" t="s">
        <v>22</v>
      </c>
      <c r="C2328">
        <v>28</v>
      </c>
      <c r="D2328">
        <v>53.4</v>
      </c>
      <c r="E2328">
        <v>1495.2</v>
      </c>
      <c r="F2328" s="1">
        <v>45743</v>
      </c>
      <c r="G2328" s="1">
        <v>45745</v>
      </c>
      <c r="H2328" t="s">
        <v>27</v>
      </c>
      <c r="I2328" t="s">
        <v>35</v>
      </c>
      <c r="J2328">
        <v>4</v>
      </c>
      <c r="K2328" t="s">
        <v>19</v>
      </c>
      <c r="L2328" t="s">
        <v>108</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x14ac:dyDescent="0.3">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x14ac:dyDescent="0.3">
      <c r="A2330" t="s">
        <v>2431</v>
      </c>
      <c r="B2330" t="s">
        <v>22</v>
      </c>
      <c r="C2330">
        <v>3</v>
      </c>
      <c r="D2330">
        <v>71.7</v>
      </c>
      <c r="E2330">
        <v>215.10000000000002</v>
      </c>
      <c r="F2330" s="1">
        <v>45743</v>
      </c>
      <c r="G2330" s="1">
        <v>45746</v>
      </c>
      <c r="H2330" t="s">
        <v>27</v>
      </c>
      <c r="I2330" t="s">
        <v>35</v>
      </c>
      <c r="J2330">
        <v>4</v>
      </c>
      <c r="K2330" t="s">
        <v>19</v>
      </c>
      <c r="L2330" t="s">
        <v>110</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x14ac:dyDescent="0.3">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x14ac:dyDescent="0.3">
      <c r="A2332" t="s">
        <v>2433</v>
      </c>
      <c r="B2332" t="s">
        <v>22</v>
      </c>
      <c r="C2332">
        <v>15</v>
      </c>
      <c r="D2332">
        <v>70</v>
      </c>
      <c r="E2332">
        <v>1050</v>
      </c>
      <c r="F2332" s="1">
        <v>45743</v>
      </c>
      <c r="G2332" s="1">
        <v>45745</v>
      </c>
      <c r="H2332" t="s">
        <v>23</v>
      </c>
      <c r="I2332" t="s">
        <v>18</v>
      </c>
      <c r="J2332">
        <v>4</v>
      </c>
      <c r="K2332" t="s">
        <v>19</v>
      </c>
      <c r="L2332" t="s">
        <v>113</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x14ac:dyDescent="0.3">
      <c r="A2333" t="s">
        <v>2434</v>
      </c>
      <c r="B2333" t="s">
        <v>32</v>
      </c>
      <c r="C2333">
        <v>6</v>
      </c>
      <c r="D2333">
        <v>27.3</v>
      </c>
      <c r="E2333">
        <v>163.80000000000001</v>
      </c>
      <c r="F2333" s="1">
        <v>45743</v>
      </c>
      <c r="G2333" s="1">
        <v>45745</v>
      </c>
      <c r="H2333" t="s">
        <v>27</v>
      </c>
      <c r="I2333" t="s">
        <v>35</v>
      </c>
      <c r="J2333">
        <v>3</v>
      </c>
      <c r="K2333" t="s">
        <v>19</v>
      </c>
      <c r="L2333" t="s">
        <v>28</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x14ac:dyDescent="0.3">
      <c r="A2334" t="s">
        <v>2435</v>
      </c>
      <c r="B2334" t="s">
        <v>44</v>
      </c>
      <c r="C2334">
        <v>14</v>
      </c>
      <c r="D2334">
        <v>37.6</v>
      </c>
      <c r="E2334">
        <v>526.4</v>
      </c>
      <c r="F2334" s="1">
        <v>45743</v>
      </c>
      <c r="G2334" s="1">
        <v>45745</v>
      </c>
      <c r="H2334" t="s">
        <v>23</v>
      </c>
      <c r="I2334" t="s">
        <v>35</v>
      </c>
      <c r="J2334">
        <v>4</v>
      </c>
      <c r="K2334" t="s">
        <v>19</v>
      </c>
      <c r="L2334" t="s">
        <v>33</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x14ac:dyDescent="0.3">
      <c r="A2335" t="s">
        <v>2436</v>
      </c>
      <c r="B2335" t="s">
        <v>37</v>
      </c>
      <c r="C2335">
        <v>3</v>
      </c>
      <c r="D2335">
        <v>36.6</v>
      </c>
      <c r="E2335">
        <v>109.80000000000001</v>
      </c>
      <c r="F2335" s="1">
        <v>45743</v>
      </c>
      <c r="G2335" s="1">
        <v>45745</v>
      </c>
      <c r="H2335" t="s">
        <v>27</v>
      </c>
      <c r="I2335" t="s">
        <v>70</v>
      </c>
      <c r="J2335">
        <v>4</v>
      </c>
      <c r="K2335" t="s">
        <v>19</v>
      </c>
      <c r="L2335" t="s">
        <v>33</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x14ac:dyDescent="0.3">
      <c r="A2336" t="s">
        <v>2437</v>
      </c>
      <c r="B2336" t="s">
        <v>76</v>
      </c>
      <c r="C2336">
        <v>1</v>
      </c>
      <c r="D2336">
        <v>55.2</v>
      </c>
      <c r="E2336">
        <v>55.2</v>
      </c>
      <c r="F2336" s="1">
        <v>45743</v>
      </c>
      <c r="G2336" s="1">
        <v>45745</v>
      </c>
      <c r="H2336" t="s">
        <v>23</v>
      </c>
      <c r="I2336" t="s">
        <v>51</v>
      </c>
      <c r="J2336">
        <v>4</v>
      </c>
      <c r="K2336" t="s">
        <v>19</v>
      </c>
      <c r="L2336" t="s">
        <v>33</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x14ac:dyDescent="0.3">
      <c r="A2337" t="s">
        <v>2438</v>
      </c>
      <c r="B2337" t="s">
        <v>39</v>
      </c>
      <c r="C2337">
        <v>5</v>
      </c>
      <c r="D2337">
        <v>59.9</v>
      </c>
      <c r="E2337">
        <v>299.5</v>
      </c>
      <c r="F2337" s="1">
        <v>45743</v>
      </c>
      <c r="G2337" s="1">
        <v>45745</v>
      </c>
      <c r="H2337" t="s">
        <v>23</v>
      </c>
      <c r="I2337" t="s">
        <v>18</v>
      </c>
      <c r="J2337">
        <v>4</v>
      </c>
      <c r="K2337" t="s">
        <v>19</v>
      </c>
      <c r="L2337" t="s">
        <v>33</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x14ac:dyDescent="0.3">
      <c r="A2338" t="s">
        <v>2439</v>
      </c>
      <c r="B2338" t="s">
        <v>39</v>
      </c>
      <c r="C2338">
        <v>1</v>
      </c>
      <c r="D2338">
        <v>44</v>
      </c>
      <c r="E2338">
        <v>44</v>
      </c>
      <c r="F2338" s="1">
        <v>45743</v>
      </c>
      <c r="G2338" s="1">
        <v>45744</v>
      </c>
      <c r="H2338" t="s">
        <v>27</v>
      </c>
      <c r="I2338" t="s">
        <v>40</v>
      </c>
      <c r="J2338">
        <v>5</v>
      </c>
      <c r="K2338" t="s">
        <v>19</v>
      </c>
      <c r="L2338" t="s">
        <v>33</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x14ac:dyDescent="0.3">
      <c r="A2339" t="s">
        <v>2440</v>
      </c>
      <c r="B2339" t="s">
        <v>46</v>
      </c>
      <c r="C2339">
        <v>2</v>
      </c>
      <c r="D2339">
        <v>68.7</v>
      </c>
      <c r="E2339">
        <v>137.4</v>
      </c>
      <c r="F2339" s="1">
        <v>45743</v>
      </c>
      <c r="G2339" s="1">
        <v>45743</v>
      </c>
      <c r="H2339" t="s">
        <v>23</v>
      </c>
      <c r="I2339" t="s">
        <v>18</v>
      </c>
      <c r="J2339">
        <v>4</v>
      </c>
      <c r="K2339" t="s">
        <v>19</v>
      </c>
      <c r="L2339" t="s">
        <v>33</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x14ac:dyDescent="0.3">
      <c r="A2340" t="s">
        <v>2441</v>
      </c>
      <c r="B2340" t="s">
        <v>37</v>
      </c>
      <c r="C2340">
        <v>2</v>
      </c>
      <c r="D2340">
        <v>61.6</v>
      </c>
      <c r="E2340">
        <v>123.2</v>
      </c>
      <c r="F2340" s="1">
        <v>45743</v>
      </c>
      <c r="G2340" s="1">
        <v>45747</v>
      </c>
      <c r="H2340" t="s">
        <v>23</v>
      </c>
      <c r="I2340" t="s">
        <v>51</v>
      </c>
      <c r="J2340">
        <v>3</v>
      </c>
      <c r="K2340" t="s">
        <v>19</v>
      </c>
      <c r="L2340" t="s">
        <v>33</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x14ac:dyDescent="0.3">
      <c r="A2341" t="s">
        <v>2442</v>
      </c>
      <c r="B2341" t="s">
        <v>42</v>
      </c>
      <c r="C2341">
        <v>7</v>
      </c>
      <c r="D2341">
        <v>51.8</v>
      </c>
      <c r="E2341">
        <v>362.59999999999997</v>
      </c>
      <c r="F2341" s="1">
        <v>45743</v>
      </c>
      <c r="G2341" s="1">
        <v>45744</v>
      </c>
      <c r="H2341" t="s">
        <v>23</v>
      </c>
      <c r="I2341" t="s">
        <v>18</v>
      </c>
      <c r="J2341">
        <v>4</v>
      </c>
      <c r="K2341" t="s">
        <v>19</v>
      </c>
      <c r="L2341" t="s">
        <v>33</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x14ac:dyDescent="0.3">
      <c r="A2342" t="s">
        <v>2443</v>
      </c>
      <c r="B2342" t="s">
        <v>44</v>
      </c>
      <c r="C2342">
        <v>10</v>
      </c>
      <c r="D2342">
        <v>46.2</v>
      </c>
      <c r="E2342">
        <v>462</v>
      </c>
      <c r="F2342" s="1">
        <v>45743</v>
      </c>
      <c r="G2342" s="1">
        <v>45745</v>
      </c>
      <c r="H2342" t="s">
        <v>23</v>
      </c>
      <c r="I2342" t="s">
        <v>35</v>
      </c>
      <c r="J2342">
        <v>5</v>
      </c>
      <c r="K2342" t="s">
        <v>19</v>
      </c>
      <c r="L2342" t="s">
        <v>33</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x14ac:dyDescent="0.3">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x14ac:dyDescent="0.3">
      <c r="A2344" t="s">
        <v>2445</v>
      </c>
      <c r="B2344" t="s">
        <v>67</v>
      </c>
      <c r="C2344">
        <v>3</v>
      </c>
      <c r="D2344">
        <v>52.1</v>
      </c>
      <c r="E2344">
        <v>156.30000000000001</v>
      </c>
      <c r="F2344" s="1">
        <v>45743</v>
      </c>
      <c r="G2344" s="1">
        <v>45746</v>
      </c>
      <c r="H2344" t="s">
        <v>23</v>
      </c>
      <c r="I2344" t="s">
        <v>51</v>
      </c>
      <c r="J2344">
        <v>1</v>
      </c>
      <c r="K2344" t="s">
        <v>19</v>
      </c>
      <c r="L2344" t="s">
        <v>55</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x14ac:dyDescent="0.3">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x14ac:dyDescent="0.3">
      <c r="A2346" t="s">
        <v>2447</v>
      </c>
      <c r="B2346" t="s">
        <v>46</v>
      </c>
      <c r="C2346">
        <v>7</v>
      </c>
      <c r="D2346">
        <v>49.6</v>
      </c>
      <c r="E2346">
        <v>347.2</v>
      </c>
      <c r="F2346" s="1">
        <v>45743</v>
      </c>
      <c r="G2346" s="1">
        <v>45746</v>
      </c>
      <c r="H2346" t="s">
        <v>27</v>
      </c>
      <c r="I2346" t="s">
        <v>70</v>
      </c>
      <c r="J2346">
        <v>4</v>
      </c>
      <c r="K2346" t="s">
        <v>19</v>
      </c>
      <c r="L2346" t="s">
        <v>62</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x14ac:dyDescent="0.3">
      <c r="A2347" t="s">
        <v>2448</v>
      </c>
      <c r="B2347" t="s">
        <v>128</v>
      </c>
      <c r="C2347">
        <v>4</v>
      </c>
      <c r="D2347">
        <v>82.8</v>
      </c>
      <c r="E2347">
        <v>331.2</v>
      </c>
      <c r="F2347" s="1">
        <v>45744</v>
      </c>
      <c r="G2347" s="1">
        <v>45747</v>
      </c>
      <c r="H2347" t="s">
        <v>27</v>
      </c>
      <c r="I2347" t="s">
        <v>70</v>
      </c>
      <c r="J2347">
        <v>4</v>
      </c>
      <c r="K2347" t="s">
        <v>19</v>
      </c>
      <c r="L2347" t="s">
        <v>62</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x14ac:dyDescent="0.3">
      <c r="A2348" t="s">
        <v>2449</v>
      </c>
      <c r="B2348" t="s">
        <v>26</v>
      </c>
      <c r="C2348">
        <v>1</v>
      </c>
      <c r="D2348">
        <v>97.7</v>
      </c>
      <c r="E2348">
        <v>97.7</v>
      </c>
      <c r="F2348" s="1">
        <v>45744</v>
      </c>
      <c r="G2348" s="1">
        <v>45745</v>
      </c>
      <c r="H2348" t="s">
        <v>27</v>
      </c>
      <c r="I2348" t="s">
        <v>35</v>
      </c>
      <c r="J2348">
        <v>4</v>
      </c>
      <c r="K2348" t="s">
        <v>19</v>
      </c>
      <c r="L2348" t="s">
        <v>62</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x14ac:dyDescent="0.3">
      <c r="A2349" t="s">
        <v>2450</v>
      </c>
      <c r="B2349" t="s">
        <v>39</v>
      </c>
      <c r="C2349">
        <v>5</v>
      </c>
      <c r="D2349">
        <v>83.6</v>
      </c>
      <c r="E2349">
        <v>418</v>
      </c>
      <c r="F2349" s="1">
        <v>45744</v>
      </c>
      <c r="G2349" s="1">
        <v>45745</v>
      </c>
      <c r="H2349" t="s">
        <v>27</v>
      </c>
      <c r="I2349" t="s">
        <v>70</v>
      </c>
      <c r="J2349">
        <v>4</v>
      </c>
      <c r="K2349" t="s">
        <v>19</v>
      </c>
      <c r="L2349" t="s">
        <v>62</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x14ac:dyDescent="0.3">
      <c r="A2350" t="s">
        <v>2451</v>
      </c>
      <c r="B2350" t="s">
        <v>44</v>
      </c>
      <c r="C2350">
        <v>5</v>
      </c>
      <c r="D2350">
        <v>23.5</v>
      </c>
      <c r="E2350">
        <v>117.5</v>
      </c>
      <c r="F2350" s="1">
        <v>45744</v>
      </c>
      <c r="G2350" s="1">
        <v>45748</v>
      </c>
      <c r="H2350" t="s">
        <v>89</v>
      </c>
      <c r="I2350" t="s">
        <v>18</v>
      </c>
      <c r="J2350">
        <v>4</v>
      </c>
      <c r="K2350" t="s">
        <v>19</v>
      </c>
      <c r="L2350" t="s">
        <v>62</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x14ac:dyDescent="0.3">
      <c r="A2351" t="s">
        <v>2452</v>
      </c>
      <c r="B2351" t="s">
        <v>46</v>
      </c>
      <c r="C2351">
        <v>3</v>
      </c>
      <c r="D2351">
        <v>44.6</v>
      </c>
      <c r="E2351">
        <v>133.80000000000001</v>
      </c>
      <c r="F2351" s="1">
        <v>45744</v>
      </c>
      <c r="G2351" s="1">
        <v>45747</v>
      </c>
      <c r="H2351" t="s">
        <v>27</v>
      </c>
      <c r="I2351" t="s">
        <v>70</v>
      </c>
      <c r="J2351">
        <v>3</v>
      </c>
      <c r="K2351" t="s">
        <v>19</v>
      </c>
      <c r="L2351" t="s">
        <v>201</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x14ac:dyDescent="0.3">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x14ac:dyDescent="0.3">
      <c r="A2353" t="s">
        <v>2454</v>
      </c>
      <c r="B2353" t="s">
        <v>26</v>
      </c>
      <c r="C2353">
        <v>5</v>
      </c>
      <c r="D2353">
        <v>153.6</v>
      </c>
      <c r="E2353">
        <v>768</v>
      </c>
      <c r="F2353" s="1">
        <v>45744</v>
      </c>
      <c r="G2353" s="1">
        <v>45745</v>
      </c>
      <c r="H2353" t="s">
        <v>27</v>
      </c>
      <c r="I2353" t="s">
        <v>35</v>
      </c>
      <c r="J2353">
        <v>5</v>
      </c>
      <c r="K2353" t="s">
        <v>19</v>
      </c>
      <c r="L2353" t="s">
        <v>1116</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x14ac:dyDescent="0.3">
      <c r="A2354" t="s">
        <v>2455</v>
      </c>
      <c r="B2354" t="s">
        <v>22</v>
      </c>
      <c r="C2354">
        <v>2</v>
      </c>
      <c r="D2354">
        <v>71.8</v>
      </c>
      <c r="E2354">
        <v>143.6</v>
      </c>
      <c r="F2354" s="1">
        <v>45744</v>
      </c>
      <c r="G2354" s="1">
        <v>45748</v>
      </c>
      <c r="H2354" t="s">
        <v>27</v>
      </c>
      <c r="I2354" t="s">
        <v>35</v>
      </c>
      <c r="J2354">
        <v>4</v>
      </c>
      <c r="K2354" t="s">
        <v>19</v>
      </c>
      <c r="L2354" t="s">
        <v>24</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x14ac:dyDescent="0.3">
      <c r="A2355" t="s">
        <v>2456</v>
      </c>
      <c r="B2355" t="s">
        <v>54</v>
      </c>
      <c r="C2355">
        <v>1</v>
      </c>
      <c r="D2355">
        <v>64.7</v>
      </c>
      <c r="E2355">
        <v>64.7</v>
      </c>
      <c r="F2355" s="1">
        <v>45744</v>
      </c>
      <c r="G2355" s="1">
        <v>45746</v>
      </c>
      <c r="H2355" t="s">
        <v>17</v>
      </c>
      <c r="I2355" t="s">
        <v>18</v>
      </c>
      <c r="J2355">
        <v>3</v>
      </c>
      <c r="K2355" t="s">
        <v>19</v>
      </c>
      <c r="L2355" t="s">
        <v>24</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x14ac:dyDescent="0.3">
      <c r="A2356" t="s">
        <v>2457</v>
      </c>
      <c r="B2356" t="s">
        <v>46</v>
      </c>
      <c r="C2356">
        <v>8</v>
      </c>
      <c r="D2356">
        <v>60.4</v>
      </c>
      <c r="E2356">
        <v>483.2</v>
      </c>
      <c r="F2356" s="1">
        <v>45744</v>
      </c>
      <c r="G2356" s="1">
        <v>45746</v>
      </c>
      <c r="H2356" t="s">
        <v>27</v>
      </c>
      <c r="I2356" t="s">
        <v>51</v>
      </c>
      <c r="J2356">
        <v>5</v>
      </c>
      <c r="K2356" t="s">
        <v>19</v>
      </c>
      <c r="L2356" t="s">
        <v>28</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x14ac:dyDescent="0.3">
      <c r="A2357" t="s">
        <v>2458</v>
      </c>
      <c r="B2357" t="s">
        <v>39</v>
      </c>
      <c r="C2357">
        <v>4</v>
      </c>
      <c r="D2357">
        <v>86</v>
      </c>
      <c r="E2357">
        <v>344</v>
      </c>
      <c r="F2357" s="1">
        <v>45744</v>
      </c>
      <c r="G2357" s="1">
        <v>45747</v>
      </c>
      <c r="H2357" t="s">
        <v>27</v>
      </c>
      <c r="I2357" t="s">
        <v>40</v>
      </c>
      <c r="J2357">
        <v>5</v>
      </c>
      <c r="K2357" t="s">
        <v>19</v>
      </c>
      <c r="L2357" t="s">
        <v>147</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x14ac:dyDescent="0.3">
      <c r="A2358" t="s">
        <v>2459</v>
      </c>
      <c r="B2358" t="s">
        <v>69</v>
      </c>
      <c r="C2358">
        <v>2</v>
      </c>
      <c r="D2358">
        <v>42.1</v>
      </c>
      <c r="E2358">
        <v>84.2</v>
      </c>
      <c r="F2358" s="1">
        <v>45744</v>
      </c>
      <c r="G2358" s="1">
        <v>45745</v>
      </c>
      <c r="H2358" t="s">
        <v>27</v>
      </c>
      <c r="I2358" t="s">
        <v>70</v>
      </c>
      <c r="J2358">
        <v>3</v>
      </c>
      <c r="K2358" t="s">
        <v>19</v>
      </c>
      <c r="L2358" t="s">
        <v>334</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x14ac:dyDescent="0.3">
      <c r="A2359" t="s">
        <v>2460</v>
      </c>
      <c r="B2359" t="s">
        <v>128</v>
      </c>
      <c r="C2359">
        <v>9</v>
      </c>
      <c r="D2359">
        <v>51.1</v>
      </c>
      <c r="E2359">
        <v>459.90000000000003</v>
      </c>
      <c r="F2359" s="1">
        <v>45744</v>
      </c>
      <c r="G2359" s="1">
        <v>45745</v>
      </c>
      <c r="H2359" t="s">
        <v>23</v>
      </c>
      <c r="I2359" t="s">
        <v>40</v>
      </c>
      <c r="J2359">
        <v>3</v>
      </c>
      <c r="K2359" t="s">
        <v>19</v>
      </c>
      <c r="L2359" t="s">
        <v>33</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x14ac:dyDescent="0.3">
      <c r="A2360" t="s">
        <v>2461</v>
      </c>
      <c r="B2360" t="s">
        <v>46</v>
      </c>
      <c r="C2360">
        <v>4</v>
      </c>
      <c r="D2360">
        <v>73.8</v>
      </c>
      <c r="E2360">
        <v>295.2</v>
      </c>
      <c r="F2360" s="1">
        <v>45744</v>
      </c>
      <c r="G2360" s="1">
        <v>45745</v>
      </c>
      <c r="H2360" t="s">
        <v>23</v>
      </c>
      <c r="I2360" t="s">
        <v>70</v>
      </c>
      <c r="J2360">
        <v>4</v>
      </c>
      <c r="K2360" t="s">
        <v>19</v>
      </c>
      <c r="L2360" t="s">
        <v>33</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x14ac:dyDescent="0.3">
      <c r="A2361" t="s">
        <v>2462</v>
      </c>
      <c r="B2361" t="s">
        <v>44</v>
      </c>
      <c r="C2361">
        <v>5</v>
      </c>
      <c r="D2361">
        <v>27</v>
      </c>
      <c r="E2361">
        <v>135</v>
      </c>
      <c r="F2361" s="1">
        <v>45744</v>
      </c>
      <c r="G2361" s="1">
        <v>45747</v>
      </c>
      <c r="H2361" t="s">
        <v>27</v>
      </c>
      <c r="I2361" t="s">
        <v>40</v>
      </c>
      <c r="J2361">
        <v>5</v>
      </c>
      <c r="K2361" t="s">
        <v>19</v>
      </c>
      <c r="L2361" t="s">
        <v>33</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x14ac:dyDescent="0.3">
      <c r="A2362" t="s">
        <v>2463</v>
      </c>
      <c r="B2362" t="s">
        <v>44</v>
      </c>
      <c r="C2362">
        <v>6</v>
      </c>
      <c r="D2362">
        <v>60.1</v>
      </c>
      <c r="E2362">
        <v>360.6</v>
      </c>
      <c r="F2362" s="1">
        <v>45744</v>
      </c>
      <c r="G2362" s="1">
        <v>45745</v>
      </c>
      <c r="H2362" t="s">
        <v>23</v>
      </c>
      <c r="I2362" t="s">
        <v>51</v>
      </c>
      <c r="J2362">
        <v>4</v>
      </c>
      <c r="K2362" t="s">
        <v>19</v>
      </c>
      <c r="L2362" t="s">
        <v>33</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x14ac:dyDescent="0.3">
      <c r="A2363" t="s">
        <v>2464</v>
      </c>
      <c r="B2363" t="s">
        <v>26</v>
      </c>
      <c r="C2363">
        <v>7</v>
      </c>
      <c r="D2363">
        <v>94.1</v>
      </c>
      <c r="E2363">
        <v>658.69999999999993</v>
      </c>
      <c r="F2363" s="1">
        <v>45744</v>
      </c>
      <c r="G2363" s="1">
        <v>45746</v>
      </c>
      <c r="H2363" t="s">
        <v>27</v>
      </c>
      <c r="I2363" t="s">
        <v>70</v>
      </c>
      <c r="J2363">
        <v>3</v>
      </c>
      <c r="K2363" t="s">
        <v>19</v>
      </c>
      <c r="L2363" t="s">
        <v>33</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x14ac:dyDescent="0.3">
      <c r="A2364" t="s">
        <v>2465</v>
      </c>
      <c r="B2364" t="s">
        <v>26</v>
      </c>
      <c r="C2364">
        <v>2</v>
      </c>
      <c r="D2364">
        <v>124.1</v>
      </c>
      <c r="E2364">
        <v>248.2</v>
      </c>
      <c r="F2364" s="1">
        <v>45744</v>
      </c>
      <c r="G2364" s="1">
        <v>45744</v>
      </c>
      <c r="H2364" t="s">
        <v>27</v>
      </c>
      <c r="I2364" t="s">
        <v>40</v>
      </c>
      <c r="J2364">
        <v>1</v>
      </c>
      <c r="K2364" t="s">
        <v>19</v>
      </c>
      <c r="L2364" t="s">
        <v>545</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x14ac:dyDescent="0.3">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x14ac:dyDescent="0.3">
      <c r="A2366" t="s">
        <v>2467</v>
      </c>
      <c r="B2366" t="s">
        <v>22</v>
      </c>
      <c r="C2366">
        <v>1</v>
      </c>
      <c r="D2366">
        <v>36.9</v>
      </c>
      <c r="E2366">
        <v>36.9</v>
      </c>
      <c r="F2366" s="1">
        <v>45744</v>
      </c>
      <c r="G2366" s="1">
        <v>45745</v>
      </c>
      <c r="H2366" t="s">
        <v>23</v>
      </c>
      <c r="I2366" t="s">
        <v>18</v>
      </c>
      <c r="J2366">
        <v>4</v>
      </c>
      <c r="K2366" t="s">
        <v>19</v>
      </c>
      <c r="L2366" t="s">
        <v>55</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x14ac:dyDescent="0.3">
      <c r="A2367" t="s">
        <v>2468</v>
      </c>
      <c r="B2367" t="s">
        <v>46</v>
      </c>
      <c r="C2367">
        <v>2</v>
      </c>
      <c r="D2367">
        <v>22.6</v>
      </c>
      <c r="E2367">
        <v>45.2</v>
      </c>
      <c r="F2367" s="1">
        <v>45744</v>
      </c>
      <c r="G2367" s="1">
        <v>45757</v>
      </c>
      <c r="H2367" t="s">
        <v>27</v>
      </c>
      <c r="I2367" t="s">
        <v>40</v>
      </c>
      <c r="J2367">
        <v>3</v>
      </c>
      <c r="K2367" t="s">
        <v>19</v>
      </c>
      <c r="L2367" t="s">
        <v>62</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x14ac:dyDescent="0.3">
      <c r="A2368" t="s">
        <v>2469</v>
      </c>
      <c r="B2368" t="s">
        <v>42</v>
      </c>
      <c r="C2368">
        <v>4</v>
      </c>
      <c r="D2368">
        <v>35</v>
      </c>
      <c r="E2368">
        <v>140</v>
      </c>
      <c r="F2368" s="1">
        <v>45744</v>
      </c>
      <c r="G2368" s="1">
        <v>45749</v>
      </c>
      <c r="H2368" t="s">
        <v>23</v>
      </c>
      <c r="I2368" t="s">
        <v>51</v>
      </c>
      <c r="J2368">
        <v>3</v>
      </c>
      <c r="K2368" t="s">
        <v>19</v>
      </c>
      <c r="L2368" t="s">
        <v>62</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x14ac:dyDescent="0.3">
      <c r="A2369" t="s">
        <v>2470</v>
      </c>
      <c r="B2369" t="s">
        <v>46</v>
      </c>
      <c r="C2369">
        <v>6</v>
      </c>
      <c r="D2369">
        <v>63.6</v>
      </c>
      <c r="E2369">
        <v>381.6</v>
      </c>
      <c r="F2369" s="1">
        <v>45744</v>
      </c>
      <c r="G2369" s="1">
        <v>45751</v>
      </c>
      <c r="H2369" t="s">
        <v>17</v>
      </c>
      <c r="I2369" t="s">
        <v>35</v>
      </c>
      <c r="J2369">
        <v>5</v>
      </c>
      <c r="K2369" t="s">
        <v>19</v>
      </c>
      <c r="L2369" t="s">
        <v>62</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x14ac:dyDescent="0.3">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x14ac:dyDescent="0.3">
      <c r="A2371" t="s">
        <v>2472</v>
      </c>
      <c r="B2371" t="s">
        <v>30</v>
      </c>
      <c r="C2371">
        <v>2</v>
      </c>
      <c r="D2371">
        <v>38.5</v>
      </c>
      <c r="E2371">
        <v>77</v>
      </c>
      <c r="F2371" s="1">
        <v>45744</v>
      </c>
      <c r="G2371" s="1">
        <v>45745</v>
      </c>
      <c r="H2371" t="s">
        <v>23</v>
      </c>
      <c r="I2371" t="s">
        <v>18</v>
      </c>
      <c r="J2371">
        <v>5</v>
      </c>
      <c r="K2371" t="s">
        <v>19</v>
      </c>
      <c r="L2371" t="s">
        <v>62</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x14ac:dyDescent="0.3">
      <c r="A2372" t="s">
        <v>2473</v>
      </c>
      <c r="B2372" t="s">
        <v>44</v>
      </c>
      <c r="C2372">
        <v>11</v>
      </c>
      <c r="D2372">
        <v>71.5</v>
      </c>
      <c r="E2372">
        <v>786.5</v>
      </c>
      <c r="F2372" s="1">
        <v>45744</v>
      </c>
      <c r="G2372" s="1">
        <v>45745</v>
      </c>
      <c r="H2372" t="s">
        <v>27</v>
      </c>
      <c r="I2372" t="s">
        <v>35</v>
      </c>
      <c r="J2372">
        <v>2</v>
      </c>
      <c r="K2372" t="s">
        <v>19</v>
      </c>
      <c r="L2372" t="s">
        <v>62</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x14ac:dyDescent="0.3">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x14ac:dyDescent="0.3">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x14ac:dyDescent="0.3">
      <c r="A2375" t="s">
        <v>2476</v>
      </c>
      <c r="B2375" t="s">
        <v>37</v>
      </c>
      <c r="C2375">
        <v>5</v>
      </c>
      <c r="D2375">
        <v>31.9</v>
      </c>
      <c r="E2375">
        <v>159.5</v>
      </c>
      <c r="F2375" s="1">
        <v>45744</v>
      </c>
      <c r="G2375" s="1">
        <v>45746</v>
      </c>
      <c r="H2375" t="s">
        <v>27</v>
      </c>
      <c r="I2375" t="s">
        <v>40</v>
      </c>
      <c r="J2375">
        <v>5</v>
      </c>
      <c r="K2375" t="s">
        <v>19</v>
      </c>
      <c r="L2375" t="s">
        <v>243</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x14ac:dyDescent="0.3">
      <c r="A2376" t="s">
        <v>2477</v>
      </c>
      <c r="B2376" t="s">
        <v>81</v>
      </c>
      <c r="C2376">
        <v>5</v>
      </c>
      <c r="D2376">
        <v>15.8</v>
      </c>
      <c r="E2376">
        <v>79</v>
      </c>
      <c r="F2376" s="1">
        <v>45745</v>
      </c>
      <c r="G2376" s="1">
        <v>45746</v>
      </c>
      <c r="H2376" t="s">
        <v>23</v>
      </c>
      <c r="I2376" t="s">
        <v>51</v>
      </c>
      <c r="J2376">
        <v>5</v>
      </c>
      <c r="K2376" t="s">
        <v>19</v>
      </c>
      <c r="L2376" t="s">
        <v>115</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x14ac:dyDescent="0.3">
      <c r="A2377" t="s">
        <v>2478</v>
      </c>
      <c r="B2377" t="s">
        <v>54</v>
      </c>
      <c r="C2377">
        <v>2</v>
      </c>
      <c r="D2377">
        <v>25.1</v>
      </c>
      <c r="E2377">
        <v>50.2</v>
      </c>
      <c r="F2377" s="1">
        <v>45745</v>
      </c>
      <c r="G2377" s="1">
        <v>45747</v>
      </c>
      <c r="H2377" t="s">
        <v>17</v>
      </c>
      <c r="I2377" t="s">
        <v>35</v>
      </c>
      <c r="J2377">
        <v>4</v>
      </c>
      <c r="K2377" t="s">
        <v>19</v>
      </c>
      <c r="L2377" t="s">
        <v>115</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x14ac:dyDescent="0.3">
      <c r="A2378" t="s">
        <v>2479</v>
      </c>
      <c r="B2378" t="s">
        <v>22</v>
      </c>
      <c r="C2378">
        <v>23</v>
      </c>
      <c r="D2378">
        <v>38.1</v>
      </c>
      <c r="E2378">
        <v>876.30000000000007</v>
      </c>
      <c r="F2378" s="1">
        <v>45745</v>
      </c>
      <c r="G2378" s="1">
        <v>45746</v>
      </c>
      <c r="H2378" t="s">
        <v>27</v>
      </c>
      <c r="I2378" t="s">
        <v>70</v>
      </c>
      <c r="J2378">
        <v>4</v>
      </c>
      <c r="K2378" t="s">
        <v>19</v>
      </c>
      <c r="L2378" t="s">
        <v>24</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x14ac:dyDescent="0.3">
      <c r="A2379" t="s">
        <v>2480</v>
      </c>
      <c r="B2379" t="s">
        <v>30</v>
      </c>
      <c r="C2379">
        <v>2</v>
      </c>
      <c r="D2379">
        <v>42.2</v>
      </c>
      <c r="E2379">
        <v>84.4</v>
      </c>
      <c r="F2379" s="1">
        <v>45745</v>
      </c>
      <c r="G2379" s="1">
        <v>45747</v>
      </c>
      <c r="H2379" t="s">
        <v>27</v>
      </c>
      <c r="I2379" t="s">
        <v>18</v>
      </c>
      <c r="J2379">
        <v>5</v>
      </c>
      <c r="K2379" t="s">
        <v>19</v>
      </c>
      <c r="L2379" t="s">
        <v>24</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x14ac:dyDescent="0.3">
      <c r="A2380" t="s">
        <v>2481</v>
      </c>
      <c r="B2380" t="s">
        <v>16</v>
      </c>
      <c r="C2380">
        <v>10</v>
      </c>
      <c r="D2380">
        <v>12.3</v>
      </c>
      <c r="E2380">
        <v>123</v>
      </c>
      <c r="F2380" s="1">
        <v>45745</v>
      </c>
      <c r="G2380" s="1">
        <v>45746</v>
      </c>
      <c r="H2380" t="s">
        <v>27</v>
      </c>
      <c r="I2380" t="s">
        <v>70</v>
      </c>
      <c r="J2380">
        <v>4</v>
      </c>
      <c r="K2380" t="s">
        <v>19</v>
      </c>
      <c r="L2380" t="s">
        <v>28</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x14ac:dyDescent="0.3">
      <c r="A2381" t="s">
        <v>2482</v>
      </c>
      <c r="B2381" t="s">
        <v>42</v>
      </c>
      <c r="C2381">
        <v>1</v>
      </c>
      <c r="D2381">
        <v>30.2</v>
      </c>
      <c r="E2381">
        <v>30.2</v>
      </c>
      <c r="F2381" s="1">
        <v>45745</v>
      </c>
      <c r="G2381" s="1">
        <v>45747</v>
      </c>
      <c r="H2381" t="s">
        <v>27</v>
      </c>
      <c r="I2381" t="s">
        <v>35</v>
      </c>
      <c r="J2381">
        <v>5</v>
      </c>
      <c r="K2381" t="s">
        <v>19</v>
      </c>
      <c r="L2381" t="s">
        <v>334</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x14ac:dyDescent="0.3">
      <c r="A2382" t="s">
        <v>2483</v>
      </c>
      <c r="B2382" t="s">
        <v>37</v>
      </c>
      <c r="C2382">
        <v>3</v>
      </c>
      <c r="D2382">
        <v>25.3</v>
      </c>
      <c r="E2382">
        <v>75.900000000000006</v>
      </c>
      <c r="F2382" s="1">
        <v>45745</v>
      </c>
      <c r="G2382" s="1">
        <v>45748</v>
      </c>
      <c r="H2382" t="s">
        <v>27</v>
      </c>
      <c r="I2382" t="s">
        <v>40</v>
      </c>
      <c r="J2382">
        <v>4</v>
      </c>
      <c r="K2382" t="s">
        <v>19</v>
      </c>
      <c r="L2382" t="s">
        <v>33</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x14ac:dyDescent="0.3">
      <c r="A2383" t="s">
        <v>2484</v>
      </c>
      <c r="B2383" t="s">
        <v>44</v>
      </c>
      <c r="C2383">
        <v>5</v>
      </c>
      <c r="D2383">
        <v>29.7</v>
      </c>
      <c r="E2383">
        <v>148.5</v>
      </c>
      <c r="F2383" s="1">
        <v>45745</v>
      </c>
      <c r="G2383" s="1">
        <v>45747</v>
      </c>
      <c r="H2383" t="s">
        <v>23</v>
      </c>
      <c r="I2383" t="s">
        <v>51</v>
      </c>
      <c r="J2383">
        <v>4</v>
      </c>
      <c r="K2383" t="s">
        <v>19</v>
      </c>
      <c r="L2383" t="s">
        <v>33</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x14ac:dyDescent="0.3">
      <c r="A2384" t="s">
        <v>2485</v>
      </c>
      <c r="B2384" t="s">
        <v>46</v>
      </c>
      <c r="C2384">
        <v>8</v>
      </c>
      <c r="D2384">
        <v>32.9</v>
      </c>
      <c r="E2384">
        <v>263.2</v>
      </c>
      <c r="F2384" s="1">
        <v>45745</v>
      </c>
      <c r="G2384" s="1">
        <v>45746</v>
      </c>
      <c r="H2384" t="s">
        <v>17</v>
      </c>
      <c r="I2384" t="s">
        <v>51</v>
      </c>
      <c r="J2384">
        <v>5</v>
      </c>
      <c r="K2384" t="s">
        <v>19</v>
      </c>
      <c r="L2384" t="s">
        <v>33</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x14ac:dyDescent="0.3">
      <c r="A2385" t="s">
        <v>2486</v>
      </c>
      <c r="B2385" t="s">
        <v>54</v>
      </c>
      <c r="C2385">
        <v>2</v>
      </c>
      <c r="D2385">
        <v>43.6</v>
      </c>
      <c r="E2385">
        <v>87.2</v>
      </c>
      <c r="F2385" s="1">
        <v>45745</v>
      </c>
      <c r="G2385" s="1">
        <v>45746</v>
      </c>
      <c r="H2385" t="s">
        <v>23</v>
      </c>
      <c r="I2385" t="s">
        <v>35</v>
      </c>
      <c r="J2385">
        <v>5</v>
      </c>
      <c r="K2385" t="s">
        <v>19</v>
      </c>
      <c r="L2385" t="s">
        <v>33</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x14ac:dyDescent="0.3">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x14ac:dyDescent="0.3">
      <c r="A2387" t="s">
        <v>2488</v>
      </c>
      <c r="B2387" t="s">
        <v>39</v>
      </c>
      <c r="C2387">
        <v>2</v>
      </c>
      <c r="D2387">
        <v>56.5</v>
      </c>
      <c r="E2387">
        <v>113</v>
      </c>
      <c r="F2387" s="1">
        <v>45745</v>
      </c>
      <c r="G2387" s="1">
        <v>45749</v>
      </c>
      <c r="H2387" t="s">
        <v>23</v>
      </c>
      <c r="I2387" t="s">
        <v>35</v>
      </c>
      <c r="J2387">
        <v>3</v>
      </c>
      <c r="K2387" t="s">
        <v>19</v>
      </c>
      <c r="L2387" t="s">
        <v>33</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x14ac:dyDescent="0.3">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x14ac:dyDescent="0.3">
      <c r="A2389" t="s">
        <v>2490</v>
      </c>
      <c r="B2389" t="s">
        <v>26</v>
      </c>
      <c r="C2389">
        <v>4</v>
      </c>
      <c r="D2389">
        <v>103.6</v>
      </c>
      <c r="E2389">
        <v>414.4</v>
      </c>
      <c r="F2389" s="1">
        <v>45745</v>
      </c>
      <c r="G2389" s="1">
        <v>45756</v>
      </c>
      <c r="H2389" t="s">
        <v>23</v>
      </c>
      <c r="I2389" t="s">
        <v>70</v>
      </c>
      <c r="J2389">
        <v>5</v>
      </c>
      <c r="K2389" t="s">
        <v>19</v>
      </c>
      <c r="L2389" t="s">
        <v>33</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x14ac:dyDescent="0.3">
      <c r="A2390" t="s">
        <v>2491</v>
      </c>
      <c r="B2390" t="s">
        <v>44</v>
      </c>
      <c r="C2390">
        <v>6</v>
      </c>
      <c r="D2390">
        <v>16.2</v>
      </c>
      <c r="E2390">
        <v>97.199999999999989</v>
      </c>
      <c r="F2390" s="1">
        <v>45745</v>
      </c>
      <c r="G2390" s="1">
        <v>45749</v>
      </c>
      <c r="H2390" t="s">
        <v>23</v>
      </c>
      <c r="I2390" t="s">
        <v>35</v>
      </c>
      <c r="J2390">
        <v>5</v>
      </c>
      <c r="K2390" t="s">
        <v>19</v>
      </c>
      <c r="L2390" t="s">
        <v>55</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x14ac:dyDescent="0.3">
      <c r="A2391" t="s">
        <v>2492</v>
      </c>
      <c r="B2391" t="s">
        <v>44</v>
      </c>
      <c r="C2391">
        <v>2</v>
      </c>
      <c r="D2391">
        <v>20.2</v>
      </c>
      <c r="E2391">
        <v>40.4</v>
      </c>
      <c r="F2391" s="1">
        <v>45745</v>
      </c>
      <c r="G2391" s="1">
        <v>45746</v>
      </c>
      <c r="H2391" t="s">
        <v>27</v>
      </c>
      <c r="I2391" t="s">
        <v>18</v>
      </c>
      <c r="J2391">
        <v>4</v>
      </c>
      <c r="K2391" t="s">
        <v>19</v>
      </c>
      <c r="L2391" t="s">
        <v>55</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x14ac:dyDescent="0.3">
      <c r="A2392" t="s">
        <v>2493</v>
      </c>
      <c r="B2392" t="s">
        <v>67</v>
      </c>
      <c r="C2392">
        <v>2</v>
      </c>
      <c r="D2392">
        <v>26.9</v>
      </c>
      <c r="E2392">
        <v>53.8</v>
      </c>
      <c r="F2392" s="1">
        <v>45745</v>
      </c>
      <c r="G2392" s="1">
        <v>45747</v>
      </c>
      <c r="H2392" t="s">
        <v>27</v>
      </c>
      <c r="I2392" t="s">
        <v>40</v>
      </c>
      <c r="J2392">
        <v>4</v>
      </c>
      <c r="K2392" t="s">
        <v>19</v>
      </c>
      <c r="L2392" t="s">
        <v>55</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x14ac:dyDescent="0.3">
      <c r="A2393" t="s">
        <v>2494</v>
      </c>
      <c r="B2393" t="s">
        <v>22</v>
      </c>
      <c r="C2393">
        <v>2</v>
      </c>
      <c r="D2393">
        <v>82.4</v>
      </c>
      <c r="E2393">
        <v>164.8</v>
      </c>
      <c r="F2393" s="1">
        <v>45745</v>
      </c>
      <c r="G2393" s="1">
        <v>45748</v>
      </c>
      <c r="H2393" t="s">
        <v>17</v>
      </c>
      <c r="I2393" t="s">
        <v>18</v>
      </c>
      <c r="J2393">
        <v>4</v>
      </c>
      <c r="K2393" t="s">
        <v>19</v>
      </c>
      <c r="L2393" t="s">
        <v>59</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x14ac:dyDescent="0.3">
      <c r="A2394" t="s">
        <v>2495</v>
      </c>
      <c r="B2394" t="s">
        <v>26</v>
      </c>
      <c r="C2394">
        <v>2</v>
      </c>
      <c r="D2394">
        <v>117.8</v>
      </c>
      <c r="E2394">
        <v>235.6</v>
      </c>
      <c r="F2394" s="1">
        <v>45745</v>
      </c>
      <c r="G2394" s="1">
        <v>45747</v>
      </c>
      <c r="H2394" t="s">
        <v>23</v>
      </c>
      <c r="I2394" t="s">
        <v>35</v>
      </c>
      <c r="J2394">
        <v>5</v>
      </c>
      <c r="K2394" t="s">
        <v>19</v>
      </c>
      <c r="L2394" t="s">
        <v>62</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x14ac:dyDescent="0.3">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x14ac:dyDescent="0.3">
      <c r="A2396" t="s">
        <v>2497</v>
      </c>
      <c r="B2396" t="s">
        <v>135</v>
      </c>
      <c r="C2396">
        <v>3</v>
      </c>
      <c r="D2396">
        <v>46.8</v>
      </c>
      <c r="E2396">
        <v>140.39999999999998</v>
      </c>
      <c r="F2396" s="1">
        <v>45745</v>
      </c>
      <c r="G2396" s="1">
        <v>45746</v>
      </c>
      <c r="H2396" t="s">
        <v>23</v>
      </c>
      <c r="I2396" t="s">
        <v>70</v>
      </c>
      <c r="J2396">
        <v>5</v>
      </c>
      <c r="K2396" t="s">
        <v>19</v>
      </c>
      <c r="L2396" t="s">
        <v>74</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x14ac:dyDescent="0.3">
      <c r="A2397" t="s">
        <v>2498</v>
      </c>
      <c r="B2397" t="s">
        <v>30</v>
      </c>
      <c r="C2397">
        <v>1</v>
      </c>
      <c r="D2397">
        <v>61.4</v>
      </c>
      <c r="E2397">
        <v>61.4</v>
      </c>
      <c r="F2397" s="1">
        <v>45745</v>
      </c>
      <c r="G2397" s="1">
        <v>45746</v>
      </c>
      <c r="H2397" t="s">
        <v>23</v>
      </c>
      <c r="I2397" t="s">
        <v>35</v>
      </c>
      <c r="J2397">
        <v>4</v>
      </c>
      <c r="K2397" t="s">
        <v>19</v>
      </c>
      <c r="L2397" t="s">
        <v>74</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x14ac:dyDescent="0.3">
      <c r="A2398" t="s">
        <v>2499</v>
      </c>
      <c r="B2398" t="s">
        <v>123</v>
      </c>
      <c r="C2398">
        <v>2</v>
      </c>
      <c r="D2398">
        <v>22.9</v>
      </c>
      <c r="E2398">
        <v>45.8</v>
      </c>
      <c r="F2398" s="1">
        <v>45745</v>
      </c>
      <c r="G2398" s="1">
        <v>45746</v>
      </c>
      <c r="H2398" t="s">
        <v>23</v>
      </c>
      <c r="I2398" t="s">
        <v>18</v>
      </c>
      <c r="J2398">
        <v>4</v>
      </c>
      <c r="K2398" t="s">
        <v>19</v>
      </c>
      <c r="L2398" t="s">
        <v>77</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x14ac:dyDescent="0.3">
      <c r="A2399" t="s">
        <v>2500</v>
      </c>
      <c r="B2399" t="s">
        <v>54</v>
      </c>
      <c r="C2399">
        <v>2</v>
      </c>
      <c r="D2399">
        <v>22.1</v>
      </c>
      <c r="E2399">
        <v>44.2</v>
      </c>
      <c r="F2399" s="1">
        <v>45745</v>
      </c>
      <c r="G2399" s="1">
        <v>45746</v>
      </c>
      <c r="H2399" t="s">
        <v>27</v>
      </c>
      <c r="I2399" t="s">
        <v>70</v>
      </c>
      <c r="J2399">
        <v>4</v>
      </c>
      <c r="K2399" t="s">
        <v>19</v>
      </c>
      <c r="L2399" t="s">
        <v>77</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x14ac:dyDescent="0.3">
      <c r="A2400" t="s">
        <v>2501</v>
      </c>
      <c r="B2400" t="s">
        <v>69</v>
      </c>
      <c r="C2400">
        <v>2</v>
      </c>
      <c r="D2400">
        <v>31</v>
      </c>
      <c r="E2400">
        <v>62</v>
      </c>
      <c r="F2400" s="1">
        <v>45745</v>
      </c>
      <c r="G2400" s="1">
        <v>45747</v>
      </c>
      <c r="H2400" t="s">
        <v>27</v>
      </c>
      <c r="I2400" t="s">
        <v>40</v>
      </c>
      <c r="J2400">
        <v>4</v>
      </c>
      <c r="K2400" t="s">
        <v>19</v>
      </c>
      <c r="L2400" t="s">
        <v>108</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x14ac:dyDescent="0.3">
      <c r="A2401" t="s">
        <v>2502</v>
      </c>
      <c r="B2401" t="s">
        <v>146</v>
      </c>
      <c r="C2401">
        <v>2</v>
      </c>
      <c r="D2401">
        <v>84.2</v>
      </c>
      <c r="E2401">
        <v>168.4</v>
      </c>
      <c r="F2401" s="1">
        <v>45745</v>
      </c>
      <c r="G2401" s="1">
        <v>45747</v>
      </c>
      <c r="H2401" t="s">
        <v>23</v>
      </c>
      <c r="I2401" t="s">
        <v>40</v>
      </c>
      <c r="J2401">
        <v>5</v>
      </c>
      <c r="K2401" t="s">
        <v>19</v>
      </c>
      <c r="L2401" t="s">
        <v>82</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42F35-4867-4D1B-B2F5-E7188521432B}">
  <dimension ref="B1:AN10"/>
  <sheetViews>
    <sheetView tabSelected="1" zoomScale="70" zoomScaleNormal="70" workbookViewId="0">
      <selection activeCell="AB11" sqref="AB11"/>
    </sheetView>
  </sheetViews>
  <sheetFormatPr defaultRowHeight="14.4" x14ac:dyDescent="0.3"/>
  <cols>
    <col min="1" max="1" width="2.33203125" customWidth="1"/>
    <col min="2" max="2" width="24.5546875" customWidth="1"/>
    <col min="3" max="3" width="4.109375" customWidth="1"/>
    <col min="25" max="25" width="9" customWidth="1"/>
  </cols>
  <sheetData>
    <row r="1" spans="36:40" ht="21.6" customHeight="1" x14ac:dyDescent="0.3"/>
    <row r="5" spans="36:40" ht="15" thickBot="1" x14ac:dyDescent="0.35">
      <c r="AJ5" s="28"/>
      <c r="AK5" s="28" t="s">
        <v>2530</v>
      </c>
      <c r="AL5" s="28" t="s">
        <v>2526</v>
      </c>
      <c r="AM5" s="28" t="s">
        <v>2528</v>
      </c>
      <c r="AN5" s="29" t="s">
        <v>2525</v>
      </c>
    </row>
    <row r="6" spans="36:40" ht="15.6" thickTop="1" thickBot="1" x14ac:dyDescent="0.35">
      <c r="AJ6" s="30" t="s">
        <v>18</v>
      </c>
      <c r="AK6" s="31">
        <v>0.19</v>
      </c>
      <c r="AL6" s="32">
        <v>0.123</v>
      </c>
      <c r="AM6" s="33">
        <v>1.0999999999999999E-2</v>
      </c>
      <c r="AN6" s="34">
        <v>3.1E-2</v>
      </c>
    </row>
    <row r="7" spans="36:40" ht="15.6" thickTop="1" thickBot="1" x14ac:dyDescent="0.35">
      <c r="AJ7" s="30" t="s">
        <v>51</v>
      </c>
      <c r="AK7" s="35">
        <v>0.05</v>
      </c>
      <c r="AL7" s="36">
        <v>4.2999999999999997E-2</v>
      </c>
      <c r="AM7" s="37">
        <v>2E-3</v>
      </c>
      <c r="AN7" s="38">
        <v>1.7999999999999999E-2</v>
      </c>
    </row>
    <row r="8" spans="36:40" ht="15.6" thickTop="1" thickBot="1" x14ac:dyDescent="0.35">
      <c r="AJ8" s="30" t="s">
        <v>70</v>
      </c>
      <c r="AK8" s="39">
        <v>6.3E-2</v>
      </c>
      <c r="AL8" s="40">
        <v>4.5999999999999999E-2</v>
      </c>
      <c r="AM8" s="37">
        <v>2E-3</v>
      </c>
      <c r="AN8" s="41">
        <v>4.0000000000000001E-3</v>
      </c>
    </row>
    <row r="9" spans="36:40" ht="15.6" thickTop="1" thickBot="1" x14ac:dyDescent="0.35">
      <c r="AJ9" s="30" t="s">
        <v>40</v>
      </c>
      <c r="AK9" s="42">
        <v>9.6000000000000002E-2</v>
      </c>
      <c r="AL9" s="43">
        <v>6.8000000000000005E-2</v>
      </c>
      <c r="AM9" s="44">
        <v>5.0000000000000001E-3</v>
      </c>
      <c r="AN9" s="45">
        <v>1.2999999999999999E-2</v>
      </c>
    </row>
    <row r="10" spans="36:40" ht="15" thickTop="1" x14ac:dyDescent="0.3">
      <c r="AJ10" s="46" t="s">
        <v>35</v>
      </c>
      <c r="AK10" s="47">
        <v>0.125</v>
      </c>
      <c r="AL10" s="48">
        <v>9.0999999999999998E-2</v>
      </c>
      <c r="AM10" s="49">
        <v>6.0000000000000001E-3</v>
      </c>
      <c r="AN10" s="50">
        <v>1.2E-2</v>
      </c>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46CE7-AF8D-4E6F-BF8F-0DC1A536852C}">
  <dimension ref="A3:E23"/>
  <sheetViews>
    <sheetView workbookViewId="0">
      <selection activeCell="E17" sqref="E17"/>
    </sheetView>
  </sheetViews>
  <sheetFormatPr defaultRowHeight="14.4" x14ac:dyDescent="0.3"/>
  <cols>
    <col min="1" max="1" width="12.21875" bestFit="1" customWidth="1"/>
    <col min="2" max="2" width="14.21875" bestFit="1" customWidth="1"/>
    <col min="3" max="3" width="13.5546875" bestFit="1" customWidth="1"/>
    <col min="4" max="4" width="16.6640625" bestFit="1" customWidth="1"/>
    <col min="5" max="6" width="22.33203125" bestFit="1" customWidth="1"/>
  </cols>
  <sheetData>
    <row r="3" spans="1:5" x14ac:dyDescent="0.3">
      <c r="A3" s="8" t="s">
        <v>2520</v>
      </c>
      <c r="B3" s="8" t="s">
        <v>2521</v>
      </c>
      <c r="C3" s="8" t="s">
        <v>2522</v>
      </c>
      <c r="D3" s="8" t="s">
        <v>2523</v>
      </c>
      <c r="E3" s="8" t="s">
        <v>2524</v>
      </c>
    </row>
    <row r="4" spans="1:5" x14ac:dyDescent="0.3">
      <c r="A4" s="7">
        <v>2400</v>
      </c>
      <c r="B4" s="7">
        <v>11997</v>
      </c>
      <c r="C4" s="7">
        <v>649019.80000000144</v>
      </c>
      <c r="D4" s="7">
        <v>3.9620833333333332</v>
      </c>
      <c r="E4" s="7">
        <v>2.3424999999999998</v>
      </c>
    </row>
    <row r="9" spans="1:5" x14ac:dyDescent="0.3">
      <c r="A9" s="8" t="s">
        <v>2518</v>
      </c>
      <c r="B9" s="8" t="s">
        <v>2521</v>
      </c>
      <c r="C9" s="8" t="s">
        <v>2522</v>
      </c>
    </row>
    <row r="10" spans="1:5" x14ac:dyDescent="0.3">
      <c r="A10" s="6">
        <v>1</v>
      </c>
      <c r="B10" s="7">
        <v>546</v>
      </c>
      <c r="C10" s="13">
        <v>32413.300000000003</v>
      </c>
    </row>
    <row r="11" spans="1:5" x14ac:dyDescent="0.3">
      <c r="A11" s="6">
        <v>2</v>
      </c>
      <c r="B11" s="7">
        <v>905</v>
      </c>
      <c r="C11" s="13">
        <v>49562.999999999993</v>
      </c>
    </row>
    <row r="12" spans="1:5" x14ac:dyDescent="0.3">
      <c r="A12" s="6">
        <v>3</v>
      </c>
      <c r="B12" s="7">
        <v>796</v>
      </c>
      <c r="C12" s="13">
        <v>41700.400000000016</v>
      </c>
    </row>
    <row r="13" spans="1:5" x14ac:dyDescent="0.3">
      <c r="A13" s="6">
        <v>4</v>
      </c>
      <c r="B13" s="7">
        <v>913</v>
      </c>
      <c r="C13" s="13">
        <v>46782.599999999984</v>
      </c>
    </row>
    <row r="14" spans="1:5" x14ac:dyDescent="0.3">
      <c r="A14" s="6">
        <v>5</v>
      </c>
      <c r="B14" s="7">
        <v>844</v>
      </c>
      <c r="C14" s="13">
        <v>42676.100000000006</v>
      </c>
    </row>
    <row r="15" spans="1:5" x14ac:dyDescent="0.3">
      <c r="A15" s="6">
        <v>6</v>
      </c>
      <c r="B15" s="7">
        <v>1202</v>
      </c>
      <c r="C15" s="13">
        <v>62910.7</v>
      </c>
    </row>
    <row r="16" spans="1:5" x14ac:dyDescent="0.3">
      <c r="A16" s="6">
        <v>7</v>
      </c>
      <c r="B16" s="7">
        <v>935</v>
      </c>
      <c r="C16" s="13">
        <v>50332.200000000004</v>
      </c>
    </row>
    <row r="17" spans="1:3" x14ac:dyDescent="0.3">
      <c r="A17" s="6">
        <v>8</v>
      </c>
      <c r="B17" s="7">
        <v>1128</v>
      </c>
      <c r="C17" s="13">
        <v>58760.599999999977</v>
      </c>
    </row>
    <row r="18" spans="1:3" x14ac:dyDescent="0.3">
      <c r="A18" s="6">
        <v>9</v>
      </c>
      <c r="B18" s="7">
        <v>1007</v>
      </c>
      <c r="C18" s="13">
        <v>52017.299999999996</v>
      </c>
    </row>
    <row r="19" spans="1:3" x14ac:dyDescent="0.3">
      <c r="A19" s="6">
        <v>10</v>
      </c>
      <c r="B19" s="7">
        <v>1128</v>
      </c>
      <c r="C19" s="13">
        <v>64915.700000000033</v>
      </c>
    </row>
    <row r="20" spans="1:3" x14ac:dyDescent="0.3">
      <c r="A20" s="6">
        <v>11</v>
      </c>
      <c r="B20" s="7">
        <v>861</v>
      </c>
      <c r="C20" s="13">
        <v>45943.80000000001</v>
      </c>
    </row>
    <row r="21" spans="1:3" x14ac:dyDescent="0.3">
      <c r="A21" s="6">
        <v>12</v>
      </c>
      <c r="B21" s="7">
        <v>944</v>
      </c>
      <c r="C21" s="13">
        <v>55077.900000000031</v>
      </c>
    </row>
    <row r="22" spans="1:3" x14ac:dyDescent="0.3">
      <c r="A22" s="6">
        <v>13</v>
      </c>
      <c r="B22" s="7">
        <v>788</v>
      </c>
      <c r="C22" s="13">
        <v>45926.19999999999</v>
      </c>
    </row>
    <row r="23" spans="1:3" x14ac:dyDescent="0.3">
      <c r="A23" s="11" t="s">
        <v>2519</v>
      </c>
      <c r="B23" s="12">
        <v>11997</v>
      </c>
      <c r="C23" s="14">
        <v>649019.79999999993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564DE2-3DD9-4573-B82D-C0F3C4724E89}">
  <dimension ref="A3:M10"/>
  <sheetViews>
    <sheetView showGridLines="0" workbookViewId="0">
      <selection activeCell="O8" sqref="O8"/>
    </sheetView>
  </sheetViews>
  <sheetFormatPr defaultRowHeight="14.4" x14ac:dyDescent="0.3"/>
  <cols>
    <col min="1" max="1" width="13.5546875" bestFit="1" customWidth="1"/>
    <col min="2" max="2" width="15.5546875" bestFit="1" customWidth="1"/>
    <col min="3" max="3" width="7.109375" bestFit="1" customWidth="1"/>
    <col min="4" max="4" width="6.109375" bestFit="1" customWidth="1"/>
    <col min="5" max="5" width="8.5546875" bestFit="1" customWidth="1"/>
    <col min="6" max="6" width="10.5546875" bestFit="1" customWidth="1"/>
    <col min="8" max="8" width="11.88671875" customWidth="1"/>
    <col min="13" max="13" width="11.109375" customWidth="1"/>
  </cols>
  <sheetData>
    <row r="3" spans="1:13" x14ac:dyDescent="0.3">
      <c r="A3" s="8" t="s">
        <v>2522</v>
      </c>
      <c r="B3" s="8" t="s">
        <v>2529</v>
      </c>
      <c r="C3" s="8"/>
      <c r="D3" s="8"/>
      <c r="E3" s="8"/>
      <c r="F3" s="8"/>
      <c r="I3" s="16"/>
      <c r="J3" s="16"/>
      <c r="K3" s="16"/>
      <c r="L3" s="16"/>
      <c r="M3" s="15"/>
    </row>
    <row r="4" spans="1:13" ht="15" thickBot="1" x14ac:dyDescent="0.35">
      <c r="A4" s="8" t="s">
        <v>2518</v>
      </c>
      <c r="B4" s="8" t="s">
        <v>2527</v>
      </c>
      <c r="C4" s="8" t="s">
        <v>2526</v>
      </c>
      <c r="D4" s="8" t="s">
        <v>2528</v>
      </c>
      <c r="E4" s="8" t="s">
        <v>2525</v>
      </c>
      <c r="F4" s="8" t="s">
        <v>2519</v>
      </c>
      <c r="H4" s="25"/>
      <c r="I4" s="26" t="s">
        <v>2527</v>
      </c>
      <c r="J4" s="26" t="s">
        <v>2526</v>
      </c>
      <c r="K4" s="26" t="s">
        <v>2528</v>
      </c>
      <c r="L4" s="27" t="s">
        <v>2525</v>
      </c>
      <c r="M4" s="15"/>
    </row>
    <row r="5" spans="1:13" ht="15.6" thickTop="1" thickBot="1" x14ac:dyDescent="0.35">
      <c r="A5" s="6" t="s">
        <v>18</v>
      </c>
      <c r="B5" s="17">
        <v>0.18961825201634841</v>
      </c>
      <c r="C5" s="17">
        <v>0.12262322351336576</v>
      </c>
      <c r="D5" s="17">
        <v>1.060537752469185E-2</v>
      </c>
      <c r="E5" s="17">
        <v>3.0599220547662797E-2</v>
      </c>
      <c r="F5" s="17">
        <v>0.35344607360206881</v>
      </c>
      <c r="H5" s="19" t="s">
        <v>18</v>
      </c>
      <c r="I5" s="20">
        <v>0.19</v>
      </c>
      <c r="J5" s="20">
        <v>0.123</v>
      </c>
      <c r="K5" s="20">
        <v>1.0999999999999999E-2</v>
      </c>
      <c r="L5" s="21">
        <v>3.1E-2</v>
      </c>
      <c r="M5" s="15"/>
    </row>
    <row r="6" spans="1:13" ht="15.6" thickTop="1" thickBot="1" x14ac:dyDescent="0.35">
      <c r="A6" s="6" t="s">
        <v>51</v>
      </c>
      <c r="B6" s="17">
        <v>5.0283982091147303E-2</v>
      </c>
      <c r="C6" s="17">
        <v>4.3060781812819873E-2</v>
      </c>
      <c r="D6" s="17">
        <v>1.5320025675641944E-3</v>
      </c>
      <c r="E6" s="17">
        <v>1.7794988689097006E-2</v>
      </c>
      <c r="F6" s="17">
        <v>0.11267175516062837</v>
      </c>
      <c r="H6" s="19" t="s">
        <v>51</v>
      </c>
      <c r="I6" s="20">
        <v>0.05</v>
      </c>
      <c r="J6" s="20">
        <v>4.2999999999999997E-2</v>
      </c>
      <c r="K6" s="20">
        <v>2E-3</v>
      </c>
      <c r="L6" s="21">
        <v>1.7999999999999999E-2</v>
      </c>
      <c r="M6" s="15"/>
    </row>
    <row r="7" spans="1:13" ht="15.6" thickTop="1" thickBot="1" x14ac:dyDescent="0.35">
      <c r="A7" s="6" t="s">
        <v>70</v>
      </c>
      <c r="B7" s="17">
        <v>6.3496059750411282E-2</v>
      </c>
      <c r="C7" s="17">
        <v>4.6071629863988765E-2</v>
      </c>
      <c r="D7" s="17">
        <v>2.306247051322625E-3</v>
      </c>
      <c r="E7" s="17">
        <v>3.8927934093844286E-3</v>
      </c>
      <c r="F7" s="17">
        <v>0.11576673007510711</v>
      </c>
      <c r="H7" s="19" t="s">
        <v>70</v>
      </c>
      <c r="I7" s="20">
        <v>6.3E-2</v>
      </c>
      <c r="J7" s="20">
        <v>4.5999999999999999E-2</v>
      </c>
      <c r="K7" s="20">
        <v>2E-3</v>
      </c>
      <c r="L7" s="21">
        <v>4.0000000000000001E-3</v>
      </c>
      <c r="M7" s="15"/>
    </row>
    <row r="8" spans="1:13" ht="15.6" thickTop="1" thickBot="1" x14ac:dyDescent="0.35">
      <c r="A8" s="6" t="s">
        <v>40</v>
      </c>
      <c r="B8" s="17">
        <v>9.6337892927149532E-2</v>
      </c>
      <c r="C8" s="17">
        <v>6.7920115842382611E-2</v>
      </c>
      <c r="D8" s="17">
        <v>5.4979832664581261E-3</v>
      </c>
      <c r="E8" s="17">
        <v>1.2933041488102518E-2</v>
      </c>
      <c r="F8" s="17">
        <v>0.1826890335240928</v>
      </c>
      <c r="H8" s="19" t="s">
        <v>40</v>
      </c>
      <c r="I8" s="20">
        <v>9.6000000000000002E-2</v>
      </c>
      <c r="J8" s="20">
        <v>6.8000000000000005E-2</v>
      </c>
      <c r="K8" s="20">
        <v>5.0000000000000001E-3</v>
      </c>
      <c r="L8" s="21">
        <v>1.2999999999999999E-2</v>
      </c>
    </row>
    <row r="9" spans="1:13" ht="15" thickTop="1" x14ac:dyDescent="0.3">
      <c r="A9" s="6" t="s">
        <v>35</v>
      </c>
      <c r="B9" s="17">
        <v>0.12522098709469262</v>
      </c>
      <c r="C9" s="17">
        <v>9.1492740283116228E-2</v>
      </c>
      <c r="D9" s="17">
        <v>6.3042760790965081E-3</v>
      </c>
      <c r="E9" s="17">
        <v>1.2408404181197551E-2</v>
      </c>
      <c r="F9" s="17">
        <v>0.23542640763810288</v>
      </c>
      <c r="H9" s="22" t="s">
        <v>35</v>
      </c>
      <c r="I9" s="23">
        <v>0.125</v>
      </c>
      <c r="J9" s="23">
        <v>9.0999999999999998E-2</v>
      </c>
      <c r="K9" s="23">
        <v>6.0000000000000001E-3</v>
      </c>
      <c r="L9" s="24">
        <v>1.2E-2</v>
      </c>
    </row>
    <row r="10" spans="1:13" x14ac:dyDescent="0.3">
      <c r="A10" s="11" t="s">
        <v>2519</v>
      </c>
      <c r="B10" s="18">
        <v>0.52495717387974916</v>
      </c>
      <c r="C10" s="18">
        <v>0.3711684913156732</v>
      </c>
      <c r="D10" s="18">
        <v>2.6245886489133303E-2</v>
      </c>
      <c r="E10" s="18">
        <v>7.7628448315444312E-2</v>
      </c>
      <c r="F10" s="18">
        <v>1</v>
      </c>
    </row>
  </sheetData>
  <conditionalFormatting sqref="I10">
    <cfRule type="colorScale" priority="2">
      <colorScale>
        <cfvo type="min"/>
        <cfvo type="percentile" val="50"/>
        <cfvo type="max"/>
        <color rgb="FF5A8AC6"/>
        <color rgb="FFFCFCFF"/>
        <color rgb="FFF8696B"/>
      </colorScale>
    </cfRule>
  </conditionalFormatting>
  <conditionalFormatting sqref="I5:L9">
    <cfRule type="colorScale" priority="1">
      <colorScale>
        <cfvo type="min"/>
        <cfvo type="percentile" val="50"/>
        <cfvo type="max"/>
        <color rgb="FFF8696B"/>
        <color rgb="FFFCFCFF"/>
        <color rgb="FF5A8AC6"/>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ECC72-9C2E-45B9-B102-74B0D320197E}">
  <dimension ref="A3:B11"/>
  <sheetViews>
    <sheetView workbookViewId="0">
      <selection activeCell="M6" sqref="M6"/>
    </sheetView>
  </sheetViews>
  <sheetFormatPr defaultRowHeight="14.4" x14ac:dyDescent="0.3"/>
  <cols>
    <col min="1" max="1" width="12.44140625" bestFit="1" customWidth="1"/>
    <col min="2" max="2" width="12.21875" bestFit="1" customWidth="1"/>
  </cols>
  <sheetData>
    <row r="3" spans="1:2" x14ac:dyDescent="0.3">
      <c r="A3" s="5" t="s">
        <v>2518</v>
      </c>
      <c r="B3" s="8" t="s">
        <v>2520</v>
      </c>
    </row>
    <row r="4" spans="1:2" x14ac:dyDescent="0.3">
      <c r="A4" s="6">
        <v>1</v>
      </c>
      <c r="B4" s="7">
        <v>397</v>
      </c>
    </row>
    <row r="5" spans="1:2" x14ac:dyDescent="0.3">
      <c r="A5" s="6">
        <v>2</v>
      </c>
      <c r="B5" s="7">
        <v>540</v>
      </c>
    </row>
    <row r="6" spans="1:2" x14ac:dyDescent="0.3">
      <c r="A6" s="6">
        <v>3</v>
      </c>
      <c r="B6" s="7">
        <v>375</v>
      </c>
    </row>
    <row r="7" spans="1:2" x14ac:dyDescent="0.3">
      <c r="A7" s="6">
        <v>5</v>
      </c>
      <c r="B7" s="7">
        <v>195</v>
      </c>
    </row>
    <row r="8" spans="1:2" x14ac:dyDescent="0.3">
      <c r="A8" s="6">
        <v>4</v>
      </c>
      <c r="B8" s="7">
        <v>246</v>
      </c>
    </row>
    <row r="9" spans="1:2" x14ac:dyDescent="0.3">
      <c r="A9" s="6" t="s">
        <v>2531</v>
      </c>
      <c r="B9" s="7">
        <v>414</v>
      </c>
    </row>
    <row r="10" spans="1:2" x14ac:dyDescent="0.3">
      <c r="A10" s="6" t="s">
        <v>2532</v>
      </c>
      <c r="B10" s="7">
        <v>233</v>
      </c>
    </row>
    <row r="11" spans="1:2" x14ac:dyDescent="0.3">
      <c r="A11" s="11" t="s">
        <v>2519</v>
      </c>
      <c r="B11" s="12">
        <v>2400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36F1C-C200-46ED-9A64-8270FC57FEB4}">
  <dimension ref="A3:K25"/>
  <sheetViews>
    <sheetView workbookViewId="0">
      <selection activeCell="J20" sqref="J20"/>
    </sheetView>
  </sheetViews>
  <sheetFormatPr defaultRowHeight="14.4" x14ac:dyDescent="0.3"/>
  <cols>
    <col min="1" max="1" width="19.109375" bestFit="1" customWidth="1"/>
    <col min="2" max="2" width="15.5546875" bestFit="1" customWidth="1"/>
    <col min="3" max="3" width="5" bestFit="1" customWidth="1"/>
    <col min="4" max="4" width="5.6640625" bestFit="1" customWidth="1"/>
    <col min="5" max="5" width="8.5546875" bestFit="1" customWidth="1"/>
    <col min="6" max="6" width="10.5546875" bestFit="1" customWidth="1"/>
    <col min="7" max="7" width="6.88671875" bestFit="1" customWidth="1"/>
    <col min="8" max="8" width="5.6640625" bestFit="1" customWidth="1"/>
    <col min="9" max="9" width="6.77734375" bestFit="1" customWidth="1"/>
    <col min="10" max="10" width="12.44140625" bestFit="1" customWidth="1"/>
    <col min="11" max="11" width="14.21875" bestFit="1" customWidth="1"/>
    <col min="12" max="12" width="5" bestFit="1" customWidth="1"/>
    <col min="13" max="13" width="5.6640625" bestFit="1" customWidth="1"/>
    <col min="14" max="14" width="8.5546875" bestFit="1" customWidth="1"/>
    <col min="15" max="15" width="10.5546875" bestFit="1" customWidth="1"/>
  </cols>
  <sheetData>
    <row r="3" spans="1:11" x14ac:dyDescent="0.3">
      <c r="A3" s="2" t="s">
        <v>2521</v>
      </c>
      <c r="B3" s="2" t="s">
        <v>2529</v>
      </c>
      <c r="C3" s="2"/>
      <c r="D3" s="2"/>
      <c r="E3" s="2"/>
      <c r="F3" s="2"/>
      <c r="J3" s="2" t="s">
        <v>2518</v>
      </c>
      <c r="K3" s="2" t="s">
        <v>2521</v>
      </c>
    </row>
    <row r="4" spans="1:11" x14ac:dyDescent="0.3">
      <c r="A4" s="2" t="s">
        <v>2518</v>
      </c>
      <c r="B4" s="2" t="s">
        <v>2527</v>
      </c>
      <c r="C4" s="2" t="s">
        <v>2526</v>
      </c>
      <c r="D4" s="2" t="s">
        <v>2528</v>
      </c>
      <c r="E4" s="2" t="s">
        <v>2525</v>
      </c>
      <c r="F4" s="2" t="s">
        <v>2519</v>
      </c>
      <c r="J4" s="51" t="s">
        <v>2527</v>
      </c>
      <c r="K4" s="7">
        <v>6272</v>
      </c>
    </row>
    <row r="5" spans="1:11" x14ac:dyDescent="0.3">
      <c r="A5" s="54" t="s">
        <v>44</v>
      </c>
      <c r="B5" s="55">
        <v>744</v>
      </c>
      <c r="C5" s="55">
        <v>713</v>
      </c>
      <c r="D5" s="55">
        <v>90</v>
      </c>
      <c r="E5" s="55">
        <v>98</v>
      </c>
      <c r="F5" s="55">
        <v>1645</v>
      </c>
      <c r="J5" s="51" t="s">
        <v>2526</v>
      </c>
      <c r="K5" s="7">
        <v>4672</v>
      </c>
    </row>
    <row r="6" spans="1:11" x14ac:dyDescent="0.3">
      <c r="A6" s="54" t="s">
        <v>39</v>
      </c>
      <c r="B6" s="55">
        <v>716</v>
      </c>
      <c r="C6" s="55">
        <v>598</v>
      </c>
      <c r="D6" s="55">
        <v>18</v>
      </c>
      <c r="E6" s="55">
        <v>214</v>
      </c>
      <c r="F6" s="55">
        <v>1546</v>
      </c>
      <c r="J6" s="51" t="s">
        <v>2528</v>
      </c>
      <c r="K6" s="7">
        <v>317</v>
      </c>
    </row>
    <row r="7" spans="1:11" x14ac:dyDescent="0.3">
      <c r="A7" s="54" t="s">
        <v>26</v>
      </c>
      <c r="B7" s="55">
        <v>627</v>
      </c>
      <c r="C7" s="55">
        <v>393</v>
      </c>
      <c r="D7" s="55">
        <v>29</v>
      </c>
      <c r="E7" s="55">
        <v>137</v>
      </c>
      <c r="F7" s="55">
        <v>1186</v>
      </c>
      <c r="J7" s="51" t="s">
        <v>2525</v>
      </c>
      <c r="K7" s="7">
        <v>736</v>
      </c>
    </row>
    <row r="8" spans="1:11" x14ac:dyDescent="0.3">
      <c r="A8" s="54" t="s">
        <v>22</v>
      </c>
      <c r="B8" s="55">
        <v>568</v>
      </c>
      <c r="C8" s="55">
        <v>306</v>
      </c>
      <c r="D8" s="55">
        <v>22</v>
      </c>
      <c r="E8" s="55">
        <v>16</v>
      </c>
      <c r="F8" s="55">
        <v>912</v>
      </c>
      <c r="G8" s="9"/>
      <c r="J8" s="56" t="s">
        <v>2519</v>
      </c>
      <c r="K8" s="57">
        <v>11997</v>
      </c>
    </row>
    <row r="9" spans="1:11" x14ac:dyDescent="0.3">
      <c r="A9" s="54" t="s">
        <v>54</v>
      </c>
      <c r="B9" s="55">
        <v>482</v>
      </c>
      <c r="C9" s="55">
        <v>295</v>
      </c>
      <c r="D9" s="55">
        <v>8</v>
      </c>
      <c r="E9" s="55">
        <v>22</v>
      </c>
      <c r="F9" s="55">
        <v>807</v>
      </c>
    </row>
    <row r="10" spans="1:11" x14ac:dyDescent="0.3">
      <c r="A10" s="54" t="s">
        <v>46</v>
      </c>
      <c r="B10" s="55">
        <v>445</v>
      </c>
      <c r="C10" s="55">
        <v>202</v>
      </c>
      <c r="D10" s="55">
        <v>14</v>
      </c>
      <c r="E10" s="55">
        <v>39</v>
      </c>
      <c r="F10" s="55">
        <v>700</v>
      </c>
    </row>
    <row r="11" spans="1:11" x14ac:dyDescent="0.3">
      <c r="A11" s="54" t="s">
        <v>32</v>
      </c>
      <c r="B11" s="55">
        <v>431</v>
      </c>
      <c r="C11" s="55">
        <v>187</v>
      </c>
      <c r="D11" s="55">
        <v>14</v>
      </c>
      <c r="E11" s="55">
        <v>15</v>
      </c>
      <c r="F11" s="55">
        <v>647</v>
      </c>
    </row>
    <row r="12" spans="1:11" x14ac:dyDescent="0.3">
      <c r="A12" s="54" t="s">
        <v>16</v>
      </c>
      <c r="B12" s="55">
        <v>428</v>
      </c>
      <c r="C12" s="55">
        <v>293</v>
      </c>
      <c r="D12" s="55"/>
      <c r="E12" s="55">
        <v>24</v>
      </c>
      <c r="F12" s="55">
        <v>745</v>
      </c>
    </row>
    <row r="13" spans="1:11" x14ac:dyDescent="0.3">
      <c r="A13" s="54" t="s">
        <v>37</v>
      </c>
      <c r="B13" s="55">
        <v>296</v>
      </c>
      <c r="C13" s="55">
        <v>275</v>
      </c>
      <c r="D13" s="55">
        <v>9</v>
      </c>
      <c r="E13" s="55">
        <v>23</v>
      </c>
      <c r="F13" s="55">
        <v>603</v>
      </c>
    </row>
    <row r="14" spans="1:11" x14ac:dyDescent="0.3">
      <c r="A14" s="54" t="s">
        <v>42</v>
      </c>
      <c r="B14" s="55">
        <v>264</v>
      </c>
      <c r="C14" s="55">
        <v>318</v>
      </c>
      <c r="D14" s="55">
        <v>15</v>
      </c>
      <c r="E14" s="55">
        <v>9</v>
      </c>
      <c r="F14" s="55">
        <v>606</v>
      </c>
    </row>
    <row r="15" spans="1:11" x14ac:dyDescent="0.3">
      <c r="A15" s="54" t="s">
        <v>69</v>
      </c>
      <c r="B15" s="55">
        <v>234</v>
      </c>
      <c r="C15" s="55">
        <v>93</v>
      </c>
      <c r="D15" s="55">
        <v>19</v>
      </c>
      <c r="E15" s="55">
        <v>24</v>
      </c>
      <c r="F15" s="55">
        <v>370</v>
      </c>
    </row>
    <row r="16" spans="1:11" x14ac:dyDescent="0.3">
      <c r="A16" s="54" t="s">
        <v>146</v>
      </c>
      <c r="B16" s="55">
        <v>189</v>
      </c>
      <c r="C16" s="55">
        <v>168</v>
      </c>
      <c r="D16" s="55">
        <v>10</v>
      </c>
      <c r="E16" s="55">
        <v>31</v>
      </c>
      <c r="F16" s="55">
        <v>398</v>
      </c>
    </row>
    <row r="17" spans="1:6" x14ac:dyDescent="0.3">
      <c r="A17" s="54" t="s">
        <v>67</v>
      </c>
      <c r="B17" s="55">
        <v>179</v>
      </c>
      <c r="C17" s="55">
        <v>76</v>
      </c>
      <c r="D17" s="55">
        <v>3</v>
      </c>
      <c r="E17" s="55"/>
      <c r="F17" s="55">
        <v>258</v>
      </c>
    </row>
    <row r="18" spans="1:6" x14ac:dyDescent="0.3">
      <c r="A18" s="54" t="s">
        <v>123</v>
      </c>
      <c r="B18" s="55">
        <v>153</v>
      </c>
      <c r="C18" s="55">
        <v>246</v>
      </c>
      <c r="D18" s="55">
        <v>30</v>
      </c>
      <c r="E18" s="55">
        <v>8</v>
      </c>
      <c r="F18" s="55">
        <v>437</v>
      </c>
    </row>
    <row r="19" spans="1:6" x14ac:dyDescent="0.3">
      <c r="A19" s="54" t="s">
        <v>30</v>
      </c>
      <c r="B19" s="55">
        <v>146</v>
      </c>
      <c r="C19" s="55">
        <v>94</v>
      </c>
      <c r="D19" s="55">
        <v>4</v>
      </c>
      <c r="E19" s="55">
        <v>28</v>
      </c>
      <c r="F19" s="55">
        <v>272</v>
      </c>
    </row>
    <row r="20" spans="1:6" x14ac:dyDescent="0.3">
      <c r="A20" s="54" t="s">
        <v>135</v>
      </c>
      <c r="B20" s="55">
        <v>127</v>
      </c>
      <c r="C20" s="55">
        <v>118</v>
      </c>
      <c r="D20" s="55">
        <v>13</v>
      </c>
      <c r="E20" s="55">
        <v>12</v>
      </c>
      <c r="F20" s="55">
        <v>270</v>
      </c>
    </row>
    <row r="21" spans="1:6" x14ac:dyDescent="0.3">
      <c r="A21" s="54" t="s">
        <v>128</v>
      </c>
      <c r="B21" s="55">
        <v>99</v>
      </c>
      <c r="C21" s="55">
        <v>69</v>
      </c>
      <c r="D21" s="55">
        <v>3</v>
      </c>
      <c r="E21" s="55">
        <v>24</v>
      </c>
      <c r="F21" s="55">
        <v>195</v>
      </c>
    </row>
    <row r="22" spans="1:6" x14ac:dyDescent="0.3">
      <c r="A22" s="54" t="s">
        <v>76</v>
      </c>
      <c r="B22" s="55">
        <v>75</v>
      </c>
      <c r="C22" s="55">
        <v>103</v>
      </c>
      <c r="D22" s="55">
        <v>4</v>
      </c>
      <c r="E22" s="55">
        <v>6</v>
      </c>
      <c r="F22" s="55">
        <v>188</v>
      </c>
    </row>
    <row r="23" spans="1:6" x14ac:dyDescent="0.3">
      <c r="A23" s="54" t="s">
        <v>81</v>
      </c>
      <c r="B23" s="55">
        <v>43</v>
      </c>
      <c r="C23" s="55">
        <v>90</v>
      </c>
      <c r="D23" s="55">
        <v>8</v>
      </c>
      <c r="E23" s="55">
        <v>6</v>
      </c>
      <c r="F23" s="55">
        <v>147</v>
      </c>
    </row>
    <row r="24" spans="1:6" x14ac:dyDescent="0.3">
      <c r="A24" s="54" t="s">
        <v>171</v>
      </c>
      <c r="B24" s="55">
        <v>26</v>
      </c>
      <c r="C24" s="55">
        <v>35</v>
      </c>
      <c r="D24" s="55">
        <v>4</v>
      </c>
      <c r="E24" s="55"/>
      <c r="F24" s="55">
        <v>65</v>
      </c>
    </row>
    <row r="25" spans="1:6" x14ac:dyDescent="0.3">
      <c r="A25" s="56" t="s">
        <v>2519</v>
      </c>
      <c r="B25" s="57">
        <v>6272</v>
      </c>
      <c r="C25" s="57">
        <v>4672</v>
      </c>
      <c r="D25" s="57">
        <v>317</v>
      </c>
      <c r="E25" s="57">
        <v>736</v>
      </c>
      <c r="F25" s="57">
        <v>11997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883E5-3DAB-411E-882B-56E4C5091846}">
  <dimension ref="A2:L62"/>
  <sheetViews>
    <sheetView workbookViewId="0">
      <selection activeCell="D2" sqref="D2"/>
    </sheetView>
  </sheetViews>
  <sheetFormatPr defaultRowHeight="14.4" x14ac:dyDescent="0.3"/>
  <cols>
    <col min="1" max="1" width="22.77734375" bestFit="1" customWidth="1"/>
    <col min="2" max="2" width="19.6640625" bestFit="1" customWidth="1"/>
    <col min="3" max="3" width="14.21875" bestFit="1" customWidth="1"/>
    <col min="4" max="4" width="13.5546875" bestFit="1" customWidth="1"/>
    <col min="5" max="5" width="9.77734375" customWidth="1"/>
    <col min="6" max="6" width="10.88671875" customWidth="1"/>
    <col min="7" max="7" width="17.6640625" customWidth="1"/>
    <col min="8" max="8" width="13.6640625" customWidth="1"/>
    <col min="9" max="9" width="6" customWidth="1"/>
    <col min="10" max="10" width="15.5546875" customWidth="1"/>
    <col min="11" max="11" width="17.109375" customWidth="1"/>
    <col min="12" max="58" width="20.44140625" bestFit="1" customWidth="1"/>
    <col min="59" max="59" width="10.5546875" bestFit="1" customWidth="1"/>
  </cols>
  <sheetData>
    <row r="2" spans="1:12" x14ac:dyDescent="0.3">
      <c r="B2" t="s">
        <v>2538</v>
      </c>
      <c r="G2" t="s">
        <v>2536</v>
      </c>
      <c r="K2" t="s">
        <v>2537</v>
      </c>
    </row>
    <row r="4" spans="1:12" x14ac:dyDescent="0.3">
      <c r="A4" s="2" t="s">
        <v>10</v>
      </c>
      <c r="B4" s="2" t="s">
        <v>11</v>
      </c>
      <c r="C4" s="2" t="s">
        <v>2521</v>
      </c>
      <c r="D4" s="2" t="s">
        <v>2522</v>
      </c>
      <c r="F4" s="59" t="s">
        <v>10</v>
      </c>
      <c r="G4" s="59" t="s">
        <v>11</v>
      </c>
      <c r="H4" s="59" t="s">
        <v>2</v>
      </c>
      <c r="J4" s="59" t="s">
        <v>10</v>
      </c>
      <c r="K4" s="59" t="s">
        <v>11</v>
      </c>
      <c r="L4" s="59" t="s">
        <v>4</v>
      </c>
    </row>
    <row r="5" spans="1:12" x14ac:dyDescent="0.3">
      <c r="A5" t="s">
        <v>19</v>
      </c>
      <c r="B5" t="s">
        <v>115</v>
      </c>
      <c r="C5" s="7">
        <v>579</v>
      </c>
      <c r="D5" s="7">
        <v>31884.999999999996</v>
      </c>
      <c r="F5" s="10" t="s">
        <v>19</v>
      </c>
      <c r="G5" t="s">
        <v>115</v>
      </c>
      <c r="H5" s="7">
        <v>579</v>
      </c>
      <c r="J5" s="10" t="s">
        <v>19</v>
      </c>
      <c r="K5" t="s">
        <v>115</v>
      </c>
      <c r="L5" s="7">
        <v>31884.999999999996</v>
      </c>
    </row>
    <row r="6" spans="1:12" x14ac:dyDescent="0.3">
      <c r="A6" t="s">
        <v>19</v>
      </c>
      <c r="B6" t="s">
        <v>20</v>
      </c>
      <c r="C6" s="7">
        <v>1</v>
      </c>
      <c r="D6" s="7">
        <v>10.9</v>
      </c>
      <c r="F6" s="10" t="s">
        <v>19</v>
      </c>
      <c r="G6" t="s">
        <v>20</v>
      </c>
      <c r="H6" s="7">
        <v>1</v>
      </c>
      <c r="J6" s="10" t="s">
        <v>19</v>
      </c>
      <c r="K6" t="s">
        <v>20</v>
      </c>
      <c r="L6" s="7">
        <v>10.9</v>
      </c>
    </row>
    <row r="7" spans="1:12" x14ac:dyDescent="0.3">
      <c r="A7" t="s">
        <v>19</v>
      </c>
      <c r="B7" t="s">
        <v>641</v>
      </c>
      <c r="C7" s="7">
        <v>9</v>
      </c>
      <c r="D7" s="7">
        <v>800.3</v>
      </c>
      <c r="F7" s="10" t="s">
        <v>19</v>
      </c>
      <c r="G7" t="s">
        <v>641</v>
      </c>
      <c r="H7" s="7">
        <v>9</v>
      </c>
      <c r="J7" s="10" t="s">
        <v>19</v>
      </c>
      <c r="K7" t="s">
        <v>641</v>
      </c>
      <c r="L7" s="7">
        <v>800.3</v>
      </c>
    </row>
    <row r="8" spans="1:12" x14ac:dyDescent="0.3">
      <c r="A8" t="s">
        <v>19</v>
      </c>
      <c r="B8" t="s">
        <v>967</v>
      </c>
      <c r="C8" s="7">
        <v>35</v>
      </c>
      <c r="D8" s="7">
        <v>1062.5999999999999</v>
      </c>
      <c r="F8" s="10" t="s">
        <v>19</v>
      </c>
      <c r="G8" t="s">
        <v>967</v>
      </c>
      <c r="H8" s="7">
        <v>35</v>
      </c>
      <c r="J8" s="10" t="s">
        <v>19</v>
      </c>
      <c r="K8" t="s">
        <v>967</v>
      </c>
      <c r="L8" s="7">
        <v>1062.5999999999999</v>
      </c>
    </row>
    <row r="9" spans="1:12" x14ac:dyDescent="0.3">
      <c r="A9" t="s">
        <v>19</v>
      </c>
      <c r="B9" t="s">
        <v>84</v>
      </c>
      <c r="C9" s="7">
        <v>12</v>
      </c>
      <c r="D9" s="7">
        <v>326.20000000000005</v>
      </c>
      <c r="F9" s="10" t="s">
        <v>19</v>
      </c>
      <c r="G9" t="s">
        <v>84</v>
      </c>
      <c r="H9" s="7">
        <v>12</v>
      </c>
      <c r="J9" s="10" t="s">
        <v>19</v>
      </c>
      <c r="K9" t="s">
        <v>84</v>
      </c>
      <c r="L9" s="7">
        <v>326.20000000000005</v>
      </c>
    </row>
    <row r="10" spans="1:12" x14ac:dyDescent="0.3">
      <c r="A10" t="s">
        <v>19</v>
      </c>
      <c r="B10" t="s">
        <v>1383</v>
      </c>
      <c r="C10" s="7">
        <v>4</v>
      </c>
      <c r="D10" s="7">
        <v>167.5</v>
      </c>
      <c r="F10" s="10" t="s">
        <v>19</v>
      </c>
      <c r="G10" t="s">
        <v>1383</v>
      </c>
      <c r="H10" s="7">
        <v>4</v>
      </c>
      <c r="J10" s="10" t="s">
        <v>19</v>
      </c>
      <c r="K10" t="s">
        <v>1383</v>
      </c>
      <c r="L10" s="7">
        <v>167.5</v>
      </c>
    </row>
    <row r="11" spans="1:12" x14ac:dyDescent="0.3">
      <c r="A11" t="s">
        <v>19</v>
      </c>
      <c r="B11" t="s">
        <v>24</v>
      </c>
      <c r="C11" s="7">
        <v>341</v>
      </c>
      <c r="D11" s="7">
        <v>16168.7</v>
      </c>
      <c r="F11" s="10" t="s">
        <v>19</v>
      </c>
      <c r="G11" t="s">
        <v>24</v>
      </c>
      <c r="H11" s="7">
        <v>341</v>
      </c>
      <c r="J11" s="10" t="s">
        <v>19</v>
      </c>
      <c r="K11" t="s">
        <v>24</v>
      </c>
      <c r="L11" s="7">
        <v>16168.7</v>
      </c>
    </row>
    <row r="12" spans="1:12" x14ac:dyDescent="0.3">
      <c r="A12" t="s">
        <v>19</v>
      </c>
      <c r="B12" t="s">
        <v>2204</v>
      </c>
      <c r="C12" s="7">
        <v>13</v>
      </c>
      <c r="D12" s="7">
        <v>322.40000000000003</v>
      </c>
      <c r="F12" s="10" t="s">
        <v>19</v>
      </c>
      <c r="G12" t="s">
        <v>2204</v>
      </c>
      <c r="H12" s="7">
        <v>13</v>
      </c>
      <c r="J12" s="10" t="s">
        <v>19</v>
      </c>
      <c r="K12" t="s">
        <v>2204</v>
      </c>
      <c r="L12" s="7">
        <v>322.40000000000003</v>
      </c>
    </row>
    <row r="13" spans="1:12" x14ac:dyDescent="0.3">
      <c r="A13" t="s">
        <v>19</v>
      </c>
      <c r="B13" t="s">
        <v>437</v>
      </c>
      <c r="C13" s="7">
        <v>31</v>
      </c>
      <c r="D13" s="7">
        <v>2092.8000000000002</v>
      </c>
      <c r="F13" s="10" t="s">
        <v>19</v>
      </c>
      <c r="G13" t="s">
        <v>437</v>
      </c>
      <c r="H13" s="7">
        <v>31</v>
      </c>
      <c r="J13" s="10" t="s">
        <v>19</v>
      </c>
      <c r="K13" t="s">
        <v>437</v>
      </c>
      <c r="L13" s="7">
        <v>2092.8000000000002</v>
      </c>
    </row>
    <row r="14" spans="1:12" x14ac:dyDescent="0.3">
      <c r="A14" t="s">
        <v>19</v>
      </c>
      <c r="B14" t="s">
        <v>28</v>
      </c>
      <c r="C14" s="7">
        <v>279</v>
      </c>
      <c r="D14" s="7">
        <v>12662.500000000002</v>
      </c>
      <c r="F14" s="10" t="s">
        <v>19</v>
      </c>
      <c r="G14" t="s">
        <v>28</v>
      </c>
      <c r="H14" s="7">
        <v>279</v>
      </c>
      <c r="J14" s="10" t="s">
        <v>19</v>
      </c>
      <c r="K14" t="s">
        <v>28</v>
      </c>
      <c r="L14" s="7">
        <v>12662.500000000002</v>
      </c>
    </row>
    <row r="15" spans="1:12" x14ac:dyDescent="0.3">
      <c r="A15" t="s">
        <v>19</v>
      </c>
      <c r="B15" t="s">
        <v>208</v>
      </c>
      <c r="C15" s="7">
        <v>9</v>
      </c>
      <c r="D15" s="7">
        <v>343.2</v>
      </c>
      <c r="F15" s="10" t="s">
        <v>19</v>
      </c>
      <c r="G15" t="s">
        <v>208</v>
      </c>
      <c r="H15" s="7">
        <v>9</v>
      </c>
      <c r="J15" s="10" t="s">
        <v>19</v>
      </c>
      <c r="K15" t="s">
        <v>208</v>
      </c>
      <c r="L15" s="7">
        <v>343.2</v>
      </c>
    </row>
    <row r="16" spans="1:12" x14ac:dyDescent="0.3">
      <c r="A16" t="s">
        <v>19</v>
      </c>
      <c r="B16" t="s">
        <v>587</v>
      </c>
      <c r="C16" s="7">
        <v>49</v>
      </c>
      <c r="D16" s="7">
        <v>2188.2999999999997</v>
      </c>
      <c r="F16" s="10" t="s">
        <v>19</v>
      </c>
      <c r="G16" t="s">
        <v>587</v>
      </c>
      <c r="H16" s="7">
        <v>49</v>
      </c>
      <c r="J16" s="10" t="s">
        <v>19</v>
      </c>
      <c r="K16" t="s">
        <v>587</v>
      </c>
      <c r="L16" s="7">
        <v>2188.2999999999997</v>
      </c>
    </row>
    <row r="17" spans="1:12" x14ac:dyDescent="0.3">
      <c r="A17" t="s">
        <v>19</v>
      </c>
      <c r="B17" t="s">
        <v>331</v>
      </c>
      <c r="C17" s="7">
        <v>59</v>
      </c>
      <c r="D17" s="7">
        <v>2661.5999999999995</v>
      </c>
      <c r="F17" s="10" t="s">
        <v>19</v>
      </c>
      <c r="G17" t="s">
        <v>331</v>
      </c>
      <c r="H17" s="7">
        <v>59</v>
      </c>
      <c r="J17" s="10" t="s">
        <v>19</v>
      </c>
      <c r="K17" t="s">
        <v>331</v>
      </c>
      <c r="L17" s="7">
        <v>2661.5999999999995</v>
      </c>
    </row>
    <row r="18" spans="1:12" x14ac:dyDescent="0.3">
      <c r="A18" t="s">
        <v>19</v>
      </c>
      <c r="B18" t="s">
        <v>86</v>
      </c>
      <c r="C18" s="7">
        <v>8</v>
      </c>
      <c r="D18" s="7">
        <v>887.5</v>
      </c>
      <c r="F18" s="10" t="s">
        <v>19</v>
      </c>
      <c r="G18" t="s">
        <v>86</v>
      </c>
      <c r="H18" s="7">
        <v>8</v>
      </c>
      <c r="J18" s="10" t="s">
        <v>19</v>
      </c>
      <c r="K18" t="s">
        <v>86</v>
      </c>
      <c r="L18" s="7">
        <v>887.5</v>
      </c>
    </row>
    <row r="19" spans="1:12" x14ac:dyDescent="0.3">
      <c r="A19" t="s">
        <v>19</v>
      </c>
      <c r="B19" t="s">
        <v>147</v>
      </c>
      <c r="C19" s="7">
        <v>222</v>
      </c>
      <c r="D19" s="7">
        <v>11354.199999999993</v>
      </c>
      <c r="F19" s="10" t="s">
        <v>19</v>
      </c>
      <c r="G19" t="s">
        <v>147</v>
      </c>
      <c r="H19" s="7">
        <v>222</v>
      </c>
      <c r="J19" s="10" t="s">
        <v>19</v>
      </c>
      <c r="K19" t="s">
        <v>147</v>
      </c>
      <c r="L19" s="7">
        <v>11354.199999999993</v>
      </c>
    </row>
    <row r="20" spans="1:12" x14ac:dyDescent="0.3">
      <c r="A20" t="s">
        <v>19</v>
      </c>
      <c r="B20" t="s">
        <v>334</v>
      </c>
      <c r="C20" s="7">
        <v>36</v>
      </c>
      <c r="D20" s="7">
        <v>1558.4</v>
      </c>
      <c r="F20" s="10" t="s">
        <v>19</v>
      </c>
      <c r="G20" t="s">
        <v>334</v>
      </c>
      <c r="H20" s="7">
        <v>36</v>
      </c>
      <c r="J20" s="10" t="s">
        <v>19</v>
      </c>
      <c r="K20" t="s">
        <v>334</v>
      </c>
      <c r="L20" s="7">
        <v>1558.4</v>
      </c>
    </row>
    <row r="21" spans="1:12" x14ac:dyDescent="0.3">
      <c r="A21" t="s">
        <v>19</v>
      </c>
      <c r="B21" t="s">
        <v>949</v>
      </c>
      <c r="C21" s="7">
        <v>30</v>
      </c>
      <c r="D21" s="7">
        <v>2223.9</v>
      </c>
      <c r="F21" s="10" t="s">
        <v>19</v>
      </c>
      <c r="G21" t="s">
        <v>949</v>
      </c>
      <c r="H21" s="7">
        <v>30</v>
      </c>
      <c r="J21" s="10" t="s">
        <v>19</v>
      </c>
      <c r="K21" t="s">
        <v>949</v>
      </c>
      <c r="L21" s="7">
        <v>2223.9</v>
      </c>
    </row>
    <row r="22" spans="1:12" x14ac:dyDescent="0.3">
      <c r="A22" t="s">
        <v>19</v>
      </c>
      <c r="B22" t="s">
        <v>1426</v>
      </c>
      <c r="C22" s="7">
        <v>1</v>
      </c>
      <c r="D22" s="7">
        <v>26.2</v>
      </c>
      <c r="F22" s="10" t="s">
        <v>19</v>
      </c>
      <c r="G22" t="s">
        <v>1426</v>
      </c>
      <c r="H22" s="7">
        <v>1</v>
      </c>
      <c r="J22" s="10" t="s">
        <v>19</v>
      </c>
      <c r="K22" t="s">
        <v>1426</v>
      </c>
      <c r="L22" s="7">
        <v>26.2</v>
      </c>
    </row>
    <row r="23" spans="1:12" x14ac:dyDescent="0.3">
      <c r="A23" t="s">
        <v>19</v>
      </c>
      <c r="B23" t="s">
        <v>33</v>
      </c>
      <c r="C23" s="7">
        <v>3991</v>
      </c>
      <c r="D23" s="7">
        <v>215551.19999999981</v>
      </c>
      <c r="F23" s="10" t="s">
        <v>19</v>
      </c>
      <c r="G23" t="s">
        <v>33</v>
      </c>
      <c r="H23" s="7">
        <v>3991</v>
      </c>
      <c r="J23" s="10" t="s">
        <v>19</v>
      </c>
      <c r="K23" t="s">
        <v>33</v>
      </c>
      <c r="L23" s="7">
        <v>215551.19999999981</v>
      </c>
    </row>
    <row r="24" spans="1:12" x14ac:dyDescent="0.3">
      <c r="A24" t="s">
        <v>19</v>
      </c>
      <c r="B24" t="s">
        <v>364</v>
      </c>
      <c r="C24" s="7">
        <v>45</v>
      </c>
      <c r="D24" s="7">
        <v>2687.3999999999996</v>
      </c>
      <c r="F24" s="10" t="s">
        <v>19</v>
      </c>
      <c r="G24" t="s">
        <v>364</v>
      </c>
      <c r="H24" s="7">
        <v>45</v>
      </c>
      <c r="J24" s="10" t="s">
        <v>19</v>
      </c>
      <c r="K24" t="s">
        <v>364</v>
      </c>
      <c r="L24" s="7">
        <v>2687.3999999999996</v>
      </c>
    </row>
    <row r="25" spans="1:12" x14ac:dyDescent="0.3">
      <c r="A25" t="s">
        <v>19</v>
      </c>
      <c r="B25" t="s">
        <v>545</v>
      </c>
      <c r="C25" s="7">
        <v>39</v>
      </c>
      <c r="D25" s="7">
        <v>1463.3000000000002</v>
      </c>
      <c r="F25" s="10" t="s">
        <v>19</v>
      </c>
      <c r="G25" t="s">
        <v>545</v>
      </c>
      <c r="H25" s="7">
        <v>39</v>
      </c>
      <c r="J25" s="10" t="s">
        <v>19</v>
      </c>
      <c r="K25" t="s">
        <v>545</v>
      </c>
      <c r="L25" s="7">
        <v>1463.3000000000002</v>
      </c>
    </row>
    <row r="26" spans="1:12" x14ac:dyDescent="0.3">
      <c r="A26" t="s">
        <v>19</v>
      </c>
      <c r="B26" t="s">
        <v>416</v>
      </c>
      <c r="C26" s="7">
        <v>6</v>
      </c>
      <c r="D26" s="7">
        <v>445.79999999999995</v>
      </c>
      <c r="F26" s="10" t="s">
        <v>19</v>
      </c>
      <c r="G26" t="s">
        <v>416</v>
      </c>
      <c r="H26" s="7">
        <v>6</v>
      </c>
      <c r="J26" s="10" t="s">
        <v>19</v>
      </c>
      <c r="K26" t="s">
        <v>416</v>
      </c>
      <c r="L26" s="7">
        <v>445.79999999999995</v>
      </c>
    </row>
    <row r="27" spans="1:12" x14ac:dyDescent="0.3">
      <c r="A27" t="s">
        <v>19</v>
      </c>
      <c r="B27" t="s">
        <v>258</v>
      </c>
      <c r="C27" s="7">
        <v>9</v>
      </c>
      <c r="D27" s="7">
        <v>273.59999999999997</v>
      </c>
      <c r="F27" s="10" t="s">
        <v>19</v>
      </c>
      <c r="G27" t="s">
        <v>258</v>
      </c>
      <c r="H27" s="7">
        <v>9</v>
      </c>
      <c r="J27" s="10" t="s">
        <v>19</v>
      </c>
      <c r="K27" t="s">
        <v>258</v>
      </c>
      <c r="L27" s="7">
        <v>273.59999999999997</v>
      </c>
    </row>
    <row r="28" spans="1:12" x14ac:dyDescent="0.3">
      <c r="A28" t="s">
        <v>19</v>
      </c>
      <c r="B28" t="s">
        <v>186</v>
      </c>
      <c r="C28" s="7">
        <v>60</v>
      </c>
      <c r="D28" s="7">
        <v>2690.4</v>
      </c>
      <c r="F28" s="10" t="s">
        <v>19</v>
      </c>
      <c r="G28" t="s">
        <v>186</v>
      </c>
      <c r="H28" s="7">
        <v>60</v>
      </c>
      <c r="J28" s="10" t="s">
        <v>19</v>
      </c>
      <c r="K28" t="s">
        <v>186</v>
      </c>
      <c r="L28" s="7">
        <v>2690.4</v>
      </c>
    </row>
    <row r="29" spans="1:12" x14ac:dyDescent="0.3">
      <c r="A29" t="s">
        <v>19</v>
      </c>
      <c r="B29" t="s">
        <v>392</v>
      </c>
      <c r="C29" s="7">
        <v>2</v>
      </c>
      <c r="D29" s="7">
        <v>28.4</v>
      </c>
      <c r="F29" s="10" t="s">
        <v>19</v>
      </c>
      <c r="G29" t="s">
        <v>392</v>
      </c>
      <c r="H29" s="7">
        <v>2</v>
      </c>
      <c r="J29" s="10" t="s">
        <v>19</v>
      </c>
      <c r="K29" t="s">
        <v>392</v>
      </c>
      <c r="L29" s="7">
        <v>28.4</v>
      </c>
    </row>
    <row r="30" spans="1:12" x14ac:dyDescent="0.3">
      <c r="A30" t="s">
        <v>19</v>
      </c>
      <c r="B30" t="s">
        <v>670</v>
      </c>
      <c r="C30" s="7">
        <v>4</v>
      </c>
      <c r="D30" s="7">
        <v>204.8</v>
      </c>
      <c r="F30" s="10" t="s">
        <v>19</v>
      </c>
      <c r="G30" t="s">
        <v>670</v>
      </c>
      <c r="H30" s="7">
        <v>4</v>
      </c>
      <c r="J30" s="10" t="s">
        <v>19</v>
      </c>
      <c r="K30" t="s">
        <v>670</v>
      </c>
      <c r="L30" s="7">
        <v>204.8</v>
      </c>
    </row>
    <row r="31" spans="1:12" x14ac:dyDescent="0.3">
      <c r="A31" t="s">
        <v>19</v>
      </c>
      <c r="B31" t="s">
        <v>802</v>
      </c>
      <c r="C31" s="7">
        <v>31</v>
      </c>
      <c r="D31" s="7">
        <v>1607.8999999999999</v>
      </c>
      <c r="F31" s="10" t="s">
        <v>19</v>
      </c>
      <c r="G31" t="s">
        <v>802</v>
      </c>
      <c r="H31" s="7">
        <v>31</v>
      </c>
      <c r="J31" s="10" t="s">
        <v>19</v>
      </c>
      <c r="K31" t="s">
        <v>802</v>
      </c>
      <c r="L31" s="7">
        <v>1607.8999999999999</v>
      </c>
    </row>
    <row r="32" spans="1:12" x14ac:dyDescent="0.3">
      <c r="A32" t="s">
        <v>19</v>
      </c>
      <c r="B32" t="s">
        <v>98</v>
      </c>
      <c r="C32" s="7">
        <v>88</v>
      </c>
      <c r="D32" s="7">
        <v>6444.9</v>
      </c>
      <c r="F32" s="10" t="s">
        <v>19</v>
      </c>
      <c r="G32" t="s">
        <v>98</v>
      </c>
      <c r="H32" s="7">
        <v>88</v>
      </c>
      <c r="J32" s="10" t="s">
        <v>19</v>
      </c>
      <c r="K32" t="s">
        <v>98</v>
      </c>
      <c r="L32" s="7">
        <v>6444.9</v>
      </c>
    </row>
    <row r="33" spans="1:12" x14ac:dyDescent="0.3">
      <c r="A33" t="s">
        <v>19</v>
      </c>
      <c r="B33" t="s">
        <v>49</v>
      </c>
      <c r="C33" s="7">
        <v>25</v>
      </c>
      <c r="D33" s="7">
        <v>1809.3</v>
      </c>
      <c r="F33" s="10" t="s">
        <v>19</v>
      </c>
      <c r="G33" t="s">
        <v>49</v>
      </c>
      <c r="H33" s="7">
        <v>25</v>
      </c>
      <c r="J33" s="10" t="s">
        <v>19</v>
      </c>
      <c r="K33" t="s">
        <v>49</v>
      </c>
      <c r="L33" s="7">
        <v>1809.3</v>
      </c>
    </row>
    <row r="34" spans="1:12" x14ac:dyDescent="0.3">
      <c r="A34" t="s">
        <v>19</v>
      </c>
      <c r="B34" t="s">
        <v>188</v>
      </c>
      <c r="C34" s="7">
        <v>178</v>
      </c>
      <c r="D34" s="7">
        <v>9680.399999999996</v>
      </c>
      <c r="F34" s="10" t="s">
        <v>19</v>
      </c>
      <c r="G34" t="s">
        <v>188</v>
      </c>
      <c r="H34" s="7">
        <v>178</v>
      </c>
      <c r="J34" s="10" t="s">
        <v>19</v>
      </c>
      <c r="K34" t="s">
        <v>188</v>
      </c>
      <c r="L34" s="7">
        <v>9680.399999999996</v>
      </c>
    </row>
    <row r="35" spans="1:12" x14ac:dyDescent="0.3">
      <c r="A35" t="s">
        <v>19</v>
      </c>
      <c r="B35" t="s">
        <v>52</v>
      </c>
      <c r="C35" s="7">
        <v>141</v>
      </c>
      <c r="D35" s="7">
        <v>9414.7999999999993</v>
      </c>
      <c r="F35" s="10" t="s">
        <v>19</v>
      </c>
      <c r="G35" t="s">
        <v>52</v>
      </c>
      <c r="H35" s="7">
        <v>141</v>
      </c>
      <c r="J35" s="10" t="s">
        <v>19</v>
      </c>
      <c r="K35" t="s">
        <v>52</v>
      </c>
      <c r="L35" s="7">
        <v>9414.7999999999993</v>
      </c>
    </row>
    <row r="36" spans="1:12" x14ac:dyDescent="0.3">
      <c r="A36" t="s">
        <v>19</v>
      </c>
      <c r="B36" t="s">
        <v>338</v>
      </c>
      <c r="C36" s="7">
        <v>6</v>
      </c>
      <c r="D36" s="7">
        <v>206.1</v>
      </c>
      <c r="F36" s="10" t="s">
        <v>19</v>
      </c>
      <c r="G36" t="s">
        <v>338</v>
      </c>
      <c r="H36" s="7">
        <v>6</v>
      </c>
      <c r="J36" s="10" t="s">
        <v>19</v>
      </c>
      <c r="K36" t="s">
        <v>338</v>
      </c>
      <c r="L36" s="7">
        <v>206.1</v>
      </c>
    </row>
    <row r="37" spans="1:12" x14ac:dyDescent="0.3">
      <c r="A37" t="s">
        <v>19</v>
      </c>
      <c r="B37" t="s">
        <v>158</v>
      </c>
      <c r="C37" s="7">
        <v>178</v>
      </c>
      <c r="D37" s="7">
        <v>7691.3</v>
      </c>
      <c r="F37" s="10" t="s">
        <v>19</v>
      </c>
      <c r="G37" t="s">
        <v>158</v>
      </c>
      <c r="H37" s="7">
        <v>178</v>
      </c>
      <c r="J37" s="10" t="s">
        <v>19</v>
      </c>
      <c r="K37" t="s">
        <v>158</v>
      </c>
      <c r="L37" s="7">
        <v>7691.3</v>
      </c>
    </row>
    <row r="38" spans="1:12" x14ac:dyDescent="0.3">
      <c r="A38" t="s">
        <v>19</v>
      </c>
      <c r="B38" t="s">
        <v>55</v>
      </c>
      <c r="C38" s="7">
        <v>699</v>
      </c>
      <c r="D38" s="7">
        <v>37784.900000000016</v>
      </c>
      <c r="F38" s="10" t="s">
        <v>19</v>
      </c>
      <c r="G38" t="s">
        <v>55</v>
      </c>
      <c r="H38" s="7">
        <v>699</v>
      </c>
      <c r="J38" s="10" t="s">
        <v>19</v>
      </c>
      <c r="K38" t="s">
        <v>55</v>
      </c>
      <c r="L38" s="7">
        <v>37784.900000000016</v>
      </c>
    </row>
    <row r="39" spans="1:12" x14ac:dyDescent="0.3">
      <c r="A39" t="s">
        <v>19</v>
      </c>
      <c r="B39" t="s">
        <v>342</v>
      </c>
      <c r="C39" s="7">
        <v>23</v>
      </c>
      <c r="D39" s="7">
        <v>1129.7</v>
      </c>
      <c r="F39" s="10" t="s">
        <v>19</v>
      </c>
      <c r="G39" t="s">
        <v>342</v>
      </c>
      <c r="H39" s="7">
        <v>23</v>
      </c>
      <c r="J39" s="10" t="s">
        <v>19</v>
      </c>
      <c r="K39" t="s">
        <v>342</v>
      </c>
      <c r="L39" s="7">
        <v>1129.7</v>
      </c>
    </row>
    <row r="40" spans="1:12" x14ac:dyDescent="0.3">
      <c r="A40" t="s">
        <v>19</v>
      </c>
      <c r="B40" t="s">
        <v>59</v>
      </c>
      <c r="C40" s="7">
        <v>356</v>
      </c>
      <c r="D40" s="7">
        <v>20988.9</v>
      </c>
      <c r="F40" s="10" t="s">
        <v>19</v>
      </c>
      <c r="G40" t="s">
        <v>59</v>
      </c>
      <c r="H40" s="7">
        <v>356</v>
      </c>
      <c r="J40" s="10" t="s">
        <v>19</v>
      </c>
      <c r="K40" t="s">
        <v>59</v>
      </c>
      <c r="L40" s="7">
        <v>20988.9</v>
      </c>
    </row>
    <row r="41" spans="1:12" x14ac:dyDescent="0.3">
      <c r="A41" t="s">
        <v>19</v>
      </c>
      <c r="B41" t="s">
        <v>62</v>
      </c>
      <c r="C41" s="7">
        <v>1768</v>
      </c>
      <c r="D41" s="7">
        <v>98367.099999999977</v>
      </c>
      <c r="F41" s="10" t="s">
        <v>19</v>
      </c>
      <c r="G41" t="s">
        <v>62</v>
      </c>
      <c r="H41" s="7">
        <v>1768</v>
      </c>
      <c r="J41" s="10" t="s">
        <v>19</v>
      </c>
      <c r="K41" t="s">
        <v>62</v>
      </c>
      <c r="L41" s="7">
        <v>98367.099999999977</v>
      </c>
    </row>
    <row r="42" spans="1:12" x14ac:dyDescent="0.3">
      <c r="A42" t="s">
        <v>19</v>
      </c>
      <c r="B42" t="s">
        <v>103</v>
      </c>
      <c r="C42" s="7">
        <v>307</v>
      </c>
      <c r="D42" s="7">
        <v>21911.9</v>
      </c>
      <c r="F42" s="10" t="s">
        <v>19</v>
      </c>
      <c r="G42" t="s">
        <v>103</v>
      </c>
      <c r="H42" s="7">
        <v>307</v>
      </c>
      <c r="J42" s="10" t="s">
        <v>19</v>
      </c>
      <c r="K42" t="s">
        <v>103</v>
      </c>
      <c r="L42" s="7">
        <v>21911.9</v>
      </c>
    </row>
    <row r="43" spans="1:12" x14ac:dyDescent="0.3">
      <c r="A43" t="s">
        <v>19</v>
      </c>
      <c r="B43" t="s">
        <v>201</v>
      </c>
      <c r="C43" s="7">
        <v>117</v>
      </c>
      <c r="D43" s="7">
        <v>5441.2</v>
      </c>
      <c r="F43" s="10" t="s">
        <v>19</v>
      </c>
      <c r="G43" t="s">
        <v>201</v>
      </c>
      <c r="H43" s="7">
        <v>117</v>
      </c>
      <c r="J43" s="10" t="s">
        <v>19</v>
      </c>
      <c r="K43" t="s">
        <v>201</v>
      </c>
      <c r="L43" s="7">
        <v>5441.2</v>
      </c>
    </row>
    <row r="44" spans="1:12" x14ac:dyDescent="0.3">
      <c r="A44" t="s">
        <v>19</v>
      </c>
      <c r="B44" t="s">
        <v>429</v>
      </c>
      <c r="C44" s="7">
        <v>13</v>
      </c>
      <c r="D44" s="7">
        <v>392.8</v>
      </c>
      <c r="F44" s="10" t="s">
        <v>19</v>
      </c>
      <c r="G44" t="s">
        <v>429</v>
      </c>
      <c r="H44" s="7">
        <v>13</v>
      </c>
      <c r="J44" s="10" t="s">
        <v>19</v>
      </c>
      <c r="K44" t="s">
        <v>429</v>
      </c>
      <c r="L44" s="7">
        <v>392.8</v>
      </c>
    </row>
    <row r="45" spans="1:12" x14ac:dyDescent="0.3">
      <c r="A45" t="s">
        <v>19</v>
      </c>
      <c r="B45" t="s">
        <v>72</v>
      </c>
      <c r="C45" s="7">
        <v>364</v>
      </c>
      <c r="D45" s="7">
        <v>16172.000000000005</v>
      </c>
      <c r="F45" s="10" t="s">
        <v>19</v>
      </c>
      <c r="G45" t="s">
        <v>72</v>
      </c>
      <c r="H45" s="7">
        <v>364</v>
      </c>
      <c r="J45" s="10" t="s">
        <v>19</v>
      </c>
      <c r="K45" t="s">
        <v>72</v>
      </c>
      <c r="L45" s="7">
        <v>16172.000000000005</v>
      </c>
    </row>
    <row r="46" spans="1:12" x14ac:dyDescent="0.3">
      <c r="A46" t="s">
        <v>19</v>
      </c>
      <c r="B46" t="s">
        <v>74</v>
      </c>
      <c r="C46" s="7">
        <v>95</v>
      </c>
      <c r="D46" s="7">
        <v>4334.9999999999991</v>
      </c>
      <c r="F46" s="10" t="s">
        <v>19</v>
      </c>
      <c r="G46" t="s">
        <v>74</v>
      </c>
      <c r="H46" s="7">
        <v>95</v>
      </c>
      <c r="J46" s="10" t="s">
        <v>19</v>
      </c>
      <c r="K46" t="s">
        <v>74</v>
      </c>
      <c r="L46" s="7">
        <v>4334.9999999999991</v>
      </c>
    </row>
    <row r="47" spans="1:12" x14ac:dyDescent="0.3">
      <c r="A47" t="s">
        <v>19</v>
      </c>
      <c r="B47" t="s">
        <v>77</v>
      </c>
      <c r="C47" s="7">
        <v>737</v>
      </c>
      <c r="D47" s="7">
        <v>37449.000000000007</v>
      </c>
      <c r="F47" s="10" t="s">
        <v>19</v>
      </c>
      <c r="G47" t="s">
        <v>77</v>
      </c>
      <c r="H47" s="7">
        <v>737</v>
      </c>
      <c r="J47" s="10" t="s">
        <v>19</v>
      </c>
      <c r="K47" t="s">
        <v>77</v>
      </c>
      <c r="L47" s="7">
        <v>37449.000000000007</v>
      </c>
    </row>
    <row r="48" spans="1:12" x14ac:dyDescent="0.3">
      <c r="A48" t="s">
        <v>19</v>
      </c>
      <c r="B48" t="s">
        <v>309</v>
      </c>
      <c r="C48" s="7">
        <v>39</v>
      </c>
      <c r="D48" s="7">
        <v>2447.5</v>
      </c>
      <c r="F48" s="10" t="s">
        <v>19</v>
      </c>
      <c r="G48" t="s">
        <v>309</v>
      </c>
      <c r="H48" s="7">
        <v>39</v>
      </c>
      <c r="J48" s="10" t="s">
        <v>19</v>
      </c>
      <c r="K48" t="s">
        <v>309</v>
      </c>
      <c r="L48" s="7">
        <v>2447.5</v>
      </c>
    </row>
    <row r="49" spans="1:12" x14ac:dyDescent="0.3">
      <c r="A49" t="s">
        <v>19</v>
      </c>
      <c r="B49" t="s">
        <v>1116</v>
      </c>
      <c r="C49" s="7">
        <v>56</v>
      </c>
      <c r="D49" s="7">
        <v>3391.1</v>
      </c>
      <c r="F49" s="10" t="s">
        <v>19</v>
      </c>
      <c r="G49" t="s">
        <v>1116</v>
      </c>
      <c r="H49" s="7">
        <v>56</v>
      </c>
      <c r="J49" s="10" t="s">
        <v>19</v>
      </c>
      <c r="K49" t="s">
        <v>1116</v>
      </c>
      <c r="L49" s="7">
        <v>3391.1</v>
      </c>
    </row>
    <row r="50" spans="1:12" x14ac:dyDescent="0.3">
      <c r="A50" t="s">
        <v>19</v>
      </c>
      <c r="B50" t="s">
        <v>700</v>
      </c>
      <c r="C50" s="7">
        <v>2</v>
      </c>
      <c r="D50" s="7">
        <v>30.8</v>
      </c>
      <c r="F50" s="10" t="s">
        <v>19</v>
      </c>
      <c r="G50" t="s">
        <v>700</v>
      </c>
      <c r="H50" s="7">
        <v>2</v>
      </c>
      <c r="J50" s="10" t="s">
        <v>19</v>
      </c>
      <c r="K50" t="s">
        <v>700</v>
      </c>
      <c r="L50" s="7">
        <v>30.8</v>
      </c>
    </row>
    <row r="51" spans="1:12" x14ac:dyDescent="0.3">
      <c r="A51" t="s">
        <v>19</v>
      </c>
      <c r="B51" t="s">
        <v>268</v>
      </c>
      <c r="C51" s="7">
        <v>8</v>
      </c>
      <c r="D51" s="7">
        <v>332.3</v>
      </c>
      <c r="F51" s="10" t="s">
        <v>19</v>
      </c>
      <c r="G51" t="s">
        <v>268</v>
      </c>
      <c r="H51" s="7">
        <v>8</v>
      </c>
      <c r="J51" s="10" t="s">
        <v>19</v>
      </c>
      <c r="K51" t="s">
        <v>268</v>
      </c>
      <c r="L51" s="7">
        <v>332.3</v>
      </c>
    </row>
    <row r="52" spans="1:12" x14ac:dyDescent="0.3">
      <c r="A52" t="s">
        <v>19</v>
      </c>
      <c r="B52" t="s">
        <v>377</v>
      </c>
      <c r="C52" s="7">
        <v>52</v>
      </c>
      <c r="D52" s="7">
        <v>3175.9999999999995</v>
      </c>
      <c r="F52" s="10" t="s">
        <v>19</v>
      </c>
      <c r="G52" t="s">
        <v>377</v>
      </c>
      <c r="H52" s="7">
        <v>52</v>
      </c>
      <c r="J52" s="10" t="s">
        <v>19</v>
      </c>
      <c r="K52" t="s">
        <v>377</v>
      </c>
      <c r="L52" s="7">
        <v>3175.9999999999995</v>
      </c>
    </row>
    <row r="53" spans="1:12" x14ac:dyDescent="0.3">
      <c r="A53" t="s">
        <v>19</v>
      </c>
      <c r="B53" t="s">
        <v>108</v>
      </c>
      <c r="C53" s="7">
        <v>295</v>
      </c>
      <c r="D53" s="7">
        <v>20939.600000000002</v>
      </c>
      <c r="F53" s="10" t="s">
        <v>19</v>
      </c>
      <c r="G53" t="s">
        <v>108</v>
      </c>
      <c r="H53" s="7">
        <v>295</v>
      </c>
      <c r="J53" s="10" t="s">
        <v>19</v>
      </c>
      <c r="K53" t="s">
        <v>108</v>
      </c>
      <c r="L53" s="7">
        <v>20939.600000000002</v>
      </c>
    </row>
    <row r="54" spans="1:12" x14ac:dyDescent="0.3">
      <c r="A54" t="s">
        <v>19</v>
      </c>
      <c r="B54" t="s">
        <v>110</v>
      </c>
      <c r="C54" s="7">
        <v>195</v>
      </c>
      <c r="D54" s="7">
        <v>10185.899999999996</v>
      </c>
      <c r="F54" s="10" t="s">
        <v>19</v>
      </c>
      <c r="G54" t="s">
        <v>110</v>
      </c>
      <c r="H54" s="7">
        <v>195</v>
      </c>
      <c r="J54" s="10" t="s">
        <v>19</v>
      </c>
      <c r="K54" t="s">
        <v>110</v>
      </c>
      <c r="L54" s="7">
        <v>10185.899999999996</v>
      </c>
    </row>
    <row r="55" spans="1:12" x14ac:dyDescent="0.3">
      <c r="A55" t="s">
        <v>19</v>
      </c>
      <c r="B55" t="s">
        <v>292</v>
      </c>
      <c r="C55" s="7">
        <v>20</v>
      </c>
      <c r="D55" s="7">
        <v>958.7</v>
      </c>
      <c r="F55" s="10" t="s">
        <v>19</v>
      </c>
      <c r="G55" t="s">
        <v>292</v>
      </c>
      <c r="H55" s="7">
        <v>20</v>
      </c>
      <c r="J55" s="10" t="s">
        <v>19</v>
      </c>
      <c r="K55" t="s">
        <v>292</v>
      </c>
      <c r="L55" s="7">
        <v>958.7</v>
      </c>
    </row>
    <row r="56" spans="1:12" x14ac:dyDescent="0.3">
      <c r="A56" t="s">
        <v>19</v>
      </c>
      <c r="B56" t="s">
        <v>79</v>
      </c>
      <c r="C56" s="7">
        <v>6</v>
      </c>
      <c r="D56" s="7">
        <v>323</v>
      </c>
      <c r="F56" s="10" t="s">
        <v>19</v>
      </c>
      <c r="G56" t="s">
        <v>79</v>
      </c>
      <c r="H56" s="7">
        <v>6</v>
      </c>
      <c r="J56" s="10" t="s">
        <v>19</v>
      </c>
      <c r="K56" t="s">
        <v>79</v>
      </c>
      <c r="L56" s="7">
        <v>323</v>
      </c>
    </row>
    <row r="57" spans="1:12" x14ac:dyDescent="0.3">
      <c r="A57" t="s">
        <v>19</v>
      </c>
      <c r="B57" t="s">
        <v>608</v>
      </c>
      <c r="C57" s="7">
        <v>5</v>
      </c>
      <c r="D57" s="7">
        <v>167.70000000000002</v>
      </c>
      <c r="F57" s="10" t="s">
        <v>19</v>
      </c>
      <c r="G57" t="s">
        <v>608</v>
      </c>
      <c r="H57" s="7">
        <v>5</v>
      </c>
      <c r="J57" s="10" t="s">
        <v>19</v>
      </c>
      <c r="K57" t="s">
        <v>608</v>
      </c>
      <c r="L57" s="7">
        <v>167.70000000000002</v>
      </c>
    </row>
    <row r="58" spans="1:12" x14ac:dyDescent="0.3">
      <c r="A58" t="s">
        <v>19</v>
      </c>
      <c r="B58" t="s">
        <v>113</v>
      </c>
      <c r="C58" s="7">
        <v>94</v>
      </c>
      <c r="D58" s="7">
        <v>3978.5</v>
      </c>
      <c r="F58" s="10" t="s">
        <v>19</v>
      </c>
      <c r="G58" t="s">
        <v>113</v>
      </c>
      <c r="H58" s="7">
        <v>94</v>
      </c>
      <c r="J58" s="10" t="s">
        <v>19</v>
      </c>
      <c r="K58" t="s">
        <v>113</v>
      </c>
      <c r="L58" s="7">
        <v>3978.5</v>
      </c>
    </row>
    <row r="59" spans="1:12" x14ac:dyDescent="0.3">
      <c r="A59" t="s">
        <v>19</v>
      </c>
      <c r="B59" t="s">
        <v>997</v>
      </c>
      <c r="C59" s="7">
        <v>28</v>
      </c>
      <c r="D59" s="7">
        <v>1405</v>
      </c>
      <c r="F59" s="10" t="s">
        <v>19</v>
      </c>
      <c r="G59" t="s">
        <v>997</v>
      </c>
      <c r="H59" s="7">
        <v>28</v>
      </c>
      <c r="J59" s="10" t="s">
        <v>19</v>
      </c>
      <c r="K59" t="s">
        <v>997</v>
      </c>
      <c r="L59" s="7">
        <v>1405</v>
      </c>
    </row>
    <row r="60" spans="1:12" x14ac:dyDescent="0.3">
      <c r="A60" t="s">
        <v>19</v>
      </c>
      <c r="B60" t="s">
        <v>82</v>
      </c>
      <c r="C60" s="7">
        <v>179</v>
      </c>
      <c r="D60" s="7">
        <v>9869.0999999999985</v>
      </c>
      <c r="F60" s="10" t="s">
        <v>19</v>
      </c>
      <c r="G60" t="s">
        <v>82</v>
      </c>
      <c r="H60" s="7">
        <v>179</v>
      </c>
      <c r="J60" s="10" t="s">
        <v>19</v>
      </c>
      <c r="K60" t="s">
        <v>82</v>
      </c>
      <c r="L60" s="7">
        <v>9869.0999999999985</v>
      </c>
    </row>
    <row r="61" spans="1:12" x14ac:dyDescent="0.3">
      <c r="A61" t="s">
        <v>19</v>
      </c>
      <c r="B61" t="s">
        <v>243</v>
      </c>
      <c r="C61" s="7">
        <v>15</v>
      </c>
      <c r="D61" s="7">
        <v>615.29999999999995</v>
      </c>
      <c r="F61" s="10" t="s">
        <v>19</v>
      </c>
      <c r="G61" t="s">
        <v>243</v>
      </c>
      <c r="H61" s="7">
        <v>15</v>
      </c>
      <c r="J61" s="10" t="s">
        <v>19</v>
      </c>
      <c r="K61" t="s">
        <v>243</v>
      </c>
      <c r="L61" s="7">
        <v>615.29999999999995</v>
      </c>
    </row>
    <row r="62" spans="1:12" x14ac:dyDescent="0.3">
      <c r="A62" t="s">
        <v>19</v>
      </c>
      <c r="B62" t="s">
        <v>1911</v>
      </c>
      <c r="C62" s="7">
        <v>3</v>
      </c>
      <c r="D62" s="7">
        <v>285</v>
      </c>
      <c r="F62" s="58" t="s">
        <v>19</v>
      </c>
      <c r="G62" t="s">
        <v>1911</v>
      </c>
      <c r="H62" s="7">
        <v>3</v>
      </c>
      <c r="J62" s="58" t="s">
        <v>19</v>
      </c>
      <c r="K62" t="s">
        <v>1911</v>
      </c>
      <c r="L62" s="7">
        <v>285</v>
      </c>
    </row>
  </sheetData>
  <autoFilter ref="A3:C120" xr:uid="{B44883E5-3DAB-411E-882B-56E4C5091846}"/>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E3779-190E-47D0-816F-AEFA50FDAE35}">
  <dimension ref="A3:G37"/>
  <sheetViews>
    <sheetView topLeftCell="A4" workbookViewId="0">
      <selection activeCell="L28" sqref="L28"/>
    </sheetView>
  </sheetViews>
  <sheetFormatPr defaultRowHeight="14.4" x14ac:dyDescent="0.3"/>
  <cols>
    <col min="1" max="1" width="12.44140625" bestFit="1" customWidth="1"/>
    <col min="2" max="2" width="15.5546875" bestFit="1" customWidth="1"/>
    <col min="3" max="4" width="4" bestFit="1" customWidth="1"/>
    <col min="5" max="5" width="5" bestFit="1" customWidth="1"/>
    <col min="6" max="6" width="4" bestFit="1" customWidth="1"/>
    <col min="7" max="7" width="10.5546875" bestFit="1" customWidth="1"/>
    <col min="8" max="9" width="8" bestFit="1" customWidth="1"/>
    <col min="10" max="10" width="8" customWidth="1"/>
    <col min="11" max="11" width="9" customWidth="1"/>
    <col min="12" max="32" width="9" bestFit="1" customWidth="1"/>
    <col min="33" max="41" width="8.44140625" bestFit="1" customWidth="1"/>
    <col min="42" max="60" width="9.44140625" bestFit="1" customWidth="1"/>
    <col min="61" max="69" width="8.44140625" bestFit="1" customWidth="1"/>
    <col min="70" max="89" width="9.44140625" bestFit="1" customWidth="1"/>
    <col min="90" max="90" width="10.5546875" bestFit="1" customWidth="1"/>
  </cols>
  <sheetData>
    <row r="3" spans="1:7" x14ac:dyDescent="0.3">
      <c r="A3" s="2" t="s">
        <v>2520</v>
      </c>
      <c r="B3" s="2" t="s">
        <v>2529</v>
      </c>
      <c r="C3" s="2"/>
      <c r="D3" s="2"/>
      <c r="E3" s="2"/>
      <c r="F3" s="2"/>
      <c r="G3" s="2"/>
    </row>
    <row r="4" spans="1:7" x14ac:dyDescent="0.3">
      <c r="A4" s="2" t="s">
        <v>2518</v>
      </c>
      <c r="B4">
        <v>1</v>
      </c>
      <c r="C4">
        <v>2</v>
      </c>
      <c r="D4">
        <v>3</v>
      </c>
      <c r="E4">
        <v>4</v>
      </c>
      <c r="F4">
        <v>5</v>
      </c>
      <c r="G4" s="2" t="s">
        <v>2519</v>
      </c>
    </row>
    <row r="5" spans="1:7" x14ac:dyDescent="0.3">
      <c r="A5" s="52" t="s">
        <v>2533</v>
      </c>
      <c r="B5" s="7">
        <v>7</v>
      </c>
      <c r="C5" s="7">
        <v>37</v>
      </c>
      <c r="D5" s="7">
        <v>150</v>
      </c>
      <c r="E5" s="7">
        <v>312</v>
      </c>
      <c r="F5" s="7">
        <v>224</v>
      </c>
      <c r="G5" s="7">
        <v>730</v>
      </c>
    </row>
    <row r="6" spans="1:7" x14ac:dyDescent="0.3">
      <c r="A6" s="52" t="s">
        <v>2534</v>
      </c>
      <c r="B6" s="7">
        <v>8</v>
      </c>
      <c r="C6" s="7">
        <v>51</v>
      </c>
      <c r="D6" s="7">
        <v>182</v>
      </c>
      <c r="E6" s="7">
        <v>373</v>
      </c>
      <c r="F6" s="7">
        <v>247</v>
      </c>
      <c r="G6" s="7">
        <v>861</v>
      </c>
    </row>
    <row r="7" spans="1:7" x14ac:dyDescent="0.3">
      <c r="A7" s="52" t="s">
        <v>2535</v>
      </c>
      <c r="B7" s="7">
        <v>6</v>
      </c>
      <c r="C7" s="7">
        <v>39</v>
      </c>
      <c r="D7" s="7">
        <v>163</v>
      </c>
      <c r="E7" s="7">
        <v>351</v>
      </c>
      <c r="F7" s="7">
        <v>250</v>
      </c>
      <c r="G7" s="7">
        <v>809</v>
      </c>
    </row>
    <row r="8" spans="1:7" x14ac:dyDescent="0.3">
      <c r="A8" s="52" t="s">
        <v>2519</v>
      </c>
      <c r="B8" s="53">
        <v>21</v>
      </c>
      <c r="C8" s="53">
        <v>127</v>
      </c>
      <c r="D8" s="53">
        <v>495</v>
      </c>
      <c r="E8" s="53">
        <v>1036</v>
      </c>
      <c r="F8" s="53">
        <v>721</v>
      </c>
      <c r="G8" s="53">
        <v>2400</v>
      </c>
    </row>
    <row r="21" spans="1:2" x14ac:dyDescent="0.3">
      <c r="A21" s="2" t="s">
        <v>2518</v>
      </c>
      <c r="B21" s="2" t="s">
        <v>2520</v>
      </c>
    </row>
    <row r="22" spans="1:2" x14ac:dyDescent="0.3">
      <c r="A22" s="6">
        <v>0</v>
      </c>
      <c r="B22" s="7">
        <v>175</v>
      </c>
    </row>
    <row r="23" spans="1:2" x14ac:dyDescent="0.3">
      <c r="A23" s="6">
        <v>1</v>
      </c>
      <c r="B23" s="7">
        <v>888</v>
      </c>
    </row>
    <row r="24" spans="1:2" x14ac:dyDescent="0.3">
      <c r="A24" s="6">
        <v>2</v>
      </c>
      <c r="B24" s="7">
        <v>538</v>
      </c>
    </row>
    <row r="25" spans="1:2" x14ac:dyDescent="0.3">
      <c r="A25" s="6">
        <v>3</v>
      </c>
      <c r="B25" s="7">
        <v>344</v>
      </c>
    </row>
    <row r="26" spans="1:2" x14ac:dyDescent="0.3">
      <c r="A26" s="6">
        <v>4</v>
      </c>
      <c r="B26" s="7">
        <v>200</v>
      </c>
    </row>
    <row r="27" spans="1:2" x14ac:dyDescent="0.3">
      <c r="A27" s="6">
        <v>5</v>
      </c>
      <c r="B27" s="7">
        <v>94</v>
      </c>
    </row>
    <row r="28" spans="1:2" x14ac:dyDescent="0.3">
      <c r="A28" s="6">
        <v>6</v>
      </c>
      <c r="B28" s="7">
        <v>51</v>
      </c>
    </row>
    <row r="29" spans="1:2" x14ac:dyDescent="0.3">
      <c r="A29" s="6">
        <v>7</v>
      </c>
      <c r="B29" s="7">
        <v>32</v>
      </c>
    </row>
    <row r="30" spans="1:2" x14ac:dyDescent="0.3">
      <c r="A30" s="6">
        <v>8</v>
      </c>
      <c r="B30" s="7">
        <v>23</v>
      </c>
    </row>
    <row r="31" spans="1:2" x14ac:dyDescent="0.3">
      <c r="A31" s="6">
        <v>9</v>
      </c>
      <c r="B31" s="7">
        <v>9</v>
      </c>
    </row>
    <row r="32" spans="1:2" x14ac:dyDescent="0.3">
      <c r="A32" s="6">
        <v>10</v>
      </c>
      <c r="B32" s="7">
        <v>8</v>
      </c>
    </row>
    <row r="33" spans="1:2" x14ac:dyDescent="0.3">
      <c r="A33" s="6">
        <v>11</v>
      </c>
      <c r="B33" s="7">
        <v>11</v>
      </c>
    </row>
    <row r="34" spans="1:2" x14ac:dyDescent="0.3">
      <c r="A34" s="6">
        <v>12</v>
      </c>
      <c r="B34" s="7">
        <v>4</v>
      </c>
    </row>
    <row r="35" spans="1:2" x14ac:dyDescent="0.3">
      <c r="A35" s="6">
        <v>13</v>
      </c>
      <c r="B35" s="7">
        <v>10</v>
      </c>
    </row>
    <row r="36" spans="1:2" x14ac:dyDescent="0.3">
      <c r="A36" s="6">
        <v>14</v>
      </c>
      <c r="B36" s="7">
        <v>13</v>
      </c>
    </row>
    <row r="37" spans="1:2" x14ac:dyDescent="0.3">
      <c r="A37" s="52" t="s">
        <v>2519</v>
      </c>
      <c r="B37" s="53">
        <v>2400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967F3-9B1F-4E76-93FF-B0BCB729337C}">
  <dimension ref="B2:B18"/>
  <sheetViews>
    <sheetView workbookViewId="0">
      <selection activeCell="B21" sqref="B21"/>
    </sheetView>
  </sheetViews>
  <sheetFormatPr defaultRowHeight="14.4" x14ac:dyDescent="0.3"/>
  <cols>
    <col min="1" max="1" width="3.6640625" customWidth="1"/>
    <col min="2" max="2" width="52.77734375" customWidth="1"/>
  </cols>
  <sheetData>
    <row r="2" spans="2:2" x14ac:dyDescent="0.3">
      <c r="B2" s="3" t="s">
        <v>2503</v>
      </c>
    </row>
    <row r="3" spans="2:2" x14ac:dyDescent="0.3">
      <c r="B3" s="4" t="s">
        <v>2504</v>
      </c>
    </row>
    <row r="4" spans="2:2" x14ac:dyDescent="0.3">
      <c r="B4" s="4" t="s">
        <v>2505</v>
      </c>
    </row>
    <row r="5" spans="2:2" x14ac:dyDescent="0.3">
      <c r="B5" s="4" t="s">
        <v>2506</v>
      </c>
    </row>
    <row r="6" spans="2:2" x14ac:dyDescent="0.3">
      <c r="B6" s="4" t="s">
        <v>2507</v>
      </c>
    </row>
    <row r="7" spans="2:2" x14ac:dyDescent="0.3">
      <c r="B7" s="4" t="s">
        <v>2508</v>
      </c>
    </row>
    <row r="10" spans="2:2" x14ac:dyDescent="0.3">
      <c r="B10" s="3" t="s">
        <v>2509</v>
      </c>
    </row>
    <row r="11" spans="2:2" x14ac:dyDescent="0.3">
      <c r="B11" t="s">
        <v>2510</v>
      </c>
    </row>
    <row r="12" spans="2:2" x14ac:dyDescent="0.3">
      <c r="B12" t="s">
        <v>2511</v>
      </c>
    </row>
    <row r="13" spans="2:2" x14ac:dyDescent="0.3">
      <c r="B13" t="s">
        <v>2512</v>
      </c>
    </row>
    <row r="14" spans="2:2" x14ac:dyDescent="0.3">
      <c r="B14" t="s">
        <v>2513</v>
      </c>
    </row>
    <row r="15" spans="2:2" x14ac:dyDescent="0.3">
      <c r="B15" t="s">
        <v>2514</v>
      </c>
    </row>
    <row r="16" spans="2:2" x14ac:dyDescent="0.3">
      <c r="B16" t="s">
        <v>2515</v>
      </c>
    </row>
    <row r="17" spans="2:2" x14ac:dyDescent="0.3">
      <c r="B17" t="s">
        <v>2516</v>
      </c>
    </row>
    <row r="18" spans="2:2" x14ac:dyDescent="0.3">
      <c r="B18" t="s">
        <v>2517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Data</vt:lpstr>
      <vt:lpstr> Dashboard Visual</vt:lpstr>
      <vt:lpstr>PT1</vt:lpstr>
      <vt:lpstr>PT2</vt:lpstr>
      <vt:lpstr>PT3</vt:lpstr>
      <vt:lpstr>PT4</vt:lpstr>
      <vt:lpstr>PT5</vt:lpstr>
      <vt:lpstr>PT6,7</vt:lpstr>
      <vt:lpstr>Questions &amp; KPIs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Sowmya K</cp:lastModifiedBy>
  <dcterms:created xsi:type="dcterms:W3CDTF">2025-06-13T02:42:26Z</dcterms:created>
  <dcterms:modified xsi:type="dcterms:W3CDTF">2026-01-30T02:37:34Z</dcterms:modified>
</cp:coreProperties>
</file>